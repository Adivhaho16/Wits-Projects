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New folder (2)\"/>
    </mc:Choice>
  </mc:AlternateContent>
  <xr:revisionPtr revIDLastSave="0" documentId="8_{D9E38766-6C43-4DF1-A5F3-38C1A9B95EDE}" xr6:coauthVersionLast="47" xr6:coauthVersionMax="47" xr10:uidLastSave="{00000000-0000-0000-0000-000000000000}"/>
  <bookViews>
    <workbookView xWindow="-120" yWindow="-120" windowWidth="20730" windowHeight="11760" firstSheet="2" activeTab="7" xr2:uid="{00000000-000D-0000-FFFF-FFFF00000000}"/>
  </bookViews>
  <sheets>
    <sheet name="0_Instructions" sheetId="1" r:id="rId1"/>
    <sheet name="1_RawData" sheetId="2" r:id="rId2"/>
    <sheet name="2_Enriched" sheetId="3" r:id="rId3"/>
    <sheet name="Sheet1" sheetId="8" r:id="rId4"/>
    <sheet name="3_Summary" sheetId="4" r:id="rId5"/>
    <sheet name="4_Analysis" sheetId="5" r:id="rId6"/>
    <sheet name="5_TradeEntry" sheetId="6" r:id="rId7"/>
    <sheet name="6_Capstone" sheetId="7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7" l="1" a="1"/>
  <c r="B5" i="7"/>
  <c r="B6" i="7"/>
  <c r="B7" i="7"/>
  <c r="B4" i="7"/>
  <c r="B3" i="8"/>
  <c r="B4" i="8"/>
  <c r="B5" i="8"/>
  <c r="B6" i="8"/>
  <c r="B2" i="8"/>
  <c r="Q3" i="3" a="1"/>
  <c r="Q3" i="3"/>
  <c r="Q4" i="3" a="1"/>
  <c r="Q4" i="3"/>
  <c r="Q5" i="3" a="1"/>
  <c r="Q5" i="3"/>
  <c r="Q6" i="3" a="1"/>
  <c r="Q6" i="3"/>
  <c r="Q7" i="3" a="1"/>
  <c r="Q7" i="3"/>
  <c r="Q8" i="3" a="1"/>
  <c r="Q8" i="3"/>
  <c r="Q9" i="3" a="1"/>
  <c r="Q9" i="3"/>
  <c r="Q10" i="3" a="1"/>
  <c r="Q10" i="3"/>
  <c r="Q11" i="3" a="1"/>
  <c r="Q11" i="3"/>
  <c r="Q12" i="3" a="1"/>
  <c r="Q12" i="3"/>
  <c r="Q13" i="3" a="1"/>
  <c r="Q13" i="3"/>
  <c r="Q14" i="3" a="1"/>
  <c r="Q14" i="3"/>
  <c r="Q15" i="3" a="1"/>
  <c r="Q15" i="3"/>
  <c r="Q16" i="3" a="1"/>
  <c r="Q16" i="3"/>
  <c r="Q17" i="3" a="1"/>
  <c r="Q17" i="3"/>
  <c r="Q18" i="3" a="1"/>
  <c r="Q18" i="3"/>
  <c r="Q19" i="3" a="1"/>
  <c r="Q19" i="3"/>
  <c r="Q20" i="3" a="1"/>
  <c r="Q20" i="3"/>
  <c r="Q21" i="3" a="1"/>
  <c r="Q21" i="3"/>
  <c r="Q22" i="3" a="1"/>
  <c r="Q22" i="3"/>
  <c r="Q23" i="3" a="1"/>
  <c r="Q23" i="3"/>
  <c r="Q24" i="3" a="1"/>
  <c r="Q24" i="3"/>
  <c r="Q25" i="3" a="1"/>
  <c r="Q25" i="3"/>
  <c r="Q26" i="3" a="1"/>
  <c r="Q26" i="3"/>
  <c r="Q27" i="3" a="1"/>
  <c r="Q27" i="3"/>
  <c r="Q28" i="3" a="1"/>
  <c r="Q28" i="3"/>
  <c r="Q29" i="3" a="1"/>
  <c r="Q29" i="3"/>
  <c r="Q30" i="3" a="1"/>
  <c r="Q30" i="3"/>
  <c r="Q31" i="3" a="1"/>
  <c r="Q31" i="3"/>
  <c r="Q32" i="3" a="1"/>
  <c r="Q32" i="3"/>
  <c r="Q33" i="3" a="1"/>
  <c r="Q33" i="3"/>
  <c r="Q34" i="3" a="1"/>
  <c r="Q34" i="3"/>
  <c r="Q35" i="3" a="1"/>
  <c r="Q35" i="3"/>
  <c r="Q36" i="3" a="1"/>
  <c r="Q36" i="3"/>
  <c r="Q37" i="3" a="1"/>
  <c r="Q37" i="3"/>
  <c r="Q38" i="3" a="1"/>
  <c r="Q38" i="3"/>
  <c r="Q39" i="3" a="1"/>
  <c r="Q39" i="3"/>
  <c r="Q40" i="3" a="1"/>
  <c r="Q40" i="3"/>
  <c r="Q41" i="3" a="1"/>
  <c r="Q41" i="3"/>
  <c r="Q42" i="3" a="1"/>
  <c r="Q42" i="3"/>
  <c r="Q43" i="3" a="1"/>
  <c r="Q43" i="3"/>
  <c r="Q44" i="3" a="1"/>
  <c r="Q44" i="3"/>
  <c r="Q45" i="3" a="1"/>
  <c r="Q45" i="3"/>
  <c r="Q46" i="3" a="1"/>
  <c r="Q46" i="3"/>
  <c r="Q47" i="3" a="1"/>
  <c r="Q47" i="3"/>
  <c r="Q48" i="3" a="1"/>
  <c r="Q48" i="3"/>
  <c r="Q49" i="3" a="1"/>
  <c r="Q49" i="3"/>
  <c r="Q50" i="3" a="1"/>
  <c r="Q50" i="3"/>
  <c r="Q51" i="3" a="1"/>
  <c r="Q51" i="3"/>
  <c r="Q52" i="3" a="1"/>
  <c r="Q52" i="3"/>
  <c r="Q53" i="3" a="1"/>
  <c r="Q53" i="3"/>
  <c r="Q54" i="3" a="1"/>
  <c r="Q54" i="3"/>
  <c r="Q55" i="3" a="1"/>
  <c r="Q55" i="3"/>
  <c r="Q56" i="3" a="1"/>
  <c r="Q56" i="3"/>
  <c r="Q57" i="3" a="1"/>
  <c r="Q57" i="3"/>
  <c r="Q58" i="3" a="1"/>
  <c r="Q58" i="3"/>
  <c r="Q59" i="3" a="1"/>
  <c r="Q59" i="3"/>
  <c r="Q60" i="3" a="1"/>
  <c r="Q60" i="3"/>
  <c r="Q61" i="3" a="1"/>
  <c r="Q61" i="3"/>
  <c r="Q62" i="3" a="1"/>
  <c r="Q62" i="3"/>
  <c r="Q63" i="3" a="1"/>
  <c r="Q63" i="3"/>
  <c r="Q64" i="3" a="1"/>
  <c r="Q64" i="3"/>
  <c r="Q65" i="3" a="1"/>
  <c r="Q65" i="3"/>
  <c r="Q66" i="3" a="1"/>
  <c r="Q66" i="3"/>
  <c r="Q67" i="3" a="1"/>
  <c r="Q67" i="3"/>
  <c r="Q68" i="3" a="1"/>
  <c r="Q68" i="3"/>
  <c r="Q69" i="3" a="1"/>
  <c r="Q69" i="3"/>
  <c r="Q70" i="3" a="1"/>
  <c r="Q70" i="3"/>
  <c r="Q71" i="3" a="1"/>
  <c r="Q71" i="3"/>
  <c r="Q72" i="3" a="1"/>
  <c r="Q72" i="3"/>
  <c r="Q73" i="3" a="1"/>
  <c r="Q73" i="3"/>
  <c r="Q74" i="3" a="1"/>
  <c r="Q74" i="3"/>
  <c r="Q75" i="3" a="1"/>
  <c r="Q75" i="3"/>
  <c r="Q76" i="3" a="1"/>
  <c r="Q76" i="3"/>
  <c r="Q77" i="3" a="1"/>
  <c r="Q77" i="3"/>
  <c r="Q78" i="3" a="1"/>
  <c r="Q78" i="3"/>
  <c r="Q79" i="3" a="1"/>
  <c r="Q79" i="3"/>
  <c r="Q80" i="3" a="1"/>
  <c r="Q80" i="3"/>
  <c r="Q81" i="3" a="1"/>
  <c r="Q81" i="3"/>
  <c r="Q82" i="3" a="1"/>
  <c r="Q82" i="3"/>
  <c r="Q83" i="3" a="1"/>
  <c r="Q83" i="3"/>
  <c r="Q84" i="3" a="1"/>
  <c r="Q84" i="3"/>
  <c r="Q85" i="3" a="1"/>
  <c r="Q85" i="3"/>
  <c r="Q86" i="3" a="1"/>
  <c r="Q86" i="3"/>
  <c r="Q87" i="3" a="1"/>
  <c r="Q87" i="3"/>
  <c r="Q88" i="3" a="1"/>
  <c r="Q88" i="3"/>
  <c r="Q89" i="3" a="1"/>
  <c r="Q89" i="3"/>
  <c r="Q90" i="3" a="1"/>
  <c r="Q90" i="3"/>
  <c r="Q91" i="3" a="1"/>
  <c r="Q91" i="3"/>
  <c r="Q92" i="3" a="1"/>
  <c r="Q92" i="3"/>
  <c r="Q93" i="3" a="1"/>
  <c r="Q93" i="3"/>
  <c r="Q94" i="3" a="1"/>
  <c r="Q94" i="3"/>
  <c r="Q95" i="3" a="1"/>
  <c r="Q95" i="3"/>
  <c r="Q96" i="3" a="1"/>
  <c r="Q96" i="3"/>
  <c r="Q97" i="3" a="1"/>
  <c r="Q97" i="3"/>
  <c r="Q98" i="3" a="1"/>
  <c r="Q98" i="3"/>
  <c r="Q99" i="3" a="1"/>
  <c r="Q99" i="3"/>
  <c r="Q100" i="3" a="1"/>
  <c r="Q100" i="3"/>
  <c r="Q101" i="3" a="1"/>
  <c r="Q101" i="3"/>
  <c r="Q102" i="3" a="1"/>
  <c r="Q102" i="3"/>
  <c r="Q103" i="3" a="1"/>
  <c r="Q103" i="3"/>
  <c r="Q104" i="3" a="1"/>
  <c r="Q104" i="3"/>
  <c r="Q105" i="3" a="1"/>
  <c r="Q105" i="3"/>
  <c r="Q106" i="3" a="1"/>
  <c r="Q106" i="3"/>
  <c r="Q107" i="3" a="1"/>
  <c r="Q107" i="3"/>
  <c r="Q108" i="3" a="1"/>
  <c r="Q108" i="3"/>
  <c r="Q109" i="3" a="1"/>
  <c r="Q109" i="3"/>
  <c r="Q110" i="3" a="1"/>
  <c r="Q110" i="3"/>
  <c r="Q111" i="3" a="1"/>
  <c r="Q111" i="3"/>
  <c r="Q112" i="3" a="1"/>
  <c r="Q112" i="3"/>
  <c r="Q113" i="3" a="1"/>
  <c r="Q113" i="3"/>
  <c r="Q114" i="3" a="1"/>
  <c r="Q114" i="3"/>
  <c r="Q115" i="3" a="1"/>
  <c r="Q115" i="3"/>
  <c r="Q116" i="3" a="1"/>
  <c r="Q116" i="3"/>
  <c r="Q117" i="3" a="1"/>
  <c r="Q117" i="3"/>
  <c r="Q118" i="3" a="1"/>
  <c r="Q118" i="3"/>
  <c r="Q119" i="3" a="1"/>
  <c r="Q119" i="3"/>
  <c r="Q120" i="3" a="1"/>
  <c r="Q120" i="3"/>
  <c r="Q121" i="3" a="1"/>
  <c r="Q121" i="3"/>
  <c r="Q122" i="3" a="1"/>
  <c r="Q122" i="3"/>
  <c r="Q123" i="3" a="1"/>
  <c r="Q123" i="3"/>
  <c r="Q124" i="3" a="1"/>
  <c r="Q124" i="3"/>
  <c r="Q125" i="3" a="1"/>
  <c r="Q125" i="3"/>
  <c r="Q126" i="3" a="1"/>
  <c r="Q126" i="3"/>
  <c r="Q127" i="3" a="1"/>
  <c r="Q127" i="3"/>
  <c r="Q128" i="3" a="1"/>
  <c r="Q128" i="3"/>
  <c r="Q129" i="3" a="1"/>
  <c r="Q129" i="3"/>
  <c r="Q130" i="3" a="1"/>
  <c r="Q130" i="3"/>
  <c r="Q131" i="3" a="1"/>
  <c r="Q131" i="3"/>
  <c r="Q132" i="3" a="1"/>
  <c r="Q132" i="3"/>
  <c r="Q133" i="3" a="1"/>
  <c r="Q133" i="3"/>
  <c r="Q134" i="3" a="1"/>
  <c r="Q134" i="3"/>
  <c r="Q135" i="3" a="1"/>
  <c r="Q135" i="3"/>
  <c r="Q136" i="3" a="1"/>
  <c r="Q136" i="3"/>
  <c r="Q137" i="3" a="1"/>
  <c r="Q137" i="3"/>
  <c r="Q138" i="3" a="1"/>
  <c r="Q138" i="3"/>
  <c r="Q139" i="3" a="1"/>
  <c r="Q139" i="3"/>
  <c r="Q140" i="3" a="1"/>
  <c r="Q140" i="3"/>
  <c r="Q141" i="3" a="1"/>
  <c r="Q141" i="3"/>
  <c r="Q142" i="3" a="1"/>
  <c r="Q142" i="3"/>
  <c r="Q143" i="3" a="1"/>
  <c r="Q143" i="3"/>
  <c r="Q144" i="3" a="1"/>
  <c r="Q144" i="3"/>
  <c r="Q145" i="3" a="1"/>
  <c r="Q145" i="3"/>
  <c r="Q146" i="3" a="1"/>
  <c r="Q146" i="3"/>
  <c r="Q147" i="3" a="1"/>
  <c r="Q147" i="3"/>
  <c r="Q148" i="3" a="1"/>
  <c r="Q148" i="3"/>
  <c r="Q149" i="3" a="1"/>
  <c r="Q149" i="3"/>
  <c r="Q150" i="3" a="1"/>
  <c r="Q150" i="3"/>
  <c r="Q151" i="3" a="1"/>
  <c r="Q151" i="3"/>
  <c r="Q152" i="3" a="1"/>
  <c r="Q152" i="3"/>
  <c r="Q153" i="3" a="1"/>
  <c r="Q153" i="3"/>
  <c r="Q154" i="3" a="1"/>
  <c r="Q154" i="3"/>
  <c r="Q155" i="3" a="1"/>
  <c r="Q155" i="3"/>
  <c r="Q156" i="3" a="1"/>
  <c r="Q156" i="3"/>
  <c r="Q157" i="3" a="1"/>
  <c r="Q157" i="3"/>
  <c r="Q158" i="3" a="1"/>
  <c r="Q158" i="3"/>
  <c r="Q159" i="3" a="1"/>
  <c r="Q159" i="3"/>
  <c r="Q160" i="3" a="1"/>
  <c r="Q160" i="3"/>
  <c r="Q161" i="3" a="1"/>
  <c r="Q161" i="3"/>
  <c r="Q162" i="3" a="1"/>
  <c r="Q162" i="3"/>
  <c r="Q163" i="3" a="1"/>
  <c r="Q163" i="3"/>
  <c r="Q164" i="3" a="1"/>
  <c r="Q164" i="3"/>
  <c r="Q165" i="3" a="1"/>
  <c r="Q165" i="3"/>
  <c r="Q166" i="3" a="1"/>
  <c r="Q166" i="3"/>
  <c r="Q167" i="3" a="1"/>
  <c r="Q167" i="3"/>
  <c r="Q168" i="3" a="1"/>
  <c r="Q168" i="3"/>
  <c r="Q169" i="3" a="1"/>
  <c r="Q169" i="3"/>
  <c r="Q170" i="3" a="1"/>
  <c r="Q170" i="3"/>
  <c r="Q171" i="3" a="1"/>
  <c r="Q171" i="3"/>
  <c r="Q172" i="3" a="1"/>
  <c r="Q172" i="3"/>
  <c r="Q173" i="3" a="1"/>
  <c r="Q173" i="3"/>
  <c r="Q174" i="3" a="1"/>
  <c r="Q174" i="3"/>
  <c r="Q175" i="3" a="1"/>
  <c r="Q175" i="3"/>
  <c r="Q176" i="3" a="1"/>
  <c r="Q176" i="3"/>
  <c r="Q177" i="3" a="1"/>
  <c r="Q177" i="3"/>
  <c r="Q178" i="3" a="1"/>
  <c r="Q178" i="3"/>
  <c r="Q179" i="3" a="1"/>
  <c r="Q179" i="3"/>
  <c r="Q180" i="3" a="1"/>
  <c r="Q180" i="3"/>
  <c r="Q181" i="3" a="1"/>
  <c r="Q181" i="3"/>
  <c r="Q182" i="3" a="1"/>
  <c r="Q182" i="3"/>
  <c r="Q183" i="3" a="1"/>
  <c r="Q183" i="3"/>
  <c r="Q184" i="3" a="1"/>
  <c r="Q184" i="3"/>
  <c r="Q185" i="3" a="1"/>
  <c r="Q185" i="3"/>
  <c r="Q186" i="3" a="1"/>
  <c r="Q186" i="3"/>
  <c r="Q187" i="3" a="1"/>
  <c r="Q187" i="3"/>
  <c r="Q188" i="3" a="1"/>
  <c r="Q188" i="3"/>
  <c r="Q189" i="3" a="1"/>
  <c r="Q189" i="3"/>
  <c r="Q190" i="3" a="1"/>
  <c r="Q190" i="3"/>
  <c r="Q191" i="3" a="1"/>
  <c r="Q191" i="3"/>
  <c r="Q192" i="3" a="1"/>
  <c r="Q192" i="3"/>
  <c r="Q193" i="3" a="1"/>
  <c r="Q193" i="3"/>
  <c r="Q194" i="3" a="1"/>
  <c r="Q194" i="3"/>
  <c r="Q195" i="3" a="1"/>
  <c r="Q195" i="3"/>
  <c r="Q196" i="3" a="1"/>
  <c r="Q196" i="3"/>
  <c r="Q197" i="3" a="1"/>
  <c r="Q197" i="3"/>
  <c r="Q198" i="3" a="1"/>
  <c r="Q198" i="3"/>
  <c r="Q199" i="3" a="1"/>
  <c r="Q199" i="3"/>
  <c r="Q200" i="3" a="1"/>
  <c r="Q200" i="3"/>
  <c r="Q201" i="3" a="1"/>
  <c r="Q201" i="3"/>
  <c r="Q202" i="3" a="1"/>
  <c r="Q202" i="3"/>
  <c r="Q203" i="3" a="1"/>
  <c r="Q203" i="3"/>
  <c r="Q204" i="3" a="1"/>
  <c r="Q204" i="3"/>
  <c r="Q205" i="3" a="1"/>
  <c r="Q205" i="3"/>
  <c r="Q206" i="3" a="1"/>
  <c r="Q206" i="3"/>
  <c r="Q207" i="3" a="1"/>
  <c r="Q207" i="3"/>
  <c r="Q208" i="3" a="1"/>
  <c r="Q208" i="3"/>
  <c r="Q209" i="3" a="1"/>
  <c r="Q209" i="3"/>
  <c r="Q210" i="3" a="1"/>
  <c r="Q210" i="3"/>
  <c r="Q211" i="3" a="1"/>
  <c r="Q211" i="3"/>
  <c r="Q212" i="3" a="1"/>
  <c r="Q212" i="3"/>
  <c r="Q213" i="3" a="1"/>
  <c r="Q213" i="3"/>
  <c r="Q214" i="3" a="1"/>
  <c r="Q214" i="3"/>
  <c r="Q215" i="3" a="1"/>
  <c r="Q215" i="3"/>
  <c r="Q216" i="3" a="1"/>
  <c r="Q216" i="3"/>
  <c r="Q217" i="3" a="1"/>
  <c r="Q217" i="3"/>
  <c r="Q218" i="3" a="1"/>
  <c r="Q218" i="3"/>
  <c r="Q219" i="3" a="1"/>
  <c r="Q219" i="3"/>
  <c r="Q220" i="3" a="1"/>
  <c r="Q220" i="3"/>
  <c r="Q221" i="3" a="1"/>
  <c r="Q221" i="3"/>
  <c r="Q222" i="3" a="1"/>
  <c r="Q222" i="3"/>
  <c r="Q223" i="3" a="1"/>
  <c r="Q223" i="3"/>
  <c r="Q224" i="3" a="1"/>
  <c r="Q224" i="3"/>
  <c r="Q225" i="3" a="1"/>
  <c r="Q225" i="3"/>
  <c r="Q226" i="3" a="1"/>
  <c r="Q226" i="3"/>
  <c r="Q227" i="3" a="1"/>
  <c r="Q227" i="3"/>
  <c r="Q228" i="3" a="1"/>
  <c r="Q228" i="3"/>
  <c r="Q229" i="3" a="1"/>
  <c r="Q229" i="3"/>
  <c r="Q230" i="3" a="1"/>
  <c r="Q230" i="3"/>
  <c r="Q231" i="3" a="1"/>
  <c r="Q231" i="3"/>
  <c r="Q232" i="3" a="1"/>
  <c r="Q232" i="3"/>
  <c r="Q233" i="3" a="1"/>
  <c r="Q233" i="3"/>
  <c r="Q234" i="3" a="1"/>
  <c r="Q234" i="3"/>
  <c r="Q235" i="3" a="1"/>
  <c r="Q235" i="3"/>
  <c r="Q236" i="3" a="1"/>
  <c r="Q236" i="3"/>
  <c r="Q237" i="3" a="1"/>
  <c r="Q237" i="3"/>
  <c r="Q238" i="3" a="1"/>
  <c r="Q238" i="3"/>
  <c r="Q239" i="3" a="1"/>
  <c r="Q239" i="3"/>
  <c r="Q240" i="3" a="1"/>
  <c r="Q240" i="3"/>
  <c r="Q241" i="3" a="1"/>
  <c r="Q241" i="3"/>
  <c r="Q242" i="3" a="1"/>
  <c r="Q242" i="3"/>
  <c r="Q243" i="3" a="1"/>
  <c r="Q243" i="3"/>
  <c r="Q244" i="3" a="1"/>
  <c r="Q244" i="3"/>
  <c r="Q245" i="3" a="1"/>
  <c r="Q245" i="3"/>
  <c r="Q246" i="3" a="1"/>
  <c r="Q246" i="3"/>
  <c r="Q247" i="3" a="1"/>
  <c r="Q247" i="3"/>
  <c r="Q248" i="3" a="1"/>
  <c r="Q248" i="3"/>
  <c r="Q249" i="3" a="1"/>
  <c r="Q249" i="3"/>
  <c r="Q250" i="3" a="1"/>
  <c r="Q250" i="3"/>
  <c r="Q251" i="3" a="1"/>
  <c r="Q251" i="3"/>
  <c r="Q252" i="3" a="1"/>
  <c r="Q252" i="3"/>
  <c r="Q253" i="3" a="1"/>
  <c r="Q253" i="3"/>
  <c r="Q254" i="3" a="1"/>
  <c r="Q254" i="3"/>
  <c r="Q255" i="3" a="1"/>
  <c r="Q255" i="3"/>
  <c r="Q256" i="3" a="1"/>
  <c r="Q256" i="3"/>
  <c r="Q257" i="3" a="1"/>
  <c r="Q257" i="3"/>
  <c r="Q258" i="3" a="1"/>
  <c r="Q258" i="3"/>
  <c r="Q259" i="3" a="1"/>
  <c r="Q259" i="3"/>
  <c r="Q260" i="3" a="1"/>
  <c r="Q260" i="3"/>
  <c r="Q261" i="3" a="1"/>
  <c r="Q261" i="3"/>
  <c r="Q262" i="3" a="1"/>
  <c r="Q262" i="3"/>
  <c r="Q263" i="3" a="1"/>
  <c r="Q263" i="3"/>
  <c r="Q264" i="3" a="1"/>
  <c r="Q264" i="3"/>
  <c r="Q265" i="3" a="1"/>
  <c r="Q265" i="3"/>
  <c r="Q266" i="3" a="1"/>
  <c r="Q266" i="3"/>
  <c r="Q267" i="3" a="1"/>
  <c r="Q267" i="3"/>
  <c r="Q268" i="3" a="1"/>
  <c r="Q268" i="3"/>
  <c r="Q269" i="3" a="1"/>
  <c r="Q269" i="3"/>
  <c r="Q270" i="3" a="1"/>
  <c r="Q270" i="3"/>
  <c r="Q271" i="3" a="1"/>
  <c r="Q271" i="3"/>
  <c r="Q272" i="3" a="1"/>
  <c r="Q272" i="3"/>
  <c r="Q273" i="3" a="1"/>
  <c r="Q273" i="3"/>
  <c r="Q274" i="3" a="1"/>
  <c r="Q274" i="3"/>
  <c r="Q275" i="3" a="1"/>
  <c r="Q275" i="3"/>
  <c r="Q276" i="3" a="1"/>
  <c r="Q276" i="3"/>
  <c r="Q277" i="3" a="1"/>
  <c r="Q277" i="3"/>
  <c r="Q278" i="3" a="1"/>
  <c r="Q278" i="3"/>
  <c r="Q279" i="3" a="1"/>
  <c r="Q279" i="3"/>
  <c r="Q280" i="3" a="1"/>
  <c r="Q280" i="3"/>
  <c r="Q281" i="3" a="1"/>
  <c r="Q281" i="3"/>
  <c r="Q282" i="3" a="1"/>
  <c r="Q282" i="3"/>
  <c r="Q283" i="3" a="1"/>
  <c r="Q283" i="3"/>
  <c r="Q284" i="3" a="1"/>
  <c r="Q284" i="3"/>
  <c r="Q285" i="3" a="1"/>
  <c r="Q285" i="3"/>
  <c r="Q286" i="3" a="1"/>
  <c r="Q286" i="3"/>
  <c r="Q287" i="3" a="1"/>
  <c r="Q287" i="3"/>
  <c r="Q288" i="3" a="1"/>
  <c r="Q288" i="3"/>
  <c r="Q289" i="3" a="1"/>
  <c r="Q289" i="3"/>
  <c r="Q290" i="3" a="1"/>
  <c r="Q290" i="3"/>
  <c r="Q291" i="3" a="1"/>
  <c r="Q291" i="3"/>
  <c r="Q292" i="3" a="1"/>
  <c r="Q292" i="3"/>
  <c r="Q293" i="3" a="1"/>
  <c r="Q293" i="3"/>
  <c r="Q294" i="3" a="1"/>
  <c r="Q294" i="3"/>
  <c r="Q295" i="3" a="1"/>
  <c r="Q295" i="3"/>
  <c r="Q296" i="3" a="1"/>
  <c r="Q296" i="3"/>
  <c r="Q297" i="3" a="1"/>
  <c r="Q297" i="3"/>
  <c r="Q298" i="3" a="1"/>
  <c r="Q298" i="3"/>
  <c r="Q299" i="3" a="1"/>
  <c r="Q299" i="3"/>
  <c r="Q300" i="3" a="1"/>
  <c r="Q300" i="3"/>
  <c r="Q301" i="3" a="1"/>
  <c r="Q301" i="3"/>
  <c r="Q302" i="3" a="1"/>
  <c r="Q302" i="3"/>
  <c r="Q303" i="3" a="1"/>
  <c r="Q303" i="3"/>
  <c r="Q304" i="3" a="1"/>
  <c r="Q304" i="3"/>
  <c r="Q305" i="3" a="1"/>
  <c r="Q305" i="3"/>
  <c r="Q306" i="3" a="1"/>
  <c r="Q306" i="3"/>
  <c r="Q307" i="3" a="1"/>
  <c r="Q307" i="3"/>
  <c r="Q308" i="3" a="1"/>
  <c r="Q308" i="3"/>
  <c r="Q309" i="3" a="1"/>
  <c r="Q309" i="3"/>
  <c r="Q310" i="3" a="1"/>
  <c r="Q310" i="3"/>
  <c r="Q311" i="3" a="1"/>
  <c r="Q311" i="3"/>
  <c r="Q312" i="3" a="1"/>
  <c r="Q312" i="3"/>
  <c r="Q313" i="3" a="1"/>
  <c r="Q313" i="3"/>
  <c r="Q314" i="3" a="1"/>
  <c r="Q314" i="3"/>
  <c r="Q315" i="3" a="1"/>
  <c r="Q315" i="3"/>
  <c r="Q316" i="3" a="1"/>
  <c r="Q316" i="3"/>
  <c r="Q317" i="3" a="1"/>
  <c r="Q317" i="3"/>
  <c r="Q318" i="3" a="1"/>
  <c r="Q318" i="3"/>
  <c r="Q319" i="3" a="1"/>
  <c r="Q319" i="3"/>
  <c r="Q320" i="3" a="1"/>
  <c r="Q320" i="3"/>
  <c r="Q321" i="3" a="1"/>
  <c r="Q321" i="3"/>
  <c r="Q322" i="3" a="1"/>
  <c r="Q322" i="3"/>
  <c r="Q323" i="3" a="1"/>
  <c r="Q323" i="3"/>
  <c r="Q324" i="3" a="1"/>
  <c r="Q324" i="3"/>
  <c r="Q325" i="3" a="1"/>
  <c r="Q325" i="3"/>
  <c r="Q326" i="3" a="1"/>
  <c r="Q326" i="3"/>
  <c r="Q327" i="3" a="1"/>
  <c r="Q327" i="3"/>
  <c r="Q328" i="3" a="1"/>
  <c r="Q328" i="3"/>
  <c r="Q329" i="3" a="1"/>
  <c r="Q329" i="3"/>
  <c r="Q330" i="3" a="1"/>
  <c r="Q330" i="3"/>
  <c r="Q331" i="3" a="1"/>
  <c r="Q331" i="3"/>
  <c r="Q332" i="3" a="1"/>
  <c r="Q332" i="3"/>
  <c r="Q333" i="3" a="1"/>
  <c r="Q333" i="3"/>
  <c r="Q334" i="3" a="1"/>
  <c r="Q334" i="3"/>
  <c r="Q335" i="3" a="1"/>
  <c r="Q335" i="3"/>
  <c r="Q336" i="3" a="1"/>
  <c r="Q336" i="3"/>
  <c r="Q337" i="3" a="1"/>
  <c r="Q337" i="3"/>
  <c r="Q338" i="3" a="1"/>
  <c r="Q338" i="3"/>
  <c r="Q339" i="3" a="1"/>
  <c r="Q339" i="3"/>
  <c r="Q340" i="3" a="1"/>
  <c r="Q340" i="3"/>
  <c r="Q341" i="3" a="1"/>
  <c r="Q341" i="3"/>
  <c r="Q342" i="3" a="1"/>
  <c r="Q342" i="3"/>
  <c r="Q343" i="3" a="1"/>
  <c r="Q343" i="3"/>
  <c r="Q344" i="3" a="1"/>
  <c r="Q344" i="3"/>
  <c r="Q345" i="3" a="1"/>
  <c r="Q345" i="3"/>
  <c r="Q346" i="3" a="1"/>
  <c r="Q346" i="3"/>
  <c r="Q347" i="3" a="1"/>
  <c r="Q347" i="3"/>
  <c r="Q348" i="3" a="1"/>
  <c r="Q348" i="3"/>
  <c r="Q349" i="3" a="1"/>
  <c r="Q349" i="3"/>
  <c r="Q350" i="3" a="1"/>
  <c r="Q350" i="3"/>
  <c r="Q351" i="3" a="1"/>
  <c r="Q351" i="3"/>
  <c r="Q352" i="3" a="1"/>
  <c r="Q352" i="3"/>
  <c r="Q353" i="3" a="1"/>
  <c r="Q353" i="3"/>
  <c r="Q354" i="3" a="1"/>
  <c r="Q354" i="3"/>
  <c r="Q355" i="3" a="1"/>
  <c r="Q355" i="3"/>
  <c r="Q356" i="3" a="1"/>
  <c r="Q356" i="3"/>
  <c r="Q357" i="3" a="1"/>
  <c r="Q357" i="3"/>
  <c r="Q358" i="3" a="1"/>
  <c r="Q358" i="3"/>
  <c r="Q359" i="3" a="1"/>
  <c r="Q359" i="3"/>
  <c r="Q360" i="3" a="1"/>
  <c r="Q360" i="3"/>
  <c r="Q361" i="3" a="1"/>
  <c r="Q361" i="3"/>
  <c r="Q362" i="3" a="1"/>
  <c r="Q362" i="3"/>
  <c r="Q363" i="3" a="1"/>
  <c r="Q363" i="3"/>
  <c r="Q364" i="3" a="1"/>
  <c r="Q364" i="3"/>
  <c r="Q365" i="3" a="1"/>
  <c r="Q365" i="3"/>
  <c r="Q366" i="3" a="1"/>
  <c r="Q366" i="3"/>
  <c r="Q367" i="3" a="1"/>
  <c r="Q367" i="3"/>
  <c r="Q368" i="3" a="1"/>
  <c r="Q368" i="3"/>
  <c r="Q369" i="3" a="1"/>
  <c r="Q369" i="3"/>
  <c r="Q370" i="3" a="1"/>
  <c r="Q370" i="3"/>
  <c r="Q371" i="3" a="1"/>
  <c r="Q371" i="3"/>
  <c r="Q372" i="3" a="1"/>
  <c r="Q372" i="3"/>
  <c r="Q373" i="3" a="1"/>
  <c r="Q373" i="3"/>
  <c r="Q374" i="3" a="1"/>
  <c r="Q374" i="3"/>
  <c r="Q375" i="3" a="1"/>
  <c r="Q375" i="3"/>
  <c r="Q376" i="3" a="1"/>
  <c r="Q376" i="3"/>
  <c r="Q377" i="3" a="1"/>
  <c r="Q377" i="3"/>
  <c r="Q378" i="3" a="1"/>
  <c r="Q378" i="3"/>
  <c r="Q379" i="3" a="1"/>
  <c r="Q379" i="3"/>
  <c r="Q380" i="3" a="1"/>
  <c r="Q380" i="3"/>
  <c r="Q381" i="3" a="1"/>
  <c r="Q381" i="3"/>
  <c r="Q382" i="3" a="1"/>
  <c r="Q382" i="3"/>
  <c r="Q383" i="3" a="1"/>
  <c r="Q383" i="3"/>
  <c r="Q384" i="3" a="1"/>
  <c r="Q384" i="3"/>
  <c r="Q385" i="3" a="1"/>
  <c r="Q385" i="3"/>
  <c r="Q386" i="3" a="1"/>
  <c r="Q386" i="3"/>
  <c r="Q387" i="3" a="1"/>
  <c r="Q387" i="3"/>
  <c r="Q388" i="3" a="1"/>
  <c r="Q388" i="3"/>
  <c r="Q389" i="3" a="1"/>
  <c r="Q389" i="3"/>
  <c r="Q390" i="3" a="1"/>
  <c r="Q390" i="3"/>
  <c r="Q391" i="3" a="1"/>
  <c r="Q391" i="3"/>
  <c r="Q392" i="3" a="1"/>
  <c r="Q392" i="3"/>
  <c r="Q393" i="3" a="1"/>
  <c r="Q393" i="3"/>
  <c r="Q394" i="3" a="1"/>
  <c r="Q394" i="3"/>
  <c r="Q395" i="3" a="1"/>
  <c r="Q395" i="3"/>
  <c r="Q396" i="3" a="1"/>
  <c r="Q396" i="3"/>
  <c r="Q397" i="3" a="1"/>
  <c r="Q397" i="3"/>
  <c r="Q398" i="3" a="1"/>
  <c r="Q398" i="3"/>
  <c r="Q399" i="3" a="1"/>
  <c r="Q399" i="3"/>
  <c r="Q400" i="3" a="1"/>
  <c r="Q400" i="3"/>
  <c r="Q401" i="3" a="1"/>
  <c r="Q401" i="3"/>
  <c r="Q402" i="3" a="1"/>
  <c r="Q402" i="3"/>
  <c r="Q403" i="3" a="1"/>
  <c r="Q403" i="3"/>
  <c r="Q404" i="3" a="1"/>
  <c r="Q404" i="3"/>
  <c r="Q405" i="3" a="1"/>
  <c r="Q405" i="3"/>
  <c r="Q406" i="3" a="1"/>
  <c r="Q406" i="3"/>
  <c r="Q407" i="3" a="1"/>
  <c r="Q407" i="3"/>
  <c r="Q408" i="3" a="1"/>
  <c r="Q408" i="3"/>
  <c r="Q409" i="3" a="1"/>
  <c r="Q409" i="3"/>
  <c r="Q410" i="3" a="1"/>
  <c r="Q410" i="3"/>
  <c r="Q411" i="3" a="1"/>
  <c r="Q411" i="3"/>
  <c r="Q412" i="3" a="1"/>
  <c r="Q412" i="3"/>
  <c r="Q413" i="3" a="1"/>
  <c r="Q413" i="3"/>
  <c r="Q414" i="3" a="1"/>
  <c r="Q414" i="3"/>
  <c r="Q415" i="3" a="1"/>
  <c r="Q415" i="3"/>
  <c r="Q416" i="3" a="1"/>
  <c r="Q416" i="3"/>
  <c r="Q417" i="3" a="1"/>
  <c r="Q417" i="3"/>
  <c r="Q418" i="3" a="1"/>
  <c r="Q418" i="3"/>
  <c r="Q419" i="3" a="1"/>
  <c r="Q419" i="3"/>
  <c r="Q420" i="3" a="1"/>
  <c r="Q420" i="3"/>
  <c r="Q421" i="3" a="1"/>
  <c r="Q421" i="3"/>
  <c r="Q422" i="3" a="1"/>
  <c r="Q422" i="3"/>
  <c r="Q423" i="3" a="1"/>
  <c r="Q423" i="3"/>
  <c r="Q424" i="3" a="1"/>
  <c r="Q424" i="3"/>
  <c r="Q425" i="3" a="1"/>
  <c r="Q425" i="3"/>
  <c r="Q426" i="3" a="1"/>
  <c r="Q426" i="3"/>
  <c r="Q427" i="3" a="1"/>
  <c r="Q427" i="3"/>
  <c r="Q428" i="3" a="1"/>
  <c r="Q428" i="3"/>
  <c r="Q429" i="3" a="1"/>
  <c r="Q429" i="3"/>
  <c r="Q430" i="3" a="1"/>
  <c r="Q430" i="3"/>
  <c r="Q431" i="3" a="1"/>
  <c r="Q431" i="3"/>
  <c r="Q432" i="3" a="1"/>
  <c r="Q432" i="3"/>
  <c r="Q433" i="3" a="1"/>
  <c r="Q433" i="3"/>
  <c r="Q434" i="3" a="1"/>
  <c r="Q434" i="3"/>
  <c r="Q435" i="3" a="1"/>
  <c r="Q435" i="3"/>
  <c r="Q436" i="3" a="1"/>
  <c r="Q436" i="3"/>
  <c r="Q437" i="3" a="1"/>
  <c r="Q437" i="3"/>
  <c r="Q438" i="3" a="1"/>
  <c r="Q438" i="3"/>
  <c r="Q439" i="3" a="1"/>
  <c r="Q439" i="3"/>
  <c r="Q440" i="3" a="1"/>
  <c r="Q440" i="3"/>
  <c r="Q441" i="3" a="1"/>
  <c r="Q441" i="3"/>
  <c r="Q442" i="3" a="1"/>
  <c r="Q442" i="3"/>
  <c r="Q443" i="3" a="1"/>
  <c r="Q443" i="3"/>
  <c r="Q444" i="3" a="1"/>
  <c r="Q444" i="3"/>
  <c r="Q445" i="3" a="1"/>
  <c r="Q445" i="3"/>
  <c r="Q446" i="3" a="1"/>
  <c r="Q446" i="3"/>
  <c r="Q447" i="3" a="1"/>
  <c r="Q447" i="3"/>
  <c r="Q448" i="3" a="1"/>
  <c r="Q448" i="3"/>
  <c r="Q449" i="3" a="1"/>
  <c r="Q449" i="3"/>
  <c r="Q450" i="3" a="1"/>
  <c r="Q450" i="3"/>
  <c r="Q451" i="3" a="1"/>
  <c r="Q451" i="3"/>
  <c r="Q452" i="3" a="1"/>
  <c r="Q452" i="3"/>
  <c r="Q453" i="3" a="1"/>
  <c r="Q453" i="3"/>
  <c r="Q454" i="3" a="1"/>
  <c r="Q454" i="3"/>
  <c r="Q455" i="3" a="1"/>
  <c r="Q455" i="3"/>
  <c r="Q456" i="3" a="1"/>
  <c r="Q456" i="3"/>
  <c r="Q457" i="3" a="1"/>
  <c r="Q457" i="3"/>
  <c r="Q458" i="3" a="1"/>
  <c r="Q458" i="3"/>
  <c r="Q459" i="3" a="1"/>
  <c r="Q459" i="3"/>
  <c r="Q460" i="3" a="1"/>
  <c r="Q460" i="3"/>
  <c r="Q461" i="3" a="1"/>
  <c r="Q461" i="3"/>
  <c r="Q462" i="3" a="1"/>
  <c r="Q462" i="3"/>
  <c r="Q463" i="3" a="1"/>
  <c r="Q463" i="3"/>
  <c r="Q464" i="3" a="1"/>
  <c r="Q464" i="3"/>
  <c r="Q465" i="3" a="1"/>
  <c r="Q465" i="3"/>
  <c r="Q466" i="3" a="1"/>
  <c r="Q466" i="3"/>
  <c r="Q467" i="3" a="1"/>
  <c r="Q467" i="3"/>
  <c r="Q468" i="3" a="1"/>
  <c r="Q468" i="3"/>
  <c r="Q469" i="3" a="1"/>
  <c r="Q469" i="3"/>
  <c r="Q470" i="3" a="1"/>
  <c r="Q470" i="3"/>
  <c r="Q471" i="3" a="1"/>
  <c r="Q471" i="3"/>
  <c r="Q472" i="3" a="1"/>
  <c r="Q472" i="3"/>
  <c r="Q473" i="3" a="1"/>
  <c r="Q473" i="3"/>
  <c r="Q474" i="3" a="1"/>
  <c r="Q474" i="3"/>
  <c r="Q475" i="3" a="1"/>
  <c r="Q475" i="3"/>
  <c r="Q476" i="3" a="1"/>
  <c r="Q476" i="3"/>
  <c r="Q477" i="3" a="1"/>
  <c r="Q477" i="3"/>
  <c r="Q478" i="3" a="1"/>
  <c r="Q478" i="3"/>
  <c r="Q479" i="3" a="1"/>
  <c r="Q479" i="3"/>
  <c r="Q480" i="3" a="1"/>
  <c r="Q480" i="3"/>
  <c r="Q481" i="3" a="1"/>
  <c r="Q481" i="3"/>
  <c r="Q482" i="3" a="1"/>
  <c r="Q482" i="3"/>
  <c r="Q483" i="3" a="1"/>
  <c r="Q483" i="3"/>
  <c r="Q484" i="3" a="1"/>
  <c r="Q484" i="3"/>
  <c r="Q485" i="3" a="1"/>
  <c r="Q485" i="3"/>
  <c r="Q486" i="3" a="1"/>
  <c r="Q486" i="3"/>
  <c r="Q487" i="3" a="1"/>
  <c r="Q487" i="3"/>
  <c r="Q488" i="3" a="1"/>
  <c r="Q488" i="3"/>
  <c r="Q489" i="3" a="1"/>
  <c r="Q489" i="3"/>
  <c r="Q490" i="3" a="1"/>
  <c r="Q490" i="3"/>
  <c r="Q491" i="3" a="1"/>
  <c r="Q491" i="3"/>
  <c r="Q492" i="3" a="1"/>
  <c r="Q492" i="3"/>
  <c r="Q493" i="3" a="1"/>
  <c r="Q493" i="3"/>
  <c r="Q494" i="3" a="1"/>
  <c r="Q494" i="3"/>
  <c r="Q495" i="3" a="1"/>
  <c r="Q495" i="3"/>
  <c r="Q496" i="3" a="1"/>
  <c r="Q496" i="3"/>
  <c r="Q497" i="3" a="1"/>
  <c r="Q497" i="3"/>
  <c r="Q498" i="3" a="1"/>
  <c r="Q498" i="3"/>
  <c r="Q499" i="3" a="1"/>
  <c r="Q499" i="3"/>
  <c r="Q500" i="3" a="1"/>
  <c r="Q500" i="3"/>
  <c r="Q501" i="3" a="1"/>
  <c r="Q501" i="3"/>
  <c r="Q502" i="3" a="1"/>
  <c r="Q502" i="3"/>
  <c r="Q503" i="3" a="1"/>
  <c r="Q503" i="3"/>
  <c r="Q504" i="3" a="1"/>
  <c r="Q504" i="3"/>
  <c r="Q505" i="3" a="1"/>
  <c r="Q505" i="3"/>
  <c r="Q506" i="3" a="1"/>
  <c r="Q506" i="3"/>
  <c r="Q507" i="3" a="1"/>
  <c r="Q507" i="3"/>
  <c r="Q508" i="3" a="1"/>
  <c r="Q508" i="3"/>
  <c r="Q509" i="3" a="1"/>
  <c r="Q509" i="3"/>
  <c r="Q510" i="3" a="1"/>
  <c r="Q510" i="3"/>
  <c r="Q511" i="3" a="1"/>
  <c r="Q511" i="3"/>
  <c r="Q512" i="3" a="1"/>
  <c r="Q512" i="3"/>
  <c r="Q513" i="3" a="1"/>
  <c r="Q513" i="3"/>
  <c r="Q514" i="3" a="1"/>
  <c r="Q514" i="3"/>
  <c r="Q515" i="3" a="1"/>
  <c r="Q515" i="3"/>
  <c r="Q516" i="3" a="1"/>
  <c r="Q516" i="3"/>
  <c r="Q517" i="3" a="1"/>
  <c r="Q517" i="3"/>
  <c r="Q518" i="3" a="1"/>
  <c r="Q518" i="3"/>
  <c r="Q519" i="3" a="1"/>
  <c r="Q519" i="3"/>
  <c r="Q520" i="3" a="1"/>
  <c r="Q520" i="3"/>
  <c r="Q521" i="3" a="1"/>
  <c r="Q521" i="3"/>
  <c r="Q522" i="3" a="1"/>
  <c r="Q522" i="3"/>
  <c r="Q523" i="3" a="1"/>
  <c r="Q523" i="3"/>
  <c r="Q524" i="3" a="1"/>
  <c r="Q524" i="3"/>
  <c r="Q525" i="3" a="1"/>
  <c r="Q525" i="3"/>
  <c r="Q526" i="3" a="1"/>
  <c r="Q526" i="3"/>
  <c r="Q527" i="3" a="1"/>
  <c r="Q527" i="3"/>
  <c r="Q528" i="3" a="1"/>
  <c r="Q528" i="3"/>
  <c r="Q529" i="3" a="1"/>
  <c r="Q529" i="3"/>
  <c r="Q530" i="3" a="1"/>
  <c r="Q530" i="3"/>
  <c r="Q531" i="3" a="1"/>
  <c r="Q531" i="3"/>
  <c r="Q532" i="3" a="1"/>
  <c r="Q532" i="3"/>
  <c r="Q533" i="3" a="1"/>
  <c r="Q533" i="3"/>
  <c r="Q534" i="3" a="1"/>
  <c r="Q534" i="3"/>
  <c r="Q535" i="3" a="1"/>
  <c r="Q535" i="3"/>
  <c r="Q536" i="3" a="1"/>
  <c r="Q536" i="3"/>
  <c r="Q537" i="3" a="1"/>
  <c r="Q537" i="3"/>
  <c r="Q538" i="3" a="1"/>
  <c r="Q538" i="3"/>
  <c r="Q539" i="3" a="1"/>
  <c r="Q539" i="3"/>
  <c r="Q540" i="3" a="1"/>
  <c r="Q540" i="3"/>
  <c r="Q541" i="3" a="1"/>
  <c r="Q541" i="3"/>
  <c r="Q542" i="3" a="1"/>
  <c r="Q542" i="3"/>
  <c r="Q543" i="3" a="1"/>
  <c r="Q543" i="3"/>
  <c r="Q544" i="3" a="1"/>
  <c r="Q544" i="3"/>
  <c r="Q545" i="3" a="1"/>
  <c r="Q545" i="3"/>
  <c r="Q546" i="3" a="1"/>
  <c r="Q546" i="3"/>
  <c r="Q547" i="3" a="1"/>
  <c r="Q547" i="3"/>
  <c r="Q548" i="3" a="1"/>
  <c r="Q548" i="3"/>
  <c r="Q549" i="3" a="1"/>
  <c r="Q549" i="3"/>
  <c r="Q550" i="3" a="1"/>
  <c r="Q550" i="3"/>
  <c r="Q551" i="3" a="1"/>
  <c r="Q551" i="3"/>
  <c r="Q552" i="3" a="1"/>
  <c r="Q552" i="3"/>
  <c r="Q553" i="3" a="1"/>
  <c r="Q553" i="3"/>
  <c r="Q554" i="3" a="1"/>
  <c r="Q554" i="3"/>
  <c r="Q555" i="3" a="1"/>
  <c r="Q555" i="3"/>
  <c r="Q556" i="3" a="1"/>
  <c r="Q556" i="3"/>
  <c r="Q557" i="3" a="1"/>
  <c r="Q557" i="3"/>
  <c r="Q558" i="3" a="1"/>
  <c r="Q558" i="3"/>
  <c r="Q559" i="3" a="1"/>
  <c r="Q559" i="3"/>
  <c r="Q560" i="3" a="1"/>
  <c r="Q560" i="3"/>
  <c r="Q561" i="3" a="1"/>
  <c r="Q561" i="3"/>
  <c r="Q562" i="3" a="1"/>
  <c r="Q562" i="3"/>
  <c r="Q563" i="3" a="1"/>
  <c r="Q563" i="3"/>
  <c r="Q564" i="3" a="1"/>
  <c r="Q564" i="3"/>
  <c r="Q565" i="3" a="1"/>
  <c r="Q565" i="3"/>
  <c r="Q566" i="3" a="1"/>
  <c r="Q566" i="3"/>
  <c r="Q567" i="3" a="1"/>
  <c r="Q567" i="3"/>
  <c r="Q568" i="3" a="1"/>
  <c r="Q568" i="3"/>
  <c r="Q569" i="3" a="1"/>
  <c r="Q569" i="3"/>
  <c r="Q570" i="3" a="1"/>
  <c r="Q570" i="3"/>
  <c r="Q571" i="3" a="1"/>
  <c r="Q571" i="3"/>
  <c r="Q572" i="3" a="1"/>
  <c r="Q572" i="3"/>
  <c r="Q573" i="3" a="1"/>
  <c r="Q573" i="3"/>
  <c r="Q574" i="3" a="1"/>
  <c r="Q574" i="3"/>
  <c r="Q575" i="3" a="1"/>
  <c r="Q575" i="3"/>
  <c r="Q576" i="3" a="1"/>
  <c r="Q576" i="3"/>
  <c r="Q577" i="3" a="1"/>
  <c r="Q577" i="3"/>
  <c r="Q578" i="3" a="1"/>
  <c r="Q578" i="3"/>
  <c r="Q579" i="3" a="1"/>
  <c r="Q579" i="3"/>
  <c r="Q580" i="3" a="1"/>
  <c r="Q580" i="3"/>
  <c r="Q581" i="3" a="1"/>
  <c r="Q581" i="3"/>
  <c r="Q582" i="3" a="1"/>
  <c r="Q582" i="3"/>
  <c r="Q583" i="3" a="1"/>
  <c r="Q583" i="3"/>
  <c r="Q584" i="3" a="1"/>
  <c r="Q584" i="3"/>
  <c r="Q585" i="3" a="1"/>
  <c r="Q585" i="3"/>
  <c r="Q586" i="3" a="1"/>
  <c r="Q586" i="3"/>
  <c r="Q587" i="3" a="1"/>
  <c r="Q587" i="3"/>
  <c r="Q588" i="3" a="1"/>
  <c r="Q588" i="3"/>
  <c r="Q589" i="3" a="1"/>
  <c r="Q589" i="3"/>
  <c r="Q590" i="3" a="1"/>
  <c r="Q590" i="3"/>
  <c r="Q591" i="3" a="1"/>
  <c r="Q591" i="3"/>
  <c r="Q592" i="3" a="1"/>
  <c r="Q592" i="3"/>
  <c r="Q593" i="3" a="1"/>
  <c r="Q593" i="3"/>
  <c r="Q594" i="3" a="1"/>
  <c r="Q594" i="3"/>
  <c r="Q595" i="3" a="1"/>
  <c r="Q595" i="3"/>
  <c r="Q596" i="3" a="1"/>
  <c r="Q596" i="3"/>
  <c r="Q597" i="3" a="1"/>
  <c r="Q597" i="3"/>
  <c r="Q598" i="3" a="1"/>
  <c r="Q598" i="3"/>
  <c r="Q599" i="3" a="1"/>
  <c r="Q599" i="3"/>
  <c r="Q600" i="3" a="1"/>
  <c r="Q600" i="3"/>
  <c r="Q601" i="3" a="1"/>
  <c r="Q601" i="3"/>
  <c r="Q602" i="3" a="1"/>
  <c r="Q602" i="3"/>
  <c r="Q603" i="3" a="1"/>
  <c r="Q603" i="3"/>
  <c r="Q604" i="3" a="1"/>
  <c r="Q604" i="3"/>
  <c r="Q605" i="3" a="1"/>
  <c r="Q605" i="3"/>
  <c r="Q606" i="3" a="1"/>
  <c r="Q606" i="3"/>
  <c r="Q607" i="3" a="1"/>
  <c r="Q607" i="3"/>
  <c r="Q608" i="3" a="1"/>
  <c r="Q608" i="3"/>
  <c r="Q609" i="3" a="1"/>
  <c r="Q609" i="3"/>
  <c r="Q610" i="3" a="1"/>
  <c r="Q610" i="3"/>
  <c r="Q611" i="3" a="1"/>
  <c r="Q611" i="3"/>
  <c r="Q612" i="3" a="1"/>
  <c r="Q612" i="3"/>
  <c r="Q613" i="3" a="1"/>
  <c r="Q613" i="3"/>
  <c r="Q614" i="3" a="1"/>
  <c r="Q614" i="3"/>
  <c r="Q615" i="3" a="1"/>
  <c r="Q615" i="3"/>
  <c r="Q616" i="3" a="1"/>
  <c r="Q616" i="3"/>
  <c r="Q617" i="3" a="1"/>
  <c r="Q617" i="3"/>
  <c r="Q618" i="3" a="1"/>
  <c r="Q618" i="3"/>
  <c r="Q619" i="3" a="1"/>
  <c r="Q619" i="3"/>
  <c r="Q620" i="3" a="1"/>
  <c r="Q620" i="3"/>
  <c r="Q621" i="3" a="1"/>
  <c r="Q621" i="3"/>
  <c r="Q622" i="3" a="1"/>
  <c r="Q622" i="3"/>
  <c r="Q623" i="3" a="1"/>
  <c r="Q623" i="3"/>
  <c r="Q624" i="3" a="1"/>
  <c r="Q624" i="3"/>
  <c r="Q625" i="3" a="1"/>
  <c r="Q625" i="3"/>
  <c r="Q626" i="3" a="1"/>
  <c r="Q626" i="3"/>
  <c r="Q627" i="3" a="1"/>
  <c r="Q627" i="3"/>
  <c r="Q628" i="3" a="1"/>
  <c r="Q628" i="3"/>
  <c r="Q629" i="3" a="1"/>
  <c r="Q629" i="3"/>
  <c r="Q630" i="3" a="1"/>
  <c r="Q630" i="3"/>
  <c r="Q631" i="3" a="1"/>
  <c r="Q631" i="3"/>
  <c r="Q632" i="3" a="1"/>
  <c r="Q632" i="3"/>
  <c r="Q633" i="3" a="1"/>
  <c r="Q633" i="3"/>
  <c r="Q634" i="3" a="1"/>
  <c r="Q634" i="3"/>
  <c r="Q635" i="3" a="1"/>
  <c r="Q635" i="3"/>
  <c r="Q636" i="3" a="1"/>
  <c r="Q636" i="3"/>
  <c r="Q637" i="3" a="1"/>
  <c r="Q637" i="3"/>
  <c r="Q638" i="3" a="1"/>
  <c r="Q638" i="3"/>
  <c r="Q639" i="3" a="1"/>
  <c r="Q639" i="3"/>
  <c r="Q640" i="3" a="1"/>
  <c r="Q640" i="3"/>
  <c r="Q641" i="3" a="1"/>
  <c r="Q641" i="3"/>
  <c r="Q642" i="3" a="1"/>
  <c r="Q642" i="3"/>
  <c r="Q643" i="3" a="1"/>
  <c r="Q643" i="3"/>
  <c r="Q644" i="3" a="1"/>
  <c r="Q644" i="3"/>
  <c r="Q645" i="3" a="1"/>
  <c r="Q645" i="3"/>
  <c r="Q646" i="3" a="1"/>
  <c r="Q646" i="3"/>
  <c r="Q647" i="3" a="1"/>
  <c r="Q647" i="3"/>
  <c r="Q648" i="3" a="1"/>
  <c r="Q648" i="3"/>
  <c r="Q649" i="3" a="1"/>
  <c r="Q649" i="3"/>
  <c r="Q650" i="3" a="1"/>
  <c r="Q650" i="3"/>
  <c r="Q651" i="3" a="1"/>
  <c r="Q651" i="3"/>
  <c r="Q652" i="3" a="1"/>
  <c r="Q652" i="3"/>
  <c r="Q653" i="3" a="1"/>
  <c r="Q653" i="3"/>
  <c r="Q654" i="3" a="1"/>
  <c r="Q654" i="3"/>
  <c r="Q655" i="3" a="1"/>
  <c r="Q655" i="3"/>
  <c r="Q656" i="3" a="1"/>
  <c r="Q656" i="3"/>
  <c r="Q657" i="3" a="1"/>
  <c r="Q657" i="3"/>
  <c r="Q658" i="3" a="1"/>
  <c r="Q658" i="3"/>
  <c r="Q659" i="3" a="1"/>
  <c r="Q659" i="3"/>
  <c r="Q660" i="3" a="1"/>
  <c r="Q660" i="3"/>
  <c r="Q661" i="3" a="1"/>
  <c r="Q661" i="3"/>
  <c r="Q662" i="3" a="1"/>
  <c r="Q662" i="3"/>
  <c r="Q663" i="3" a="1"/>
  <c r="Q663" i="3"/>
  <c r="Q664" i="3" a="1"/>
  <c r="Q664" i="3"/>
  <c r="Q665" i="3" a="1"/>
  <c r="Q665" i="3"/>
  <c r="Q666" i="3" a="1"/>
  <c r="Q666" i="3"/>
  <c r="Q667" i="3" a="1"/>
  <c r="Q667" i="3"/>
  <c r="Q668" i="3" a="1"/>
  <c r="Q668" i="3"/>
  <c r="Q669" i="3" a="1"/>
  <c r="Q669" i="3"/>
  <c r="Q670" i="3" a="1"/>
  <c r="Q670" i="3"/>
  <c r="Q671" i="3" a="1"/>
  <c r="Q671" i="3"/>
  <c r="Q672" i="3" a="1"/>
  <c r="Q672" i="3"/>
  <c r="Q673" i="3" a="1"/>
  <c r="Q673" i="3"/>
  <c r="Q674" i="3" a="1"/>
  <c r="Q674" i="3"/>
  <c r="Q675" i="3" a="1"/>
  <c r="Q675" i="3"/>
  <c r="Q676" i="3" a="1"/>
  <c r="Q676" i="3"/>
  <c r="Q677" i="3" a="1"/>
  <c r="Q677" i="3"/>
  <c r="Q678" i="3" a="1"/>
  <c r="Q678" i="3"/>
  <c r="Q679" i="3" a="1"/>
  <c r="Q679" i="3"/>
  <c r="Q680" i="3" a="1"/>
  <c r="Q680" i="3"/>
  <c r="Q681" i="3" a="1"/>
  <c r="Q681" i="3"/>
  <c r="Q682" i="3" a="1"/>
  <c r="Q682" i="3"/>
  <c r="Q683" i="3" a="1"/>
  <c r="Q683" i="3"/>
  <c r="Q684" i="3" a="1"/>
  <c r="Q684" i="3"/>
  <c r="Q685" i="3" a="1"/>
  <c r="Q685" i="3"/>
  <c r="Q686" i="3" a="1"/>
  <c r="Q686" i="3"/>
  <c r="Q687" i="3" a="1"/>
  <c r="Q687" i="3"/>
  <c r="Q688" i="3" a="1"/>
  <c r="Q688" i="3"/>
  <c r="Q689" i="3" a="1"/>
  <c r="Q689" i="3"/>
  <c r="Q690" i="3" a="1"/>
  <c r="Q690" i="3"/>
  <c r="Q691" i="3" a="1"/>
  <c r="Q691" i="3"/>
  <c r="Q692" i="3" a="1"/>
  <c r="Q692" i="3"/>
  <c r="Q693" i="3" a="1"/>
  <c r="Q693" i="3"/>
  <c r="Q694" i="3" a="1"/>
  <c r="Q694" i="3"/>
  <c r="Q695" i="3" a="1"/>
  <c r="Q695" i="3"/>
  <c r="Q696" i="3" a="1"/>
  <c r="Q696" i="3"/>
  <c r="Q697" i="3" a="1"/>
  <c r="Q697" i="3"/>
  <c r="Q698" i="3" a="1"/>
  <c r="Q698" i="3"/>
  <c r="Q699" i="3" a="1"/>
  <c r="Q699" i="3"/>
  <c r="Q700" i="3" a="1"/>
  <c r="Q700" i="3"/>
  <c r="Q701" i="3" a="1"/>
  <c r="Q701" i="3"/>
  <c r="Q702" i="3" a="1"/>
  <c r="Q702" i="3"/>
  <c r="Q703" i="3" a="1"/>
  <c r="Q703" i="3"/>
  <c r="Q704" i="3" a="1"/>
  <c r="Q704" i="3"/>
  <c r="Q705" i="3" a="1"/>
  <c r="Q705" i="3"/>
  <c r="Q706" i="3" a="1"/>
  <c r="Q706" i="3"/>
  <c r="Q707" i="3" a="1"/>
  <c r="Q707" i="3"/>
  <c r="Q708" i="3" a="1"/>
  <c r="Q708" i="3"/>
  <c r="Q709" i="3" a="1"/>
  <c r="Q709" i="3"/>
  <c r="Q710" i="3" a="1"/>
  <c r="Q710" i="3"/>
  <c r="Q711" i="3" a="1"/>
  <c r="Q711" i="3"/>
  <c r="Q712" i="3" a="1"/>
  <c r="Q712" i="3"/>
  <c r="Q713" i="3" a="1"/>
  <c r="Q713" i="3"/>
  <c r="Q714" i="3" a="1"/>
  <c r="Q714" i="3"/>
  <c r="Q715" i="3" a="1"/>
  <c r="Q715" i="3"/>
  <c r="Q716" i="3" a="1"/>
  <c r="Q716" i="3"/>
  <c r="Q717" i="3" a="1"/>
  <c r="Q717" i="3"/>
  <c r="Q718" i="3" a="1"/>
  <c r="Q718" i="3"/>
  <c r="Q719" i="3" a="1"/>
  <c r="Q719" i="3"/>
  <c r="Q720" i="3" a="1"/>
  <c r="Q720" i="3"/>
  <c r="Q721" i="3" a="1"/>
  <c r="Q721" i="3"/>
  <c r="Q722" i="3" a="1"/>
  <c r="Q722" i="3"/>
  <c r="Q723" i="3" a="1"/>
  <c r="Q723" i="3"/>
  <c r="Q724" i="3" a="1"/>
  <c r="Q724" i="3"/>
  <c r="Q725" i="3" a="1"/>
  <c r="Q725" i="3"/>
  <c r="Q726" i="3" a="1"/>
  <c r="Q726" i="3"/>
  <c r="Q727" i="3" a="1"/>
  <c r="Q727" i="3"/>
  <c r="Q728" i="3" a="1"/>
  <c r="Q728" i="3"/>
  <c r="Q729" i="3" a="1"/>
  <c r="Q729" i="3"/>
  <c r="Q730" i="3" a="1"/>
  <c r="Q730" i="3"/>
  <c r="Q731" i="3" a="1"/>
  <c r="Q731" i="3"/>
  <c r="Q732" i="3" a="1"/>
  <c r="Q732" i="3"/>
  <c r="Q733" i="3" a="1"/>
  <c r="Q733" i="3"/>
  <c r="Q734" i="3" a="1"/>
  <c r="Q734" i="3"/>
  <c r="Q735" i="3" a="1"/>
  <c r="Q735" i="3"/>
  <c r="Q736" i="3" a="1"/>
  <c r="Q736" i="3"/>
  <c r="Q737" i="3" a="1"/>
  <c r="Q737" i="3"/>
  <c r="Q738" i="3" a="1"/>
  <c r="Q738" i="3"/>
  <c r="Q739" i="3" a="1"/>
  <c r="Q739" i="3"/>
  <c r="Q740" i="3" a="1"/>
  <c r="Q740" i="3"/>
  <c r="Q741" i="3" a="1"/>
  <c r="Q741" i="3"/>
  <c r="Q742" i="3" a="1"/>
  <c r="Q742" i="3"/>
  <c r="Q743" i="3" a="1"/>
  <c r="Q743" i="3"/>
  <c r="Q744" i="3" a="1"/>
  <c r="Q744" i="3"/>
  <c r="Q745" i="3" a="1"/>
  <c r="Q745" i="3"/>
  <c r="Q746" i="3" a="1"/>
  <c r="Q746" i="3"/>
  <c r="Q747" i="3" a="1"/>
  <c r="Q747" i="3"/>
  <c r="Q748" i="3" a="1"/>
  <c r="Q748" i="3"/>
  <c r="Q749" i="3" a="1"/>
  <c r="Q749" i="3"/>
  <c r="Q750" i="3" a="1"/>
  <c r="Q750" i="3"/>
  <c r="Q751" i="3" a="1"/>
  <c r="Q751" i="3"/>
  <c r="Q752" i="3" a="1"/>
  <c r="Q752" i="3"/>
  <c r="Q753" i="3" a="1"/>
  <c r="Q753" i="3"/>
  <c r="Q754" i="3" a="1"/>
  <c r="Q754" i="3"/>
  <c r="Q755" i="3" a="1"/>
  <c r="Q755" i="3"/>
  <c r="Q756" i="3" a="1"/>
  <c r="Q756" i="3"/>
  <c r="Q757" i="3" a="1"/>
  <c r="Q757" i="3"/>
  <c r="Q758" i="3" a="1"/>
  <c r="Q758" i="3"/>
  <c r="Q759" i="3" a="1"/>
  <c r="Q759" i="3"/>
  <c r="Q760" i="3" a="1"/>
  <c r="Q760" i="3"/>
  <c r="Q761" i="3" a="1"/>
  <c r="Q761" i="3"/>
  <c r="Q762" i="3" a="1"/>
  <c r="Q762" i="3"/>
  <c r="Q763" i="3" a="1"/>
  <c r="Q763" i="3"/>
  <c r="Q764" i="3" a="1"/>
  <c r="Q764" i="3"/>
  <c r="Q765" i="3" a="1"/>
  <c r="Q765" i="3"/>
  <c r="Q766" i="3" a="1"/>
  <c r="Q766" i="3"/>
  <c r="Q767" i="3" a="1"/>
  <c r="Q767" i="3"/>
  <c r="Q768" i="3" a="1"/>
  <c r="Q768" i="3"/>
  <c r="Q769" i="3" a="1"/>
  <c r="Q769" i="3"/>
  <c r="Q770" i="3" a="1"/>
  <c r="Q770" i="3"/>
  <c r="Q771" i="3" a="1"/>
  <c r="Q771" i="3"/>
  <c r="Q772" i="3" a="1"/>
  <c r="Q772" i="3"/>
  <c r="Q773" i="3" a="1"/>
  <c r="Q773" i="3"/>
  <c r="Q774" i="3" a="1"/>
  <c r="Q774" i="3"/>
  <c r="Q775" i="3" a="1"/>
  <c r="Q775" i="3"/>
  <c r="Q776" i="3" a="1"/>
  <c r="Q776" i="3"/>
  <c r="Q777" i="3" a="1"/>
  <c r="Q777" i="3"/>
  <c r="Q778" i="3" a="1"/>
  <c r="Q778" i="3"/>
  <c r="Q779" i="3" a="1"/>
  <c r="Q779" i="3"/>
  <c r="Q780" i="3" a="1"/>
  <c r="Q780" i="3"/>
  <c r="Q781" i="3" a="1"/>
  <c r="Q781" i="3"/>
  <c r="Q782" i="3" a="1"/>
  <c r="Q782" i="3"/>
  <c r="Q783" i="3" a="1"/>
  <c r="Q783" i="3"/>
  <c r="Q784" i="3" a="1"/>
  <c r="Q784" i="3"/>
  <c r="Q785" i="3" a="1"/>
  <c r="Q785" i="3"/>
  <c r="Q786" i="3" a="1"/>
  <c r="Q786" i="3"/>
  <c r="Q787" i="3" a="1"/>
  <c r="Q787" i="3"/>
  <c r="Q788" i="3" a="1"/>
  <c r="Q788" i="3"/>
  <c r="Q789" i="3" a="1"/>
  <c r="Q789" i="3"/>
  <c r="Q790" i="3" a="1"/>
  <c r="Q790" i="3"/>
  <c r="Q791" i="3" a="1"/>
  <c r="Q791" i="3"/>
  <c r="Q792" i="3" a="1"/>
  <c r="Q792" i="3"/>
  <c r="Q793" i="3" a="1"/>
  <c r="Q793" i="3"/>
  <c r="Q794" i="3" a="1"/>
  <c r="Q794" i="3"/>
  <c r="Q795" i="3" a="1"/>
  <c r="Q795" i="3"/>
  <c r="Q796" i="3" a="1"/>
  <c r="Q796" i="3"/>
  <c r="Q797" i="3" a="1"/>
  <c r="Q797" i="3"/>
  <c r="Q798" i="3" a="1"/>
  <c r="Q798" i="3"/>
  <c r="Q799" i="3" a="1"/>
  <c r="Q799" i="3"/>
  <c r="Q800" i="3" a="1"/>
  <c r="Q800" i="3"/>
  <c r="Q801" i="3" a="1"/>
  <c r="Q801" i="3"/>
  <c r="Q802" i="3" a="1"/>
  <c r="Q802" i="3"/>
  <c r="Q803" i="3" a="1"/>
  <c r="Q803" i="3"/>
  <c r="Q804" i="3" a="1"/>
  <c r="Q804" i="3"/>
  <c r="Q805" i="3" a="1"/>
  <c r="Q805" i="3"/>
  <c r="Q806" i="3" a="1"/>
  <c r="Q806" i="3"/>
  <c r="Q807" i="3" a="1"/>
  <c r="Q807" i="3"/>
  <c r="Q808" i="3" a="1"/>
  <c r="Q808" i="3"/>
  <c r="Q809" i="3" a="1"/>
  <c r="Q809" i="3"/>
  <c r="Q810" i="3" a="1"/>
  <c r="Q810" i="3"/>
  <c r="Q811" i="3" a="1"/>
  <c r="Q811" i="3"/>
  <c r="Q812" i="3" a="1"/>
  <c r="Q812" i="3"/>
  <c r="Q813" i="3" a="1"/>
  <c r="Q813" i="3"/>
  <c r="Q814" i="3" a="1"/>
  <c r="Q814" i="3"/>
  <c r="Q815" i="3" a="1"/>
  <c r="Q815" i="3"/>
  <c r="Q816" i="3" a="1"/>
  <c r="Q816" i="3"/>
  <c r="Q817" i="3" a="1"/>
  <c r="Q817" i="3"/>
  <c r="Q818" i="3" a="1"/>
  <c r="Q818" i="3"/>
  <c r="Q819" i="3" a="1"/>
  <c r="Q819" i="3"/>
  <c r="Q820" i="3" a="1"/>
  <c r="Q820" i="3"/>
  <c r="Q821" i="3" a="1"/>
  <c r="Q821" i="3"/>
  <c r="Q822" i="3" a="1"/>
  <c r="Q822" i="3"/>
  <c r="Q823" i="3" a="1"/>
  <c r="Q823" i="3"/>
  <c r="Q824" i="3" a="1"/>
  <c r="Q824" i="3"/>
  <c r="Q825" i="3" a="1"/>
  <c r="Q825" i="3"/>
  <c r="Q826" i="3" a="1"/>
  <c r="Q826" i="3"/>
  <c r="Q827" i="3" a="1"/>
  <c r="Q827" i="3"/>
  <c r="Q828" i="3" a="1"/>
  <c r="Q828" i="3"/>
  <c r="Q829" i="3" a="1"/>
  <c r="Q829" i="3"/>
  <c r="Q830" i="3" a="1"/>
  <c r="Q830" i="3"/>
  <c r="Q831" i="3" a="1"/>
  <c r="Q831" i="3"/>
  <c r="Q832" i="3" a="1"/>
  <c r="Q832" i="3"/>
  <c r="Q833" i="3" a="1"/>
  <c r="Q833" i="3"/>
  <c r="Q834" i="3" a="1"/>
  <c r="Q834" i="3"/>
  <c r="Q835" i="3" a="1"/>
  <c r="Q835" i="3"/>
  <c r="Q836" i="3" a="1"/>
  <c r="Q836" i="3"/>
  <c r="Q837" i="3" a="1"/>
  <c r="Q837" i="3"/>
  <c r="Q838" i="3" a="1"/>
  <c r="Q838" i="3"/>
  <c r="Q839" i="3" a="1"/>
  <c r="Q839" i="3"/>
  <c r="Q840" i="3" a="1"/>
  <c r="Q840" i="3"/>
  <c r="Q841" i="3" a="1"/>
  <c r="Q841" i="3"/>
  <c r="Q842" i="3" a="1"/>
  <c r="Q842" i="3"/>
  <c r="Q843" i="3" a="1"/>
  <c r="Q843" i="3"/>
  <c r="Q844" i="3" a="1"/>
  <c r="Q844" i="3"/>
  <c r="Q845" i="3" a="1"/>
  <c r="Q845" i="3"/>
  <c r="Q846" i="3" a="1"/>
  <c r="Q846" i="3"/>
  <c r="Q847" i="3" a="1"/>
  <c r="Q847" i="3"/>
  <c r="Q848" i="3" a="1"/>
  <c r="Q848" i="3"/>
  <c r="Q849" i="3" a="1"/>
  <c r="Q849" i="3"/>
  <c r="Q850" i="3" a="1"/>
  <c r="Q850" i="3"/>
  <c r="Q851" i="3" a="1"/>
  <c r="Q851" i="3"/>
  <c r="Q852" i="3" a="1"/>
  <c r="Q852" i="3"/>
  <c r="Q853" i="3" a="1"/>
  <c r="Q853" i="3"/>
  <c r="Q854" i="3" a="1"/>
  <c r="Q854" i="3"/>
  <c r="Q855" i="3" a="1"/>
  <c r="Q855" i="3"/>
  <c r="Q856" i="3" a="1"/>
  <c r="Q856" i="3"/>
  <c r="Q857" i="3" a="1"/>
  <c r="Q857" i="3"/>
  <c r="Q858" i="3" a="1"/>
  <c r="Q858" i="3"/>
  <c r="Q859" i="3" a="1"/>
  <c r="Q859" i="3"/>
  <c r="Q860" i="3" a="1"/>
  <c r="Q860" i="3"/>
  <c r="Q861" i="3" a="1"/>
  <c r="Q861" i="3"/>
  <c r="Q862" i="3" a="1"/>
  <c r="Q862" i="3"/>
  <c r="Q863" i="3" a="1"/>
  <c r="Q863" i="3"/>
  <c r="Q864" i="3" a="1"/>
  <c r="Q864" i="3"/>
  <c r="Q865" i="3" a="1"/>
  <c r="Q865" i="3"/>
  <c r="Q866" i="3" a="1"/>
  <c r="Q866" i="3"/>
  <c r="Q867" i="3" a="1"/>
  <c r="Q867" i="3"/>
  <c r="Q868" i="3" a="1"/>
  <c r="Q868" i="3"/>
  <c r="Q869" i="3" a="1"/>
  <c r="Q869" i="3"/>
  <c r="Q870" i="3" a="1"/>
  <c r="Q870" i="3"/>
  <c r="Q871" i="3" a="1"/>
  <c r="Q871" i="3"/>
  <c r="Q872" i="3" a="1"/>
  <c r="Q872" i="3"/>
  <c r="Q873" i="3" a="1"/>
  <c r="Q873" i="3"/>
  <c r="Q874" i="3" a="1"/>
  <c r="Q874" i="3"/>
  <c r="Q875" i="3" a="1"/>
  <c r="Q875" i="3"/>
  <c r="Q876" i="3" a="1"/>
  <c r="Q876" i="3"/>
  <c r="Q877" i="3" a="1"/>
  <c r="Q877" i="3"/>
  <c r="Q878" i="3" a="1"/>
  <c r="Q878" i="3"/>
  <c r="Q879" i="3" a="1"/>
  <c r="Q879" i="3"/>
  <c r="Q880" i="3" a="1"/>
  <c r="Q880" i="3"/>
  <c r="Q881" i="3" a="1"/>
  <c r="Q881" i="3"/>
  <c r="Q882" i="3" a="1"/>
  <c r="Q882" i="3"/>
  <c r="Q883" i="3" a="1"/>
  <c r="Q883" i="3"/>
  <c r="Q884" i="3" a="1"/>
  <c r="Q884" i="3"/>
  <c r="Q885" i="3" a="1"/>
  <c r="Q885" i="3"/>
  <c r="Q886" i="3" a="1"/>
  <c r="Q886" i="3"/>
  <c r="Q887" i="3" a="1"/>
  <c r="Q887" i="3"/>
  <c r="Q888" i="3" a="1"/>
  <c r="Q888" i="3"/>
  <c r="Q889" i="3" a="1"/>
  <c r="Q889" i="3"/>
  <c r="Q890" i="3" a="1"/>
  <c r="Q890" i="3"/>
  <c r="Q891" i="3" a="1"/>
  <c r="Q891" i="3"/>
  <c r="Q892" i="3" a="1"/>
  <c r="Q892" i="3"/>
  <c r="Q893" i="3" a="1"/>
  <c r="Q893" i="3"/>
  <c r="Q894" i="3" a="1"/>
  <c r="Q894" i="3"/>
  <c r="Q895" i="3" a="1"/>
  <c r="Q895" i="3"/>
  <c r="Q896" i="3" a="1"/>
  <c r="Q896" i="3"/>
  <c r="Q897" i="3" a="1"/>
  <c r="Q897" i="3"/>
  <c r="Q898" i="3" a="1"/>
  <c r="Q898" i="3"/>
  <c r="Q899" i="3" a="1"/>
  <c r="Q899" i="3"/>
  <c r="Q900" i="3" a="1"/>
  <c r="Q900" i="3"/>
  <c r="Q901" i="3" a="1"/>
  <c r="Q901" i="3"/>
  <c r="Q902" i="3" a="1"/>
  <c r="Q902" i="3"/>
  <c r="Q903" i="3" a="1"/>
  <c r="Q903" i="3"/>
  <c r="Q904" i="3" a="1"/>
  <c r="Q904" i="3"/>
  <c r="Q905" i="3" a="1"/>
  <c r="Q905" i="3"/>
  <c r="Q906" i="3" a="1"/>
  <c r="Q906" i="3"/>
  <c r="Q907" i="3" a="1"/>
  <c r="Q907" i="3"/>
  <c r="Q908" i="3" a="1"/>
  <c r="Q908" i="3"/>
  <c r="Q909" i="3" a="1"/>
  <c r="Q909" i="3"/>
  <c r="Q910" i="3" a="1"/>
  <c r="Q910" i="3"/>
  <c r="Q911" i="3" a="1"/>
  <c r="Q911" i="3"/>
  <c r="Q912" i="3" a="1"/>
  <c r="Q912" i="3"/>
  <c r="Q913" i="3" a="1"/>
  <c r="Q913" i="3"/>
  <c r="Q914" i="3" a="1"/>
  <c r="Q914" i="3"/>
  <c r="Q915" i="3" a="1"/>
  <c r="Q915" i="3"/>
  <c r="Q916" i="3" a="1"/>
  <c r="Q916" i="3"/>
  <c r="Q917" i="3" a="1"/>
  <c r="Q917" i="3"/>
  <c r="Q918" i="3" a="1"/>
  <c r="Q918" i="3"/>
  <c r="Q919" i="3" a="1"/>
  <c r="Q919" i="3"/>
  <c r="Q920" i="3" a="1"/>
  <c r="Q920" i="3"/>
  <c r="Q921" i="3" a="1"/>
  <c r="Q921" i="3"/>
  <c r="Q922" i="3" a="1"/>
  <c r="Q922" i="3"/>
  <c r="Q923" i="3" a="1"/>
  <c r="Q923" i="3"/>
  <c r="Q924" i="3" a="1"/>
  <c r="Q924" i="3"/>
  <c r="Q925" i="3" a="1"/>
  <c r="Q925" i="3"/>
  <c r="Q926" i="3" a="1"/>
  <c r="Q926" i="3"/>
  <c r="Q927" i="3" a="1"/>
  <c r="Q927" i="3"/>
  <c r="Q928" i="3" a="1"/>
  <c r="Q928" i="3"/>
  <c r="Q929" i="3" a="1"/>
  <c r="Q929" i="3"/>
  <c r="Q930" i="3" a="1"/>
  <c r="Q930" i="3"/>
  <c r="Q931" i="3" a="1"/>
  <c r="Q931" i="3"/>
  <c r="Q932" i="3" a="1"/>
  <c r="Q932" i="3"/>
  <c r="Q933" i="3" a="1"/>
  <c r="Q933" i="3"/>
  <c r="Q934" i="3" a="1"/>
  <c r="Q934" i="3"/>
  <c r="Q935" i="3" a="1"/>
  <c r="Q935" i="3"/>
  <c r="Q936" i="3" a="1"/>
  <c r="Q936" i="3"/>
  <c r="Q937" i="3" a="1"/>
  <c r="Q937" i="3"/>
  <c r="Q938" i="3" a="1"/>
  <c r="Q938" i="3"/>
  <c r="Q939" i="3" a="1"/>
  <c r="Q939" i="3"/>
  <c r="Q940" i="3" a="1"/>
  <c r="Q940" i="3"/>
  <c r="Q941" i="3" a="1"/>
  <c r="Q941" i="3"/>
  <c r="Q942" i="3" a="1"/>
  <c r="Q942" i="3"/>
  <c r="Q943" i="3" a="1"/>
  <c r="Q943" i="3"/>
  <c r="Q944" i="3" a="1"/>
  <c r="Q944" i="3"/>
  <c r="Q945" i="3" a="1"/>
  <c r="Q945" i="3"/>
  <c r="Q946" i="3" a="1"/>
  <c r="Q946" i="3"/>
  <c r="Q947" i="3" a="1"/>
  <c r="Q947" i="3"/>
  <c r="Q948" i="3" a="1"/>
  <c r="Q948" i="3"/>
  <c r="Q949" i="3" a="1"/>
  <c r="Q949" i="3"/>
  <c r="Q950" i="3" a="1"/>
  <c r="Q950" i="3"/>
  <c r="Q951" i="3" a="1"/>
  <c r="Q951" i="3"/>
  <c r="Q952" i="3" a="1"/>
  <c r="Q952" i="3"/>
  <c r="Q953" i="3" a="1"/>
  <c r="Q953" i="3"/>
  <c r="Q954" i="3" a="1"/>
  <c r="Q954" i="3"/>
  <c r="Q955" i="3" a="1"/>
  <c r="Q955" i="3"/>
  <c r="Q956" i="3" a="1"/>
  <c r="Q956" i="3"/>
  <c r="Q957" i="3" a="1"/>
  <c r="Q957" i="3"/>
  <c r="Q958" i="3" a="1"/>
  <c r="Q958" i="3"/>
  <c r="Q959" i="3" a="1"/>
  <c r="Q959" i="3"/>
  <c r="Q960" i="3" a="1"/>
  <c r="Q960" i="3"/>
  <c r="Q961" i="3" a="1"/>
  <c r="Q961" i="3"/>
  <c r="Q962" i="3" a="1"/>
  <c r="Q962" i="3"/>
  <c r="Q963" i="3" a="1"/>
  <c r="Q963" i="3"/>
  <c r="Q964" i="3" a="1"/>
  <c r="Q964" i="3"/>
  <c r="Q965" i="3" a="1"/>
  <c r="Q965" i="3"/>
  <c r="Q966" i="3" a="1"/>
  <c r="Q966" i="3"/>
  <c r="Q967" i="3" a="1"/>
  <c r="Q967" i="3"/>
  <c r="Q968" i="3" a="1"/>
  <c r="Q968" i="3"/>
  <c r="Q969" i="3" a="1"/>
  <c r="Q969" i="3"/>
  <c r="Q970" i="3" a="1"/>
  <c r="Q970" i="3"/>
  <c r="Q971" i="3" a="1"/>
  <c r="Q971" i="3"/>
  <c r="Q972" i="3" a="1"/>
  <c r="Q972" i="3"/>
  <c r="Q973" i="3" a="1"/>
  <c r="Q973" i="3"/>
  <c r="Q974" i="3" a="1"/>
  <c r="Q974" i="3"/>
  <c r="Q975" i="3" a="1"/>
  <c r="Q975" i="3"/>
  <c r="Q976" i="3" a="1"/>
  <c r="Q976" i="3"/>
  <c r="Q977" i="3" a="1"/>
  <c r="Q977" i="3"/>
  <c r="Q978" i="3" a="1"/>
  <c r="Q978" i="3"/>
  <c r="Q979" i="3" a="1"/>
  <c r="Q979" i="3"/>
  <c r="Q980" i="3" a="1"/>
  <c r="Q980" i="3"/>
  <c r="Q981" i="3" a="1"/>
  <c r="Q981" i="3"/>
  <c r="Q982" i="3" a="1"/>
  <c r="Q982" i="3"/>
  <c r="Q983" i="3" a="1"/>
  <c r="Q983" i="3"/>
  <c r="Q984" i="3" a="1"/>
  <c r="Q984" i="3"/>
  <c r="Q985" i="3" a="1"/>
  <c r="Q985" i="3"/>
  <c r="Q986" i="3" a="1"/>
  <c r="Q986" i="3"/>
  <c r="Q987" i="3" a="1"/>
  <c r="Q987" i="3"/>
  <c r="Q988" i="3" a="1"/>
  <c r="Q988" i="3"/>
  <c r="Q989" i="3" a="1"/>
  <c r="Q989" i="3"/>
  <c r="Q990" i="3" a="1"/>
  <c r="Q990" i="3"/>
  <c r="Q991" i="3" a="1"/>
  <c r="Q991" i="3"/>
  <c r="Q992" i="3" a="1"/>
  <c r="Q992" i="3"/>
  <c r="Q993" i="3" a="1"/>
  <c r="Q993" i="3"/>
  <c r="Q994" i="3" a="1"/>
  <c r="Q994" i="3"/>
  <c r="Q995" i="3" a="1"/>
  <c r="Q995" i="3"/>
  <c r="Q996" i="3" a="1"/>
  <c r="Q996" i="3"/>
  <c r="Q997" i="3" a="1"/>
  <c r="Q997" i="3"/>
  <c r="Q998" i="3" a="1"/>
  <c r="Q998" i="3"/>
  <c r="Q999" i="3" a="1"/>
  <c r="Q999" i="3"/>
  <c r="Q1000" i="3" a="1"/>
  <c r="Q1000" i="3"/>
  <c r="Q1001" i="3" a="1"/>
  <c r="Q1001" i="3"/>
  <c r="Q1002" i="3" a="1"/>
  <c r="Q1002" i="3"/>
  <c r="Q1003" i="3" a="1"/>
  <c r="Q1003" i="3"/>
  <c r="Q1004" i="3" a="1"/>
  <c r="Q1004" i="3"/>
  <c r="Q1005" i="3" a="1"/>
  <c r="Q1005" i="3"/>
  <c r="Q1006" i="3" a="1"/>
  <c r="Q1006" i="3"/>
  <c r="Q1007" i="3" a="1"/>
  <c r="Q1007" i="3"/>
  <c r="Q1008" i="3" a="1"/>
  <c r="Q1008" i="3"/>
  <c r="Q1009" i="3" a="1"/>
  <c r="Q1009" i="3"/>
  <c r="Q1010" i="3" a="1"/>
  <c r="Q1010" i="3"/>
  <c r="Q1011" i="3" a="1"/>
  <c r="Q1011" i="3"/>
  <c r="Q1012" i="3" a="1"/>
  <c r="Q1012" i="3"/>
  <c r="Q1013" i="3" a="1"/>
  <c r="Q1013" i="3"/>
  <c r="Q1014" i="3" a="1"/>
  <c r="Q1014" i="3"/>
  <c r="Q1015" i="3" a="1"/>
  <c r="Q1015" i="3"/>
  <c r="Q1016" i="3" a="1"/>
  <c r="Q1016" i="3"/>
  <c r="Q1017" i="3" a="1"/>
  <c r="Q1017" i="3"/>
  <c r="Q1018" i="3" a="1"/>
  <c r="Q1018" i="3"/>
  <c r="Q1019" i="3" a="1"/>
  <c r="Q1019" i="3"/>
  <c r="Q1020" i="3" a="1"/>
  <c r="Q1020" i="3"/>
  <c r="Q1021" i="3" a="1"/>
  <c r="Q1021" i="3"/>
  <c r="Q1022" i="3" a="1"/>
  <c r="Q1022" i="3"/>
  <c r="Q1023" i="3" a="1"/>
  <c r="Q1023" i="3"/>
  <c r="Q1024" i="3" a="1"/>
  <c r="Q1024" i="3"/>
  <c r="Q1025" i="3" a="1"/>
  <c r="Q1025" i="3"/>
  <c r="Q1026" i="3" a="1"/>
  <c r="Q1026" i="3"/>
  <c r="Q1027" i="3" a="1"/>
  <c r="Q1027" i="3"/>
  <c r="Q1028" i="3" a="1"/>
  <c r="Q1028" i="3"/>
  <c r="Q1029" i="3" a="1"/>
  <c r="Q1029" i="3"/>
  <c r="Q1030" i="3" a="1"/>
  <c r="Q1030" i="3"/>
  <c r="Q1031" i="3" a="1"/>
  <c r="Q1031" i="3"/>
  <c r="Q1032" i="3" a="1"/>
  <c r="Q1032" i="3"/>
  <c r="Q1033" i="3" a="1"/>
  <c r="Q1033" i="3"/>
  <c r="Q1034" i="3" a="1"/>
  <c r="Q1034" i="3"/>
  <c r="Q1035" i="3" a="1"/>
  <c r="Q1035" i="3"/>
  <c r="Q1036" i="3" a="1"/>
  <c r="Q1036" i="3"/>
  <c r="Q1037" i="3" a="1"/>
  <c r="Q1037" i="3"/>
  <c r="Q1038" i="3" a="1"/>
  <c r="Q1038" i="3"/>
  <c r="Q1039" i="3" a="1"/>
  <c r="Q1039" i="3"/>
  <c r="Q1040" i="3" a="1"/>
  <c r="Q1040" i="3"/>
  <c r="Q1041" i="3" a="1"/>
  <c r="Q1041" i="3"/>
  <c r="Q1042" i="3" a="1"/>
  <c r="Q1042" i="3"/>
  <c r="Q1043" i="3" a="1"/>
  <c r="Q1043" i="3"/>
  <c r="Q1044" i="3" a="1"/>
  <c r="Q1044" i="3"/>
  <c r="Q1045" i="3" a="1"/>
  <c r="Q1045" i="3"/>
  <c r="Q1046" i="3" a="1"/>
  <c r="Q1046" i="3"/>
  <c r="Q1047" i="3" a="1"/>
  <c r="Q1047" i="3"/>
  <c r="Q1048" i="3" a="1"/>
  <c r="Q1048" i="3"/>
  <c r="Q1049" i="3" a="1"/>
  <c r="Q1049" i="3"/>
  <c r="Q1050" i="3" a="1"/>
  <c r="Q1050" i="3"/>
  <c r="Q1051" i="3" a="1"/>
  <c r="Q1051" i="3"/>
  <c r="Q1052" i="3" a="1"/>
  <c r="Q1052" i="3"/>
  <c r="Q1053" i="3" a="1"/>
  <c r="Q1053" i="3"/>
  <c r="Q1054" i="3" a="1"/>
  <c r="Q1054" i="3"/>
  <c r="Q1055" i="3" a="1"/>
  <c r="Q1055" i="3"/>
  <c r="Q1056" i="3" a="1"/>
  <c r="Q1056" i="3"/>
  <c r="Q1057" i="3" a="1"/>
  <c r="Q1057" i="3"/>
  <c r="Q1058" i="3" a="1"/>
  <c r="Q1058" i="3"/>
  <c r="Q1059" i="3" a="1"/>
  <c r="Q1059" i="3"/>
  <c r="Q1060" i="3" a="1"/>
  <c r="Q1060" i="3"/>
  <c r="Q1061" i="3" a="1"/>
  <c r="Q1061" i="3"/>
  <c r="Q1062" i="3" a="1"/>
  <c r="Q1062" i="3"/>
  <c r="Q1063" i="3" a="1"/>
  <c r="Q1063" i="3"/>
  <c r="Q1064" i="3" a="1"/>
  <c r="Q1064" i="3"/>
  <c r="Q1065" i="3" a="1"/>
  <c r="Q1065" i="3"/>
  <c r="Q1066" i="3" a="1"/>
  <c r="Q1066" i="3"/>
  <c r="Q1067" i="3" a="1"/>
  <c r="Q1067" i="3"/>
  <c r="Q1068" i="3" a="1"/>
  <c r="Q1068" i="3"/>
  <c r="Q1069" i="3" a="1"/>
  <c r="Q1069" i="3"/>
  <c r="Q1070" i="3" a="1"/>
  <c r="Q1070" i="3"/>
  <c r="Q1071" i="3" a="1"/>
  <c r="Q1071" i="3"/>
  <c r="Q1072" i="3" a="1"/>
  <c r="Q1072" i="3"/>
  <c r="Q1073" i="3" a="1"/>
  <c r="Q1073" i="3"/>
  <c r="Q1074" i="3" a="1"/>
  <c r="Q1074" i="3"/>
  <c r="Q1075" i="3" a="1"/>
  <c r="Q1075" i="3"/>
  <c r="Q1076" i="3" a="1"/>
  <c r="Q1076" i="3"/>
  <c r="Q1077" i="3" a="1"/>
  <c r="Q1077" i="3"/>
  <c r="Q1078" i="3" a="1"/>
  <c r="Q1078" i="3"/>
  <c r="Q1079" i="3" a="1"/>
  <c r="Q1079" i="3"/>
  <c r="Q1080" i="3" a="1"/>
  <c r="Q1080" i="3"/>
  <c r="Q1081" i="3" a="1"/>
  <c r="Q1081" i="3"/>
  <c r="Q1082" i="3" a="1"/>
  <c r="Q1082" i="3"/>
  <c r="Q1083" i="3" a="1"/>
  <c r="Q1083" i="3"/>
  <c r="Q1084" i="3" a="1"/>
  <c r="Q1084" i="3"/>
  <c r="Q1085" i="3" a="1"/>
  <c r="Q1085" i="3"/>
  <c r="Q1086" i="3" a="1"/>
  <c r="Q1086" i="3"/>
  <c r="Q1087" i="3" a="1"/>
  <c r="Q1087" i="3"/>
  <c r="Q1088" i="3" a="1"/>
  <c r="Q1088" i="3"/>
  <c r="Q1089" i="3" a="1"/>
  <c r="Q1089" i="3"/>
  <c r="Q1090" i="3" a="1"/>
  <c r="Q1090" i="3"/>
  <c r="Q1091" i="3" a="1"/>
  <c r="Q1091" i="3"/>
  <c r="Q1092" i="3" a="1"/>
  <c r="Q1092" i="3"/>
  <c r="Q1093" i="3" a="1"/>
  <c r="Q1093" i="3"/>
  <c r="Q1094" i="3" a="1"/>
  <c r="Q1094" i="3"/>
  <c r="Q1095" i="3" a="1"/>
  <c r="Q1095" i="3"/>
  <c r="Q1096" i="3" a="1"/>
  <c r="Q1096" i="3"/>
  <c r="Q1097" i="3" a="1"/>
  <c r="Q1097" i="3"/>
  <c r="Q1098" i="3" a="1"/>
  <c r="Q1098" i="3"/>
  <c r="Q1099" i="3" a="1"/>
  <c r="Q1099" i="3"/>
  <c r="Q1100" i="3" a="1"/>
  <c r="Q1100" i="3"/>
  <c r="Q1101" i="3" a="1"/>
  <c r="Q1101" i="3"/>
  <c r="Q1102" i="3" a="1"/>
  <c r="Q1102" i="3"/>
  <c r="Q1103" i="3" a="1"/>
  <c r="Q1103" i="3"/>
  <c r="Q1104" i="3" a="1"/>
  <c r="Q1104" i="3"/>
  <c r="Q1105" i="3" a="1"/>
  <c r="Q1105" i="3"/>
  <c r="Q1106" i="3" a="1"/>
  <c r="Q1106" i="3"/>
  <c r="Q1107" i="3" a="1"/>
  <c r="Q1107" i="3"/>
  <c r="Q1108" i="3" a="1"/>
  <c r="Q1108" i="3"/>
  <c r="Q1109" i="3" a="1"/>
  <c r="Q1109" i="3"/>
  <c r="Q1110" i="3" a="1"/>
  <c r="Q1110" i="3"/>
  <c r="Q1111" i="3" a="1"/>
  <c r="Q1111" i="3"/>
  <c r="Q1112" i="3" a="1"/>
  <c r="Q1112" i="3"/>
  <c r="Q1113" i="3" a="1"/>
  <c r="Q1113" i="3"/>
  <c r="Q1114" i="3" a="1"/>
  <c r="Q1114" i="3"/>
  <c r="Q1115" i="3" a="1"/>
  <c r="Q1115" i="3"/>
  <c r="Q1116" i="3" a="1"/>
  <c r="Q1116" i="3"/>
  <c r="Q1117" i="3" a="1"/>
  <c r="Q1117" i="3"/>
  <c r="Q1118" i="3" a="1"/>
  <c r="Q1118" i="3"/>
  <c r="Q1119" i="3" a="1"/>
  <c r="Q1119" i="3"/>
  <c r="Q1120" i="3" a="1"/>
  <c r="Q1120" i="3"/>
  <c r="Q1121" i="3" a="1"/>
  <c r="Q1121" i="3"/>
  <c r="Q1122" i="3" a="1"/>
  <c r="Q1122" i="3"/>
  <c r="Q1123" i="3" a="1"/>
  <c r="Q1123" i="3"/>
  <c r="Q1124" i="3" a="1"/>
  <c r="Q1124" i="3"/>
  <c r="Q1125" i="3" a="1"/>
  <c r="Q1125" i="3"/>
  <c r="Q1126" i="3" a="1"/>
  <c r="Q1126" i="3"/>
  <c r="Q1127" i="3" a="1"/>
  <c r="Q1127" i="3"/>
  <c r="Q1128" i="3" a="1"/>
  <c r="Q1128" i="3"/>
  <c r="Q1129" i="3" a="1"/>
  <c r="Q1129" i="3"/>
  <c r="Q1130" i="3" a="1"/>
  <c r="Q1130" i="3"/>
  <c r="Q1131" i="3" a="1"/>
  <c r="Q1131" i="3"/>
  <c r="Q1132" i="3" a="1"/>
  <c r="Q1132" i="3"/>
  <c r="Q1133" i="3" a="1"/>
  <c r="Q1133" i="3"/>
  <c r="Q1134" i="3" a="1"/>
  <c r="Q1134" i="3"/>
  <c r="Q1135" i="3" a="1"/>
  <c r="Q1135" i="3"/>
  <c r="Q1136" i="3" a="1"/>
  <c r="Q1136" i="3"/>
  <c r="Q1137" i="3" a="1"/>
  <c r="Q1137" i="3"/>
  <c r="Q1138" i="3" a="1"/>
  <c r="Q1138" i="3"/>
  <c r="Q1139" i="3" a="1"/>
  <c r="Q1139" i="3"/>
  <c r="Q1140" i="3" a="1"/>
  <c r="Q1140" i="3"/>
  <c r="Q1141" i="3" a="1"/>
  <c r="Q1141" i="3"/>
  <c r="Q1142" i="3" a="1"/>
  <c r="Q1142" i="3"/>
  <c r="Q1143" i="3" a="1"/>
  <c r="Q1143" i="3"/>
  <c r="Q1144" i="3" a="1"/>
  <c r="Q1144" i="3"/>
  <c r="Q1145" i="3" a="1"/>
  <c r="Q1145" i="3"/>
  <c r="Q1146" i="3" a="1"/>
  <c r="Q1146" i="3"/>
  <c r="Q1147" i="3" a="1"/>
  <c r="Q1147" i="3"/>
  <c r="Q1148" i="3" a="1"/>
  <c r="Q1148" i="3"/>
  <c r="Q1149" i="3" a="1"/>
  <c r="Q1149" i="3"/>
  <c r="Q1150" i="3" a="1"/>
  <c r="Q1150" i="3"/>
  <c r="Q1151" i="3" a="1"/>
  <c r="Q1151" i="3"/>
  <c r="Q1152" i="3" a="1"/>
  <c r="Q1152" i="3"/>
  <c r="Q1153" i="3" a="1"/>
  <c r="Q1153" i="3"/>
  <c r="Q1154" i="3" a="1"/>
  <c r="Q1154" i="3"/>
  <c r="Q1155" i="3" a="1"/>
  <c r="Q1155" i="3"/>
  <c r="Q1156" i="3" a="1"/>
  <c r="Q1156" i="3"/>
  <c r="Q1157" i="3" a="1"/>
  <c r="Q1157" i="3"/>
  <c r="Q1158" i="3" a="1"/>
  <c r="Q1158" i="3"/>
  <c r="Q1159" i="3" a="1"/>
  <c r="Q1159" i="3"/>
  <c r="Q1160" i="3" a="1"/>
  <c r="Q1160" i="3"/>
  <c r="Q1161" i="3" a="1"/>
  <c r="Q1161" i="3"/>
  <c r="Q1162" i="3" a="1"/>
  <c r="Q1162" i="3"/>
  <c r="Q1163" i="3" a="1"/>
  <c r="Q1163" i="3"/>
  <c r="Q1164" i="3" a="1"/>
  <c r="Q1164" i="3"/>
  <c r="Q1165" i="3" a="1"/>
  <c r="Q1165" i="3"/>
  <c r="Q1166" i="3" a="1"/>
  <c r="Q1166" i="3"/>
  <c r="Q1167" i="3" a="1"/>
  <c r="Q1167" i="3"/>
  <c r="Q1168" i="3" a="1"/>
  <c r="Q1168" i="3"/>
  <c r="Q1169" i="3" a="1"/>
  <c r="Q1169" i="3"/>
  <c r="Q1170" i="3" a="1"/>
  <c r="Q1170" i="3"/>
  <c r="Q1171" i="3" a="1"/>
  <c r="Q1171" i="3"/>
  <c r="Q1172" i="3" a="1"/>
  <c r="Q1172" i="3"/>
  <c r="Q1173" i="3" a="1"/>
  <c r="Q1173" i="3"/>
  <c r="Q1174" i="3" a="1"/>
  <c r="Q1174" i="3"/>
  <c r="Q1175" i="3" a="1"/>
  <c r="Q1175" i="3"/>
  <c r="Q1176" i="3" a="1"/>
  <c r="Q1176" i="3"/>
  <c r="Q1177" i="3" a="1"/>
  <c r="Q1177" i="3"/>
  <c r="Q1178" i="3" a="1"/>
  <c r="Q1178" i="3"/>
  <c r="Q1179" i="3" a="1"/>
  <c r="Q1179" i="3"/>
  <c r="Q1180" i="3" a="1"/>
  <c r="Q1180" i="3"/>
  <c r="Q1181" i="3" a="1"/>
  <c r="Q1181" i="3"/>
  <c r="Q1182" i="3" a="1"/>
  <c r="Q1182" i="3"/>
  <c r="Q1183" i="3" a="1"/>
  <c r="Q1183" i="3"/>
  <c r="Q1184" i="3" a="1"/>
  <c r="Q1184" i="3"/>
  <c r="Q1185" i="3" a="1"/>
  <c r="Q1185" i="3"/>
  <c r="Q1186" i="3" a="1"/>
  <c r="Q1186" i="3"/>
  <c r="Q1187" i="3" a="1"/>
  <c r="Q1187" i="3"/>
  <c r="Q1188" i="3" a="1"/>
  <c r="Q1188" i="3"/>
  <c r="Q1189" i="3" a="1"/>
  <c r="Q1189" i="3"/>
  <c r="Q1190" i="3" a="1"/>
  <c r="Q1190" i="3"/>
  <c r="Q1191" i="3" a="1"/>
  <c r="Q1191" i="3"/>
  <c r="Q1192" i="3" a="1"/>
  <c r="Q1192" i="3"/>
  <c r="Q1193" i="3" a="1"/>
  <c r="Q1193" i="3"/>
  <c r="Q1194" i="3" a="1"/>
  <c r="Q1194" i="3"/>
  <c r="Q1195" i="3" a="1"/>
  <c r="Q1195" i="3"/>
  <c r="Q1196" i="3" a="1"/>
  <c r="Q1196" i="3"/>
  <c r="Q1197" i="3" a="1"/>
  <c r="Q1197" i="3"/>
  <c r="Q1198" i="3" a="1"/>
  <c r="Q1198" i="3"/>
  <c r="Q1199" i="3" a="1"/>
  <c r="Q1199" i="3"/>
  <c r="Q1200" i="3" a="1"/>
  <c r="Q1200" i="3"/>
  <c r="Q1201" i="3" a="1"/>
  <c r="Q1201" i="3"/>
  <c r="Q1202" i="3" a="1"/>
  <c r="Q1202" i="3"/>
  <c r="Q1203" i="3" a="1"/>
  <c r="Q1203" i="3"/>
  <c r="Q1204" i="3" a="1"/>
  <c r="Q1204" i="3"/>
  <c r="Q1205" i="3" a="1"/>
  <c r="Q1205" i="3"/>
  <c r="Q1206" i="3" a="1"/>
  <c r="Q1206" i="3"/>
  <c r="Q1207" i="3" a="1"/>
  <c r="Q1207" i="3"/>
  <c r="Q1208" i="3" a="1"/>
  <c r="Q1208" i="3"/>
  <c r="Q1209" i="3" a="1"/>
  <c r="Q1209" i="3"/>
  <c r="Q1210" i="3" a="1"/>
  <c r="Q1210" i="3"/>
  <c r="Q1211" i="3" a="1"/>
  <c r="Q1211" i="3"/>
  <c r="Q1212" i="3" a="1"/>
  <c r="Q1212" i="3"/>
  <c r="Q1213" i="3" a="1"/>
  <c r="Q1213" i="3"/>
  <c r="Q1214" i="3" a="1"/>
  <c r="Q1214" i="3"/>
  <c r="Q1215" i="3" a="1"/>
  <c r="Q1215" i="3"/>
  <c r="Q1216" i="3" a="1"/>
  <c r="Q1216" i="3"/>
  <c r="Q1217" i="3" a="1"/>
  <c r="Q1217" i="3"/>
  <c r="Q1218" i="3" a="1"/>
  <c r="Q1218" i="3"/>
  <c r="Q1219" i="3" a="1"/>
  <c r="Q1219" i="3"/>
  <c r="Q1220" i="3" a="1"/>
  <c r="Q1220" i="3"/>
  <c r="Q1221" i="3" a="1"/>
  <c r="Q1221" i="3"/>
  <c r="Q1222" i="3" a="1"/>
  <c r="Q1222" i="3"/>
  <c r="Q1223" i="3" a="1"/>
  <c r="Q1223" i="3"/>
  <c r="Q1224" i="3" a="1"/>
  <c r="Q1224" i="3"/>
  <c r="Q1225" i="3" a="1"/>
  <c r="Q1225" i="3"/>
  <c r="Q1226" i="3" a="1"/>
  <c r="Q1226" i="3"/>
  <c r="Q1227" i="3" a="1"/>
  <c r="Q1227" i="3"/>
  <c r="Q1228" i="3" a="1"/>
  <c r="Q1228" i="3"/>
  <c r="Q1229" i="3" a="1"/>
  <c r="Q1229" i="3"/>
  <c r="Q1230" i="3" a="1"/>
  <c r="Q1230" i="3"/>
  <c r="Q1231" i="3" a="1"/>
  <c r="Q1231" i="3"/>
  <c r="Q1232" i="3" a="1"/>
  <c r="Q1232" i="3"/>
  <c r="Q1233" i="3" a="1"/>
  <c r="Q1233" i="3"/>
  <c r="Q1234" i="3" a="1"/>
  <c r="Q1234" i="3"/>
  <c r="Q1235" i="3" a="1"/>
  <c r="Q1235" i="3"/>
  <c r="Q1236" i="3" a="1"/>
  <c r="Q1236" i="3"/>
  <c r="Q1237" i="3" a="1"/>
  <c r="Q1237" i="3"/>
  <c r="Q1238" i="3" a="1"/>
  <c r="Q1238" i="3"/>
  <c r="Q1239" i="3" a="1"/>
  <c r="Q1239" i="3"/>
  <c r="Q1240" i="3" a="1"/>
  <c r="Q1240" i="3"/>
  <c r="Q1241" i="3" a="1"/>
  <c r="Q1241" i="3"/>
  <c r="Q1242" i="3" a="1"/>
  <c r="Q1242" i="3"/>
  <c r="Q1243" i="3" a="1"/>
  <c r="Q1243" i="3"/>
  <c r="Q1244" i="3" a="1"/>
  <c r="Q1244" i="3"/>
  <c r="Q1245" i="3" a="1"/>
  <c r="Q1245" i="3"/>
  <c r="Q1246" i="3" a="1"/>
  <c r="Q1246" i="3"/>
  <c r="Q1247" i="3" a="1"/>
  <c r="Q1247" i="3"/>
  <c r="Q1248" i="3" a="1"/>
  <c r="Q1248" i="3"/>
  <c r="Q1249" i="3" a="1"/>
  <c r="Q1249" i="3"/>
  <c r="Q1250" i="3" a="1"/>
  <c r="Q1250" i="3"/>
  <c r="Q1251" i="3" a="1"/>
  <c r="Q1251" i="3"/>
  <c r="Q1252" i="3" a="1"/>
  <c r="Q1252" i="3"/>
  <c r="Q1253" i="3" a="1"/>
  <c r="Q1253" i="3"/>
  <c r="Q1254" i="3" a="1"/>
  <c r="Q1254" i="3"/>
  <c r="Q1255" i="3" a="1"/>
  <c r="Q1255" i="3"/>
  <c r="Q1256" i="3" a="1"/>
  <c r="Q1256" i="3"/>
  <c r="Q1257" i="3" a="1"/>
  <c r="Q1257" i="3"/>
  <c r="Q1258" i="3" a="1"/>
  <c r="Q1258" i="3"/>
  <c r="Q1259" i="3" a="1"/>
  <c r="Q1259" i="3"/>
  <c r="Q1260" i="3" a="1"/>
  <c r="Q1260" i="3"/>
  <c r="Q1261" i="3" a="1"/>
  <c r="Q1261" i="3"/>
  <c r="Q1262" i="3" a="1"/>
  <c r="Q1262" i="3"/>
  <c r="Q1263" i="3" a="1"/>
  <c r="Q1263" i="3"/>
  <c r="Q1264" i="3" a="1"/>
  <c r="Q1264" i="3"/>
  <c r="Q1265" i="3" a="1"/>
  <c r="Q1265" i="3"/>
  <c r="Q1266" i="3" a="1"/>
  <c r="Q1266" i="3"/>
  <c r="Q1267" i="3" a="1"/>
  <c r="Q1267" i="3"/>
  <c r="Q1268" i="3" a="1"/>
  <c r="Q1268" i="3"/>
  <c r="Q1269" i="3" a="1"/>
  <c r="Q1269" i="3"/>
  <c r="Q1270" i="3" a="1"/>
  <c r="Q1270" i="3"/>
  <c r="Q1271" i="3" a="1"/>
  <c r="Q1271" i="3"/>
  <c r="Q1272" i="3" a="1"/>
  <c r="Q1272" i="3"/>
  <c r="Q1273" i="3" a="1"/>
  <c r="Q1273" i="3"/>
  <c r="Q1274" i="3" a="1"/>
  <c r="Q1274" i="3"/>
  <c r="Q1275" i="3" a="1"/>
  <c r="Q1275" i="3"/>
  <c r="Q1276" i="3" a="1"/>
  <c r="Q1276" i="3"/>
  <c r="Q1277" i="3" a="1"/>
  <c r="Q1277" i="3"/>
  <c r="Q1278" i="3" a="1"/>
  <c r="Q1278" i="3"/>
  <c r="Q1279" i="3" a="1"/>
  <c r="Q1279" i="3"/>
  <c r="Q1280" i="3" a="1"/>
  <c r="Q1280" i="3"/>
  <c r="Q1281" i="3" a="1"/>
  <c r="Q1281" i="3"/>
  <c r="Q1282" i="3" a="1"/>
  <c r="Q1282" i="3"/>
  <c r="Q1283" i="3" a="1"/>
  <c r="Q1283" i="3"/>
  <c r="Q1284" i="3" a="1"/>
  <c r="Q1284" i="3"/>
  <c r="Q1285" i="3" a="1"/>
  <c r="Q1285" i="3"/>
  <c r="Q1286" i="3" a="1"/>
  <c r="Q1286" i="3"/>
  <c r="Q1287" i="3" a="1"/>
  <c r="Q1287" i="3"/>
  <c r="Q1288" i="3" a="1"/>
  <c r="Q1288" i="3"/>
  <c r="Q1289" i="3" a="1"/>
  <c r="Q1289" i="3"/>
  <c r="Q1290" i="3" a="1"/>
  <c r="Q1290" i="3"/>
  <c r="Q1291" i="3" a="1"/>
  <c r="Q1291" i="3"/>
  <c r="Q1292" i="3" a="1"/>
  <c r="Q1292" i="3"/>
  <c r="Q1293" i="3" a="1"/>
  <c r="Q1293" i="3"/>
  <c r="Q1294" i="3" a="1"/>
  <c r="Q1294" i="3"/>
  <c r="Q1295" i="3" a="1"/>
  <c r="Q1295" i="3"/>
  <c r="Q1296" i="3" a="1"/>
  <c r="Q1296" i="3"/>
  <c r="Q1297" i="3" a="1"/>
  <c r="Q1297" i="3"/>
  <c r="Q1298" i="3" a="1"/>
  <c r="Q1298" i="3"/>
  <c r="Q1299" i="3" a="1"/>
  <c r="Q1299" i="3"/>
  <c r="Q1300" i="3" a="1"/>
  <c r="Q1300" i="3"/>
  <c r="Q1301" i="3" a="1"/>
  <c r="Q1301" i="3"/>
  <c r="Q2" i="3" a="1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2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4" i="3"/>
  <c r="N5" i="3"/>
  <c r="N6" i="3"/>
  <c r="N3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2" i="3"/>
  <c r="L3" i="2"/>
  <c r="L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<sst xmlns="http://schemas.openxmlformats.org/spreadsheetml/2006/main" count="7935" uniqueCount="133">
  <si>
    <t>Module 1 Assessment — Excel &amp; Data Fundamentals</t>
  </si>
  <si>
    <t>Wits Coding &amp; Digital Innovation Society  ·  Academic Year 2026</t>
  </si>
  <si>
    <t>OVERVIEW</t>
  </si>
  <si>
    <t>This workbook is your assessment for Module 1. You will work with 12 months of real JSE (Johannesburg Stock Exchange) trading data across five blue-chip South African companies. Complete all tasks in the order listed below. Submit the completed workbook via your GitHub repository.</t>
  </si>
  <si>
    <t>DATASET</t>
  </si>
  <si>
    <t>Sheet: 1_RawData  —  1 460 rows of daily trading data, January–December 2025</t>
  </si>
  <si>
    <t>Columns:  A=Date | B=Ticker | C=Company | D=Sector | E=Open(R) | F=High(R) | G=Low(R) | H=Close(R) | I=Volume | J=Mkt Cap(R)</t>
  </si>
  <si>
    <t>TASK 1 — Understand the Dataset  [10 marks]</t>
  </si>
  <si>
    <t xml:space="preserve">    1.1  Go to sheet 1_RawData. In the yellow answer cell (K2), state how many rows of data exist (excluding the header).</t>
  </si>
  <si>
    <t xml:space="preserve">    1.2  In cell K3, write the formula that counts how many unique tickers appear in column B.</t>
  </si>
  <si>
    <t xml:space="preserve">    1.3  In cell K4, identify and type the date range of the dataset (first date to last date).</t>
  </si>
  <si>
    <t xml:space="preserve">    1.4  In cells K6:K10, manually list one data quality issue you notice per row. (Hint: look at data types, formatting, inconsistencies in column D Sector.)</t>
  </si>
  <si>
    <t>TASK 2 — Core Excel Formulas  [25 marks]</t>
  </si>
  <si>
    <t xml:space="preserve">    2.1  In sheet 2_Enriched, column K: Add a header 'Daily Return %'. Calculate the daily price return using: (Close - Open) / Open * 100. Apply to all rows.</t>
  </si>
  <si>
    <t xml:space="preserve">    2.2  Column L: Header 'Price Range'. Calculate the intraday range: High - Low.</t>
  </si>
  <si>
    <t xml:space="preserve">    2.3  Column M: Header 'Range %'. Express the Price Range as a percentage of Open price.</t>
  </si>
  <si>
    <t xml:space="preserve">    2.4  Column N: Header 'Vol Flag'. Use IF: if Volume &gt; 2,000,000 write 'High Volume', else write 'Normal'.</t>
  </si>
  <si>
    <t xml:space="preserve">    2.5  Column O: Header 'Mkt Cap Bn'. Convert Mkt Cap (J) from Rand to Billions (divide by 1,000,000,000). Round to 2 decimal places.</t>
  </si>
  <si>
    <t xml:space="preserve">    2.6  Column P: Header 'Month'. Extract the month number from the Date column using the MONTH() function.</t>
  </si>
  <si>
    <t xml:space="preserve">    2.7  Column Q: Header 'Quarter'. Use a nested IF or IFS to assign Q1/Q2/Q3/Q4 based on the month.</t>
  </si>
  <si>
    <t>TASK 3 — SUMIFS / COUNTIFS / AVERAGEIFS  [20 marks]</t>
  </si>
  <si>
    <t xml:space="preserve">    3.1  In sheet 3_Summary, cell C5: Use SUMIFS to calculate the total trading volume for NPN (Naspers).</t>
  </si>
  <si>
    <t xml:space="preserve">    3.2  Cell C6: Total volume for SBK (Standard Bank).</t>
  </si>
  <si>
    <t xml:space="preserve">    3.3  Cell C7: Average closing price for AGL (Anglo American) in Q1 (months 1–3). Hint: use AVERAGEIFS with two criteria on the date.</t>
  </si>
  <si>
    <t xml:space="preserve">    3.4  Cell C8: Count how many days MTN had a Daily Return % greater than 1%.</t>
  </si>
  <si>
    <t xml:space="preserve">    3.5  Cell C9: Count how many days ANY stock had 'High Volume' AND a negative daily return.</t>
  </si>
  <si>
    <t xml:space="preserve">    3.6  Cell C10: Total Mkt Cap (Bn) for the Technology sector.</t>
  </si>
  <si>
    <t>TASK 4 — Pivot Tables &amp; Charts  [20 marks]</t>
  </si>
  <si>
    <t xml:space="preserve">    4.1  In sheet 4_Analysis, create a Pivot Table showing Average Close price per Ticker per Month. Tickers in rows, Months in columns.</t>
  </si>
  <si>
    <t xml:space="preserve">    4.2  Add a second Pivot Table showing Total Volume per Sector per Quarter.</t>
  </si>
  <si>
    <t xml:space="preserve">    4.3  From the first Pivot Table, insert a Line Chart showing average close price trends over months for all 5 stocks. Label axes and add a title.</t>
  </si>
  <si>
    <t xml:space="preserve">    4.4  From the second Pivot Table, insert a Stacked Bar Chart of volume by sector per quarter.</t>
  </si>
  <si>
    <t>TASK 5 — Data Validation  [15 marks]</t>
  </si>
  <si>
    <t xml:space="preserve">    5.1  Go to sheet 5_TradeEntry. This is a trade order entry form. Apply Data Validation to column B (Ticker): only allow NPN, SBK, AGL, MTN, VOD.</t>
  </si>
  <si>
    <t xml:space="preserve">    5.2  Column C (Trade Type): only allow BUY or SELL.</t>
  </si>
  <si>
    <t xml:space="preserve">    5.3  Column D (Quantity): only allow whole numbers between 1 and 1,000,000.</t>
  </si>
  <si>
    <t xml:space="preserve">    5.4  Column E (Price): only allow decimal numbers greater than 0.</t>
  </si>
  <si>
    <t xml:space="preserve">    5.5  Add an input message to column B that says: 'Select a valid JSE ticker'.</t>
  </si>
  <si>
    <t xml:space="preserve">    5.6  Add a custom error message to column D that says: 'Quantity must be between 1 and 1 000 000'.</t>
  </si>
  <si>
    <t>TASK 6 — Capstone Formula Challenge  [10 marks]</t>
  </si>
  <si>
    <t xml:space="preserve">    6.1  In sheet 6_Capstone, cell B4: Using a single formula, find the highest average closing price across all 5 stocks for the full year.</t>
  </si>
  <si>
    <t xml:space="preserve">    6.2  Cell B5: Using a single formula, identify which TICKER had the highest average closing price. (Hint: INDEX/MATCH or XLOOKUP)</t>
  </si>
  <si>
    <t xml:space="preserve">    6.3  Cell B6: Calculate the Sharpe-inspired ratio: (Average Daily Return % for NPN) / (STDEV of NPN Daily Return %). Higher = better risk-adjusted return.</t>
  </si>
  <si>
    <t xml:space="preserve">    6.4  Cell B7: Using LARGE(), identify the 3rd highest single-day closing price across ALL stocks.</t>
  </si>
  <si>
    <t>SUBMISSION INSTRUCTIONS</t>
  </si>
  <si>
    <t>1. Save this file as:  Module1_Assessment_[YourStudentNumber].xlsx</t>
  </si>
  <si>
    <t>2. Push to your GitHub repository created in Module 2.</t>
  </si>
  <si>
    <t>3. Ensure the file is in a folder named:  module1-assessment/</t>
  </si>
  <si>
    <t>4. Your README.md should include a brief note on what you built and one finding from your analysis.</t>
  </si>
  <si>
    <t>Date</t>
  </si>
  <si>
    <t>Ticker</t>
  </si>
  <si>
    <t>Company</t>
  </si>
  <si>
    <t>Sector</t>
  </si>
  <si>
    <t>Open (R)</t>
  </si>
  <si>
    <t>High (R)</t>
  </si>
  <si>
    <t>Low (R)</t>
  </si>
  <si>
    <t>Close (R)</t>
  </si>
  <si>
    <t>Volume</t>
  </si>
  <si>
    <t>Mkt Cap (R)</t>
  </si>
  <si>
    <t>Task 1 Answers</t>
  </si>
  <si>
    <t>NPN</t>
  </si>
  <si>
    <t>Naspers</t>
  </si>
  <si>
    <t>Technology</t>
  </si>
  <si>
    <t>Row count (1.1):</t>
  </si>
  <si>
    <t>← your answer here</t>
  </si>
  <si>
    <t>SBK</t>
  </si>
  <si>
    <t>Standard Bank</t>
  </si>
  <si>
    <t>Financials</t>
  </si>
  <si>
    <t>Unique tickers (1.2):</t>
  </si>
  <si>
    <t>AGL</t>
  </si>
  <si>
    <t>Anglo American</t>
  </si>
  <si>
    <t>Resources</t>
  </si>
  <si>
    <t>Date range (1.3):</t>
  </si>
  <si>
    <t>MTN</t>
  </si>
  <si>
    <t>MTN Group</t>
  </si>
  <si>
    <t>Telecomms</t>
  </si>
  <si>
    <t>VOD</t>
  </si>
  <si>
    <t>Vodacom</t>
  </si>
  <si>
    <t>Data quality issue 1 (1.4):</t>
  </si>
  <si>
    <t>Data quality issue 2:</t>
  </si>
  <si>
    <t>Data quality issue 3:</t>
  </si>
  <si>
    <t>Data quality issue 4:</t>
  </si>
  <si>
    <t>Data quality issue 5:</t>
  </si>
  <si>
    <t>financials</t>
  </si>
  <si>
    <t>Telecommunications</t>
  </si>
  <si>
    <t>Tech</t>
  </si>
  <si>
    <t>'165</t>
  </si>
  <si>
    <t>11/11/2025</t>
  </si>
  <si>
    <t>'96</t>
  </si>
  <si>
    <t>Daily Return %</t>
  </si>
  <si>
    <t>Price Range</t>
  </si>
  <si>
    <t>Range %</t>
  </si>
  <si>
    <t>Vol Flag</t>
  </si>
  <si>
    <t>Mkt Cap Bn</t>
  </si>
  <si>
    <t>Month</t>
  </si>
  <si>
    <t>Quarter</t>
  </si>
  <si>
    <t>← Add your formulas in columns K through Q</t>
  </si>
  <si>
    <t>Module 1 — Summary Analysis</t>
  </si>
  <si>
    <t>Use SUMIFS, COUNTIFS, and AVERAGEIFS referencing sheet 2_Enriched. Enter your formulas in the yellow cells.</t>
  </si>
  <si>
    <t>Task 3 — Aggregate Formulas  [20 marks]</t>
  </si>
  <si>
    <t>Your Formula / Answer</t>
  </si>
  <si>
    <t>3.1  Total trading volume — NPN (Naspers)</t>
  </si>
  <si>
    <t>3.2  Total trading volume — SBK (Standard Bank)</t>
  </si>
  <si>
    <t>3.3  Average closing price — AGL in Q1 (Jan–Mar 2025)</t>
  </si>
  <si>
    <t>3.4  Days MTN had Daily Return % &gt; 1%</t>
  </si>
  <si>
    <t>3.5  Days any stock: High Volume AND negative daily return</t>
  </si>
  <si>
    <t>3.6  Total Mkt Cap (Bn) — Technology sector</t>
  </si>
  <si>
    <t>Task 4 — Pivot Tables &amp; Charts</t>
  </si>
  <si>
    <t>4.1  Click any cell below row 5. Insert → PivotTable → use 2_Enriched as the data source.</t>
  </si>
  <si>
    <t xml:space="preserve">      Rows: Ticker | Columns: Month | Values: Average of Close (R)</t>
  </si>
  <si>
    <t>4.2  Below the first pivot table, add a second PivotTable.</t>
  </si>
  <si>
    <t xml:space="preserve">      Rows: Sector | Columns: Quarter | Values: Sum of Volume</t>
  </si>
  <si>
    <t>4.3  From Pivot Table 1: Insert a Line Chart. Title: 'JSE Average Closing Price by Month'.</t>
  </si>
  <si>
    <t xml:space="preserve">      Label both axes. Use distinct colours per ticker.</t>
  </si>
  <si>
    <t>4.4  From Pivot Table 2: Insert a Stacked Bar Chart. Title: 'Volume by Sector per Quarter'.</t>
  </si>
  <si>
    <t>Trade Order Entry Form</t>
  </si>
  <si>
    <t>Task 5: Apply data validation to columns B–E as instructed in sheet 0_Instructions.</t>
  </si>
  <si>
    <t>#</t>
  </si>
  <si>
    <t>Trade Type</t>
  </si>
  <si>
    <t>Quantity</t>
  </si>
  <si>
    <t>Price (R)</t>
  </si>
  <si>
    <t>Trade Date</t>
  </si>
  <si>
    <t>Notes</t>
  </si>
  <si>
    <t>Task 6 — Capstone Formula Challenge</t>
  </si>
  <si>
    <t>Enter single formulas in the yellow cells below. All answers should reference 2_Enriched.</t>
  </si>
  <si>
    <t>6.1  Highest average closing price across ALL 5 stocks (full year)</t>
  </si>
  <si>
    <t>6.2  Ticker with the HIGHEST average closing price</t>
  </si>
  <si>
    <t>6.3  NPN Sharpe-inspired ratio = AVG(daily return%) / STDEV(daily return%)</t>
  </si>
  <si>
    <t>6.4  3rd highest single-day closing price across ALL stocks</t>
  </si>
  <si>
    <t>D53: THE CASING OF FINANCIALS DOES NOT MATCH THE OTHER ONES</t>
  </si>
  <si>
    <t>TICKER</t>
  </si>
  <si>
    <t>AVERAGES FOR EACH TICKER</t>
  </si>
  <si>
    <t>2025-01-02:2025-12-31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</si>
</sst>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Calibri"/>
      <family val="2"/>
      <scheme val="minor"/>
    </font>
    <font>
      <b/>
      <sz val="16"/>
      <color rgb="FF1E3A5F"/>
      <name val="Calibri"/>
      <family val="2"/>
    </font>
    <font>
      <sz val="11"/>
      <color rgb="FFC9A84C"/>
      <name val="Calibri"/>
      <family val="2"/>
    </font>
    <font>
      <b/>
      <sz val="12"/>
      <color rgb="FF1E3A5F"/>
      <name val="Calibri"/>
      <family val="2"/>
    </font>
    <font>
      <sz val="10"/>
      <color rgb="FF4A4A4A"/>
      <name val="Calibri"/>
      <family val="2"/>
    </font>
    <font>
      <b/>
      <sz val="11"/>
      <color rgb="FF1E3A5F"/>
      <name val="Calibri"/>
      <family val="2"/>
    </font>
    <font>
      <sz val="11"/>
      <color rgb="FF4A4A4A"/>
      <name val="Calibri"/>
      <family val="2"/>
    </font>
    <font>
      <b/>
      <sz val="11"/>
      <color rgb="FFFFFFFF"/>
      <name val="Calibri"/>
      <family val="2"/>
    </font>
    <font>
      <b/>
      <sz val="10"/>
      <color rgb="FF1E3A5F"/>
      <name val="Calibri"/>
      <family val="2"/>
    </font>
    <font>
      <b/>
      <sz val="10"/>
      <color rgb="FF4A4A4A"/>
      <name val="Calibri"/>
      <family val="2"/>
    </font>
    <font>
      <i/>
      <sz val="10"/>
      <color rgb="FF999999"/>
      <name val="Calibri"/>
      <family val="2"/>
    </font>
    <font>
      <i/>
      <sz val="9"/>
      <color rgb="FFC0392B"/>
      <name val="Calibri"/>
      <family val="2"/>
    </font>
    <font>
      <b/>
      <sz val="14"/>
      <color rgb="FF1E3A5F"/>
      <name val="Calibri"/>
      <family val="2"/>
    </font>
    <font>
      <i/>
      <sz val="10"/>
      <color rgb="FF4A4A4A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1E3A5F"/>
      </patternFill>
    </fill>
    <fill>
      <patternFill patternType="solid">
        <fgColor rgb="FFFFFDE7"/>
      </patternFill>
    </fill>
    <fill>
      <patternFill patternType="solid">
        <fgColor rgb="FFF7F9FC"/>
      </patternFill>
    </fill>
    <fill>
      <patternFill patternType="solid">
        <fgColor rgb="FFFFF9C4"/>
      </patternFill>
    </fill>
    <fill>
      <patternFill patternType="solid">
        <fgColor rgb="FFFFFFF0"/>
      </patternFill>
    </fill>
    <fill>
      <patternFill patternType="solid">
        <fgColor rgb="FFC9A84C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7" fillId="3" borderId="1" xfId="0" applyFont="1" applyFill="1" applyBorder="1" applyAlignment="1">
      <alignment horizontal="center"/>
    </xf>
    <xf numFmtId="0" fontId="8" fillId="0" borderId="0" xfId="0" applyFont="1"/>
    <xf numFmtId="164" fontId="4" fillId="5" borderId="1" xfId="0" applyNumberFormat="1" applyFont="1" applyFill="1" applyBorder="1"/>
    <xf numFmtId="0" fontId="4" fillId="5" borderId="1" xfId="0" applyFont="1" applyFill="1" applyBorder="1"/>
    <xf numFmtId="4" fontId="4" fillId="5" borderId="1" xfId="0" applyNumberFormat="1" applyFont="1" applyFill="1" applyBorder="1"/>
    <xf numFmtId="3" fontId="4" fillId="5" borderId="1" xfId="0" applyNumberFormat="1" applyFont="1" applyFill="1" applyBorder="1"/>
    <xf numFmtId="0" fontId="9" fillId="0" borderId="0" xfId="0" applyFont="1"/>
    <xf numFmtId="0" fontId="10" fillId="4" borderId="0" xfId="0" applyFont="1" applyFill="1"/>
    <xf numFmtId="164" fontId="4" fillId="0" borderId="1" xfId="0" applyNumberFormat="1" applyFont="1" applyBorder="1"/>
    <xf numFmtId="0" fontId="4" fillId="0" borderId="1" xfId="0" applyFont="1" applyBorder="1"/>
    <xf numFmtId="4" fontId="4" fillId="0" borderId="1" xfId="0" applyNumberFormat="1" applyFont="1" applyBorder="1"/>
    <xf numFmtId="3" fontId="4" fillId="0" borderId="1" xfId="0" applyNumberFormat="1" applyFont="1" applyBorder="1"/>
    <xf numFmtId="0" fontId="5" fillId="6" borderId="1" xfId="0" applyFont="1" applyFill="1" applyBorder="1" applyAlignment="1">
      <alignment horizontal="center"/>
    </xf>
    <xf numFmtId="0" fontId="11" fillId="0" borderId="0" xfId="0" applyFont="1"/>
    <xf numFmtId="0" fontId="0" fillId="7" borderId="1" xfId="0" applyFill="1" applyBorder="1"/>
    <xf numFmtId="0" fontId="12" fillId="0" borderId="0" xfId="0" applyFont="1"/>
    <xf numFmtId="0" fontId="13" fillId="0" borderId="0" xfId="0" applyFont="1"/>
    <xf numFmtId="0" fontId="7" fillId="3" borderId="1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left"/>
    </xf>
    <xf numFmtId="0" fontId="9" fillId="0" borderId="1" xfId="0" applyFont="1" applyBorder="1"/>
    <xf numFmtId="0" fontId="4" fillId="0" borderId="0" xfId="0" applyFont="1"/>
    <xf numFmtId="0" fontId="0" fillId="9" borderId="1" xfId="0" applyFill="1" applyBorder="1"/>
    <xf numFmtId="0" fontId="0" fillId="10" borderId="1" xfId="0" applyFill="1" applyBorder="1"/>
    <xf numFmtId="0" fontId="1" fillId="0" borderId="0" xfId="0" applyFont="1"/>
    <xf numFmtId="10" fontId="0" fillId="7" borderId="1" xfId="0" applyNumberFormat="1" applyFill="1" applyBorder="1"/>
    <xf numFmtId="4" fontId="0" fillId="7" borderId="1" xfId="0" applyNumberFormat="1" applyFill="1" applyBorder="1"/>
    <xf numFmtId="2" fontId="0" fillId="7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040AD7-6F7B-4781-84BD-AE695C0A191E}" name="Table1" displayName="Table1" ref="A1:B6" totalsRowShown="0">
  <autoFilter ref="A1:B6" xr:uid="{B6040AD7-6F7B-4781-84BD-AE695C0A191E}"/>
  <tableColumns count="2">
    <tableColumn id="1" xr3:uid="{A55DBF81-0C94-4F65-86B2-4926B1B1A101}" name="TICKER"/>
    <tableColumn id="2" xr3:uid="{F58CDED5-67C3-4151-A6EE-0425021AA6DC}" name="AVERAGES FOR EACH TICKER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58"/>
  <sheetViews>
    <sheetView showGridLines="0" topLeftCell="A8" zoomScale="87" workbookViewId="0">
      <selection activeCell="B14" sqref="B14"/>
    </sheetView>
  </sheetViews>
  <sheetFormatPr defaultRowHeight="15" x14ac:dyDescent="0.25"/>
  <cols>
    <col min="1" max="1" width="2" customWidth="1"/>
    <col min="2" max="2" width="80" customWidth="1"/>
  </cols>
  <sheetData>
    <row r="1" spans="2:2" ht="27.95" customHeight="1" x14ac:dyDescent="0.35">
      <c r="B1" s="29" t="s">
        <v>0</v>
      </c>
    </row>
    <row r="2" spans="2:2" x14ac:dyDescent="0.25">
      <c r="B2" s="1" t="s">
        <v>1</v>
      </c>
    </row>
    <row r="4" spans="2:2" ht="18" customHeight="1" x14ac:dyDescent="0.25">
      <c r="B4" s="2" t="s">
        <v>2</v>
      </c>
    </row>
    <row r="5" spans="2:2" ht="51" x14ac:dyDescent="0.25">
      <c r="B5" s="3" t="s">
        <v>3</v>
      </c>
    </row>
    <row r="7" spans="2:2" ht="15.75" x14ac:dyDescent="0.25">
      <c r="B7" s="2" t="s">
        <v>4</v>
      </c>
    </row>
    <row r="8" spans="2:2" ht="18" customHeight="1" x14ac:dyDescent="0.25">
      <c r="B8" s="3" t="s">
        <v>5</v>
      </c>
    </row>
    <row r="9" spans="2:2" ht="25.5" x14ac:dyDescent="0.25">
      <c r="B9" s="3" t="s">
        <v>6</v>
      </c>
    </row>
    <row r="11" spans="2:2" ht="18" customHeight="1" x14ac:dyDescent="0.25">
      <c r="B11" s="4" t="s">
        <v>7</v>
      </c>
    </row>
    <row r="12" spans="2:2" ht="18" customHeight="1" x14ac:dyDescent="0.25">
      <c r="B12" s="5" t="s">
        <v>8</v>
      </c>
    </row>
    <row r="13" spans="2:2" ht="18" customHeight="1" x14ac:dyDescent="0.25">
      <c r="B13" s="5" t="s">
        <v>9</v>
      </c>
    </row>
    <row r="14" spans="2:2" ht="18" customHeight="1" x14ac:dyDescent="0.25">
      <c r="B14" s="5" t="s">
        <v>10</v>
      </c>
    </row>
    <row r="15" spans="2:2" ht="18" customHeight="1" x14ac:dyDescent="0.25">
      <c r="B15" s="5" t="s">
        <v>11</v>
      </c>
    </row>
    <row r="17" spans="2:2" ht="18" customHeight="1" x14ac:dyDescent="0.25">
      <c r="B17" s="4" t="s">
        <v>12</v>
      </c>
    </row>
    <row r="18" spans="2:2" ht="18" customHeight="1" x14ac:dyDescent="0.25">
      <c r="B18" s="5" t="s">
        <v>13</v>
      </c>
    </row>
    <row r="19" spans="2:2" ht="18" customHeight="1" x14ac:dyDescent="0.25">
      <c r="B19" s="5" t="s">
        <v>14</v>
      </c>
    </row>
    <row r="20" spans="2:2" ht="18" customHeight="1" x14ac:dyDescent="0.25">
      <c r="B20" s="5" t="s">
        <v>15</v>
      </c>
    </row>
    <row r="21" spans="2:2" ht="18" customHeight="1" x14ac:dyDescent="0.25">
      <c r="B21" s="5" t="s">
        <v>16</v>
      </c>
    </row>
    <row r="22" spans="2:2" ht="18" customHeight="1" x14ac:dyDescent="0.25">
      <c r="B22" s="5" t="s">
        <v>17</v>
      </c>
    </row>
    <row r="23" spans="2:2" ht="18" customHeight="1" x14ac:dyDescent="0.25">
      <c r="B23" s="5" t="s">
        <v>18</v>
      </c>
    </row>
    <row r="24" spans="2:2" ht="18" customHeight="1" x14ac:dyDescent="0.25">
      <c r="B24" s="5" t="s">
        <v>19</v>
      </c>
    </row>
    <row r="26" spans="2:2" ht="18" customHeight="1" x14ac:dyDescent="0.25">
      <c r="B26" s="4" t="s">
        <v>20</v>
      </c>
    </row>
    <row r="27" spans="2:2" ht="18" customHeight="1" x14ac:dyDescent="0.25">
      <c r="B27" s="5" t="s">
        <v>21</v>
      </c>
    </row>
    <row r="28" spans="2:2" ht="18" customHeight="1" x14ac:dyDescent="0.25">
      <c r="B28" s="5" t="s">
        <v>22</v>
      </c>
    </row>
    <row r="29" spans="2:2" ht="18" customHeight="1" x14ac:dyDescent="0.25">
      <c r="B29" s="5" t="s">
        <v>23</v>
      </c>
    </row>
    <row r="30" spans="2:2" ht="18" customHeight="1" x14ac:dyDescent="0.25">
      <c r="B30" s="5" t="s">
        <v>24</v>
      </c>
    </row>
    <row r="31" spans="2:2" ht="18" customHeight="1" x14ac:dyDescent="0.25">
      <c r="B31" s="5" t="s">
        <v>25</v>
      </c>
    </row>
    <row r="32" spans="2:2" ht="18" customHeight="1" x14ac:dyDescent="0.25">
      <c r="B32" s="5" t="s">
        <v>26</v>
      </c>
    </row>
    <row r="34" spans="2:2" ht="18" customHeight="1" x14ac:dyDescent="0.25">
      <c r="B34" s="4" t="s">
        <v>27</v>
      </c>
    </row>
    <row r="35" spans="2:2" ht="18" customHeight="1" x14ac:dyDescent="0.25">
      <c r="B35" s="5" t="s">
        <v>28</v>
      </c>
    </row>
    <row r="36" spans="2:2" ht="18" customHeight="1" x14ac:dyDescent="0.25">
      <c r="B36" s="5" t="s">
        <v>29</v>
      </c>
    </row>
    <row r="37" spans="2:2" ht="18" customHeight="1" x14ac:dyDescent="0.25">
      <c r="B37" s="5" t="s">
        <v>30</v>
      </c>
    </row>
    <row r="38" spans="2:2" ht="18" customHeight="1" x14ac:dyDescent="0.25">
      <c r="B38" s="5" t="s">
        <v>31</v>
      </c>
    </row>
    <row r="40" spans="2:2" ht="18" customHeight="1" x14ac:dyDescent="0.25">
      <c r="B40" s="4" t="s">
        <v>32</v>
      </c>
    </row>
    <row r="41" spans="2:2" ht="18" customHeight="1" x14ac:dyDescent="0.25">
      <c r="B41" s="5" t="s">
        <v>33</v>
      </c>
    </row>
    <row r="42" spans="2:2" ht="18" customHeight="1" x14ac:dyDescent="0.25">
      <c r="B42" s="5" t="s">
        <v>34</v>
      </c>
    </row>
    <row r="43" spans="2:2" ht="18" customHeight="1" x14ac:dyDescent="0.25">
      <c r="B43" s="5" t="s">
        <v>35</v>
      </c>
    </row>
    <row r="44" spans="2:2" ht="18" customHeight="1" x14ac:dyDescent="0.25">
      <c r="B44" s="5" t="s">
        <v>36</v>
      </c>
    </row>
    <row r="45" spans="2:2" ht="18" customHeight="1" x14ac:dyDescent="0.25">
      <c r="B45" s="5" t="s">
        <v>37</v>
      </c>
    </row>
    <row r="46" spans="2:2" ht="18" customHeight="1" x14ac:dyDescent="0.25">
      <c r="B46" s="5" t="s">
        <v>38</v>
      </c>
    </row>
    <row r="48" spans="2:2" ht="18" customHeight="1" x14ac:dyDescent="0.25">
      <c r="B48" s="4" t="s">
        <v>39</v>
      </c>
    </row>
    <row r="49" spans="2:2" ht="18" customHeight="1" x14ac:dyDescent="0.25">
      <c r="B49" s="5" t="s">
        <v>40</v>
      </c>
    </row>
    <row r="50" spans="2:2" ht="18" customHeight="1" x14ac:dyDescent="0.25">
      <c r="B50" s="5" t="s">
        <v>41</v>
      </c>
    </row>
    <row r="51" spans="2:2" ht="18" customHeight="1" x14ac:dyDescent="0.25">
      <c r="B51" s="5" t="s">
        <v>42</v>
      </c>
    </row>
    <row r="52" spans="2:2" ht="18" customHeight="1" x14ac:dyDescent="0.25">
      <c r="B52" s="5" t="s">
        <v>43</v>
      </c>
    </row>
    <row r="54" spans="2:2" ht="18" customHeight="1" x14ac:dyDescent="0.25">
      <c r="B54" s="2" t="s">
        <v>44</v>
      </c>
    </row>
    <row r="55" spans="2:2" ht="18" customHeight="1" x14ac:dyDescent="0.25">
      <c r="B55" s="3" t="s">
        <v>45</v>
      </c>
    </row>
    <row r="56" spans="2:2" ht="18" customHeight="1" x14ac:dyDescent="0.25">
      <c r="B56" s="3" t="s">
        <v>46</v>
      </c>
    </row>
    <row r="57" spans="2:2" ht="18" customHeight="1" x14ac:dyDescent="0.25">
      <c r="B57" s="3" t="s">
        <v>47</v>
      </c>
    </row>
    <row r="58" spans="2:2" ht="18" customHeight="1" x14ac:dyDescent="0.25">
      <c r="B58" s="3" t="s">
        <v>48</v>
      </c>
    </row>
  </sheetData>
  <mergeCells count="1">
    <mergeCell ref="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01"/>
  <sheetViews>
    <sheetView showGridLines="0" workbookViewId="0">
      <pane ySplit="1" topLeftCell="A134" activePane="bottomLeft" state="frozen"/>
      <selection pane="bottomLeft" activeCell="L5" sqref="L5"/>
    </sheetView>
  </sheetViews>
  <sheetFormatPr defaultRowHeight="15" x14ac:dyDescent="0.25"/>
  <cols>
    <col min="1" max="1" width="13" customWidth="1"/>
    <col min="2" max="2" width="8" customWidth="1"/>
    <col min="3" max="3" width="18" customWidth="1"/>
    <col min="4" max="8" width="12" customWidth="1"/>
    <col min="9" max="9" width="14" customWidth="1"/>
    <col min="10" max="10" width="16" customWidth="1"/>
    <col min="11" max="12" width="28" customWidth="1"/>
  </cols>
  <sheetData>
    <row r="1" spans="1:12" x14ac:dyDescent="0.25">
      <c r="A1" s="6" t="s">
        <v>49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  <c r="I1" s="6" t="s">
        <v>57</v>
      </c>
      <c r="J1" s="6" t="s">
        <v>58</v>
      </c>
      <c r="K1" s="7" t="s">
        <v>59</v>
      </c>
    </row>
    <row r="2" spans="1:12" x14ac:dyDescent="0.25">
      <c r="A2" s="8">
        <v>45659</v>
      </c>
      <c r="B2" s="9" t="s">
        <v>60</v>
      </c>
      <c r="C2" s="9" t="s">
        <v>61</v>
      </c>
      <c r="D2" s="9" t="s">
        <v>62</v>
      </c>
      <c r="E2" s="10">
        <v>3233.77</v>
      </c>
      <c r="F2" s="10">
        <v>3237.15</v>
      </c>
      <c r="G2" s="10">
        <v>3227.77</v>
      </c>
      <c r="H2" s="10">
        <v>3229.64</v>
      </c>
      <c r="I2" s="11">
        <v>4871300</v>
      </c>
      <c r="J2" s="10">
        <v>4521496000000</v>
      </c>
      <c r="K2" s="12" t="s">
        <v>63</v>
      </c>
      <c r="L2" s="13">
        <f xml:space="preserve"> ROWS(A2:A1301)</f>
        <v>1300</v>
      </c>
    </row>
    <row r="3" spans="1:12" x14ac:dyDescent="0.25">
      <c r="A3" s="14">
        <v>45659</v>
      </c>
      <c r="B3" s="15" t="s">
        <v>65</v>
      </c>
      <c r="C3" s="15" t="s">
        <v>66</v>
      </c>
      <c r="D3" s="15" t="s">
        <v>67</v>
      </c>
      <c r="E3" s="16">
        <v>178.01</v>
      </c>
      <c r="F3" s="16">
        <v>179.37</v>
      </c>
      <c r="G3" s="16">
        <v>177.26</v>
      </c>
      <c r="H3" s="16">
        <v>177.85</v>
      </c>
      <c r="I3" s="17">
        <v>354515</v>
      </c>
      <c r="J3" s="16">
        <v>44462500000</v>
      </c>
      <c r="K3" s="12" t="s">
        <v>68</v>
      </c>
      <c r="L3" s="13">
        <f>COUNTA(_xlfn.UNIQUE(B2:B1301))</f>
        <v>5</v>
      </c>
    </row>
    <row r="4" spans="1:12" x14ac:dyDescent="0.25">
      <c r="A4" s="8">
        <v>45659</v>
      </c>
      <c r="B4" s="9" t="s">
        <v>69</v>
      </c>
      <c r="C4" s="9" t="s">
        <v>70</v>
      </c>
      <c r="D4" s="9" t="s">
        <v>71</v>
      </c>
      <c r="E4" s="10">
        <v>620.42999999999995</v>
      </c>
      <c r="F4" s="10">
        <v>623.35</v>
      </c>
      <c r="G4" s="10">
        <v>616.89</v>
      </c>
      <c r="H4" s="10">
        <v>618.28</v>
      </c>
      <c r="I4" s="11">
        <v>3123559</v>
      </c>
      <c r="J4" s="10">
        <v>494624000000</v>
      </c>
      <c r="K4" s="12" t="s">
        <v>72</v>
      </c>
      <c r="L4" t="s">
        <v>132</v>
      </c>
    </row>
    <row r="5" spans="1:12" x14ac:dyDescent="0.25">
      <c r="A5" s="14">
        <v>45659</v>
      </c>
      <c r="B5" s="15" t="s">
        <v>73</v>
      </c>
      <c r="C5" s="15" t="s">
        <v>74</v>
      </c>
      <c r="D5" s="15" t="s">
        <v>75</v>
      </c>
      <c r="E5" s="16">
        <v>120.7</v>
      </c>
      <c r="F5" s="16">
        <v>121.46</v>
      </c>
      <c r="G5" s="16">
        <v>120.13</v>
      </c>
      <c r="H5" s="16">
        <v>120.61</v>
      </c>
      <c r="I5" s="17">
        <v>3185309</v>
      </c>
      <c r="J5" s="16">
        <v>26534200000</v>
      </c>
      <c r="L5" s="13"/>
    </row>
    <row r="6" spans="1:12" x14ac:dyDescent="0.25">
      <c r="A6" s="8">
        <v>45659</v>
      </c>
      <c r="B6" s="9" t="s">
        <v>76</v>
      </c>
      <c r="C6" s="9" t="s">
        <v>77</v>
      </c>
      <c r="D6" s="9" t="s">
        <v>75</v>
      </c>
      <c r="E6" s="10">
        <v>127.21</v>
      </c>
      <c r="F6" s="10">
        <v>128.33000000000001</v>
      </c>
      <c r="G6" s="10">
        <v>127.05</v>
      </c>
      <c r="H6" s="10">
        <v>128.30000000000001</v>
      </c>
      <c r="I6" s="11">
        <v>3475376</v>
      </c>
      <c r="J6" s="10">
        <v>25660000000</v>
      </c>
      <c r="K6" s="12" t="s">
        <v>78</v>
      </c>
      <c r="L6" s="13" t="s">
        <v>129</v>
      </c>
    </row>
    <row r="7" spans="1:12" x14ac:dyDescent="0.25">
      <c r="A7" s="14">
        <v>45660</v>
      </c>
      <c r="B7" s="15" t="s">
        <v>60</v>
      </c>
      <c r="C7" s="15" t="s">
        <v>61</v>
      </c>
      <c r="D7" s="15" t="s">
        <v>62</v>
      </c>
      <c r="E7" s="16">
        <v>3170.72</v>
      </c>
      <c r="F7" s="16">
        <v>3189.31</v>
      </c>
      <c r="G7" s="16">
        <v>3160.68</v>
      </c>
      <c r="H7" s="16">
        <v>3178.68</v>
      </c>
      <c r="I7" s="17">
        <v>3333614</v>
      </c>
      <c r="J7" s="16">
        <v>4450152000000</v>
      </c>
      <c r="K7" s="12" t="s">
        <v>79</v>
      </c>
      <c r="L7" s="13" t="s">
        <v>64</v>
      </c>
    </row>
    <row r="8" spans="1:12" x14ac:dyDescent="0.25">
      <c r="A8" s="8">
        <v>45660</v>
      </c>
      <c r="B8" s="9" t="s">
        <v>65</v>
      </c>
      <c r="C8" s="9" t="s">
        <v>66</v>
      </c>
      <c r="D8" s="9" t="s">
        <v>67</v>
      </c>
      <c r="E8" s="10">
        <v>174.2</v>
      </c>
      <c r="F8" s="10">
        <v>175.22</v>
      </c>
      <c r="G8" s="10">
        <v>173.24</v>
      </c>
      <c r="H8" s="10">
        <v>173.81</v>
      </c>
      <c r="I8" s="11">
        <v>969343</v>
      </c>
      <c r="J8" s="10">
        <v>43452500000</v>
      </c>
      <c r="K8" s="12" t="s">
        <v>80</v>
      </c>
      <c r="L8" s="13" t="s">
        <v>64</v>
      </c>
    </row>
    <row r="9" spans="1:12" x14ac:dyDescent="0.25">
      <c r="A9" s="14">
        <v>45660</v>
      </c>
      <c r="B9" s="15" t="s">
        <v>69</v>
      </c>
      <c r="C9" s="15" t="s">
        <v>70</v>
      </c>
      <c r="D9" s="15" t="s">
        <v>71</v>
      </c>
      <c r="E9" s="16">
        <v>620.29999999999995</v>
      </c>
      <c r="F9" s="16">
        <v>626.41999999999996</v>
      </c>
      <c r="G9" s="16">
        <v>612.44000000000005</v>
      </c>
      <c r="H9" s="16">
        <v>617.75</v>
      </c>
      <c r="I9" s="17">
        <v>4103481</v>
      </c>
      <c r="J9" s="16">
        <v>494200000000</v>
      </c>
      <c r="K9" s="12" t="s">
        <v>81</v>
      </c>
      <c r="L9" s="13" t="s">
        <v>64</v>
      </c>
    </row>
    <row r="10" spans="1:12" x14ac:dyDescent="0.25">
      <c r="A10" s="8">
        <v>45660</v>
      </c>
      <c r="B10" s="9" t="s">
        <v>73</v>
      </c>
      <c r="C10" s="9" t="s">
        <v>74</v>
      </c>
      <c r="D10" s="9" t="s">
        <v>75</v>
      </c>
      <c r="E10" s="10">
        <v>119.5</v>
      </c>
      <c r="F10" s="10">
        <v>120.19</v>
      </c>
      <c r="G10" s="10">
        <v>119.05</v>
      </c>
      <c r="H10" s="10">
        <v>119.35</v>
      </c>
      <c r="I10" s="11">
        <v>898967</v>
      </c>
      <c r="J10" s="10">
        <v>26257000000</v>
      </c>
      <c r="K10" s="12" t="s">
        <v>82</v>
      </c>
      <c r="L10" s="13" t="s">
        <v>64</v>
      </c>
    </row>
    <row r="11" spans="1:12" x14ac:dyDescent="0.25">
      <c r="A11" s="14">
        <v>45660</v>
      </c>
      <c r="B11" s="15" t="s">
        <v>76</v>
      </c>
      <c r="C11" s="15" t="s">
        <v>77</v>
      </c>
      <c r="D11" s="15" t="s">
        <v>75</v>
      </c>
      <c r="E11" s="16">
        <v>129.29</v>
      </c>
      <c r="F11" s="16">
        <v>129.78</v>
      </c>
      <c r="G11" s="16">
        <v>128.88999999999999</v>
      </c>
      <c r="H11" s="16">
        <v>129.54</v>
      </c>
      <c r="I11" s="17">
        <v>1670719</v>
      </c>
      <c r="J11" s="16">
        <v>25908000000</v>
      </c>
    </row>
    <row r="12" spans="1:12" x14ac:dyDescent="0.25">
      <c r="A12" s="8">
        <v>45663</v>
      </c>
      <c r="B12" s="9" t="s">
        <v>60</v>
      </c>
      <c r="C12" s="9" t="s">
        <v>61</v>
      </c>
      <c r="D12" s="9" t="s">
        <v>62</v>
      </c>
      <c r="E12" s="10">
        <v>3142.55</v>
      </c>
      <c r="F12" s="10">
        <v>3147.23</v>
      </c>
      <c r="G12" s="10">
        <v>3108.31</v>
      </c>
      <c r="H12" s="10">
        <v>3116.86</v>
      </c>
      <c r="I12" s="11">
        <v>3020280</v>
      </c>
      <c r="J12" s="10">
        <v>4363604000000</v>
      </c>
    </row>
    <row r="13" spans="1:12" x14ac:dyDescent="0.25">
      <c r="A13" s="14">
        <v>45663</v>
      </c>
      <c r="B13" s="15" t="s">
        <v>65</v>
      </c>
      <c r="C13" s="15" t="s">
        <v>66</v>
      </c>
      <c r="D13" s="15" t="s">
        <v>67</v>
      </c>
      <c r="E13" s="16">
        <v>172.05</v>
      </c>
      <c r="F13" s="16">
        <v>173.36</v>
      </c>
      <c r="G13" s="16">
        <v>170.06</v>
      </c>
      <c r="H13" s="16">
        <v>170.82</v>
      </c>
      <c r="I13" s="17">
        <v>569276</v>
      </c>
      <c r="J13" s="16">
        <v>42705000000</v>
      </c>
    </row>
    <row r="14" spans="1:12" x14ac:dyDescent="0.25">
      <c r="A14" s="8">
        <v>45663</v>
      </c>
      <c r="B14" s="9" t="s">
        <v>69</v>
      </c>
      <c r="C14" s="9" t="s">
        <v>70</v>
      </c>
      <c r="D14" s="9" t="s">
        <v>71</v>
      </c>
      <c r="E14" s="10">
        <v>621.04999999999995</v>
      </c>
      <c r="F14" s="10">
        <v>625.78</v>
      </c>
      <c r="G14" s="10">
        <v>611</v>
      </c>
      <c r="H14" s="10">
        <v>619.38</v>
      </c>
      <c r="I14" s="11">
        <v>2939709</v>
      </c>
      <c r="J14" s="10">
        <v>495504000000</v>
      </c>
    </row>
    <row r="15" spans="1:12" x14ac:dyDescent="0.25">
      <c r="A15" s="14">
        <v>45663</v>
      </c>
      <c r="B15" s="15" t="s">
        <v>73</v>
      </c>
      <c r="C15" s="15" t="s">
        <v>74</v>
      </c>
      <c r="D15" s="15" t="s">
        <v>75</v>
      </c>
      <c r="E15" s="16">
        <v>120.97</v>
      </c>
      <c r="F15" s="16">
        <v>121.23</v>
      </c>
      <c r="G15" s="16">
        <v>119.86</v>
      </c>
      <c r="H15" s="16">
        <v>121.07</v>
      </c>
      <c r="I15" s="17">
        <v>4149128</v>
      </c>
      <c r="J15" s="16">
        <v>26635400000</v>
      </c>
    </row>
    <row r="16" spans="1:12" x14ac:dyDescent="0.25">
      <c r="A16" s="8">
        <v>45663</v>
      </c>
      <c r="B16" s="9" t="s">
        <v>76</v>
      </c>
      <c r="C16" s="9" t="s">
        <v>77</v>
      </c>
      <c r="D16" s="9" t="s">
        <v>75</v>
      </c>
      <c r="E16" s="10">
        <v>130.22999999999999</v>
      </c>
      <c r="F16" s="10">
        <v>130.68</v>
      </c>
      <c r="G16" s="10">
        <v>130.19</v>
      </c>
      <c r="H16" s="10">
        <v>130.56</v>
      </c>
      <c r="I16" s="11">
        <v>3893963</v>
      </c>
      <c r="J16" s="10">
        <v>26112000000</v>
      </c>
    </row>
    <row r="17" spans="1:10" x14ac:dyDescent="0.25">
      <c r="A17" s="14">
        <v>45664</v>
      </c>
      <c r="B17" s="15" t="s">
        <v>60</v>
      </c>
      <c r="C17" s="15" t="s">
        <v>61</v>
      </c>
      <c r="D17" s="15" t="s">
        <v>62</v>
      </c>
      <c r="E17" s="16">
        <v>3059.33</v>
      </c>
      <c r="F17" s="16">
        <v>3079.12</v>
      </c>
      <c r="G17" s="16">
        <v>3044.53</v>
      </c>
      <c r="H17" s="16">
        <v>3052.12</v>
      </c>
      <c r="I17" s="17">
        <v>1460410</v>
      </c>
      <c r="J17" s="16">
        <v>4272968000000</v>
      </c>
    </row>
    <row r="18" spans="1:10" x14ac:dyDescent="0.25">
      <c r="A18" s="8">
        <v>45664</v>
      </c>
      <c r="B18" s="9" t="s">
        <v>65</v>
      </c>
      <c r="C18" s="9" t="s">
        <v>66</v>
      </c>
      <c r="D18" s="9" t="s">
        <v>67</v>
      </c>
      <c r="E18" s="10">
        <v>169.74</v>
      </c>
      <c r="F18" s="10">
        <v>169.78</v>
      </c>
      <c r="G18" s="10">
        <v>169.11</v>
      </c>
      <c r="H18" s="10">
        <v>169.53</v>
      </c>
      <c r="I18" s="11">
        <v>3841334</v>
      </c>
      <c r="J18" s="10">
        <v>42382500000</v>
      </c>
    </row>
    <row r="19" spans="1:10" x14ac:dyDescent="0.25">
      <c r="A19" s="14">
        <v>45664</v>
      </c>
      <c r="B19" s="15" t="s">
        <v>69</v>
      </c>
      <c r="C19" s="15" t="s">
        <v>70</v>
      </c>
      <c r="D19" s="15" t="s">
        <v>71</v>
      </c>
      <c r="E19" s="16">
        <v>620.80999999999995</v>
      </c>
      <c r="F19" s="16">
        <v>624.83000000000004</v>
      </c>
      <c r="G19" s="16">
        <v>618.02</v>
      </c>
      <c r="H19" s="16">
        <v>622.08000000000004</v>
      </c>
      <c r="I19" s="17">
        <v>4226287</v>
      </c>
      <c r="J19" s="16">
        <v>497664000000</v>
      </c>
    </row>
    <row r="20" spans="1:10" x14ac:dyDescent="0.25">
      <c r="A20" s="8">
        <v>45664</v>
      </c>
      <c r="B20" s="9" t="s">
        <v>73</v>
      </c>
      <c r="C20" s="9" t="s">
        <v>74</v>
      </c>
      <c r="D20" s="9" t="s">
        <v>75</v>
      </c>
      <c r="E20" s="10">
        <v>116.34</v>
      </c>
      <c r="F20" s="10">
        <v>116.79</v>
      </c>
      <c r="G20" s="10">
        <v>116.25</v>
      </c>
      <c r="H20" s="10">
        <v>116.64</v>
      </c>
      <c r="I20" s="11">
        <v>4804433</v>
      </c>
      <c r="J20" s="10">
        <v>25660800000</v>
      </c>
    </row>
    <row r="21" spans="1:10" x14ac:dyDescent="0.25">
      <c r="A21" s="14">
        <v>45664</v>
      </c>
      <c r="B21" s="15" t="s">
        <v>76</v>
      </c>
      <c r="C21" s="15" t="s">
        <v>77</v>
      </c>
      <c r="D21" s="15" t="s">
        <v>75</v>
      </c>
      <c r="E21" s="16">
        <v>130.36000000000001</v>
      </c>
      <c r="F21" s="16">
        <v>130.37</v>
      </c>
      <c r="G21" s="16">
        <v>128.58000000000001</v>
      </c>
      <c r="H21" s="16">
        <v>129.19</v>
      </c>
      <c r="I21" s="17">
        <v>2762057</v>
      </c>
      <c r="J21" s="16">
        <v>25838000000</v>
      </c>
    </row>
    <row r="22" spans="1:10" x14ac:dyDescent="0.25">
      <c r="A22" s="8">
        <v>45665</v>
      </c>
      <c r="B22" s="9" t="s">
        <v>60</v>
      </c>
      <c r="C22" s="9" t="s">
        <v>61</v>
      </c>
      <c r="D22" s="9" t="s">
        <v>62</v>
      </c>
      <c r="E22" s="10">
        <v>3006.56</v>
      </c>
      <c r="F22" s="10">
        <v>3017.1</v>
      </c>
      <c r="G22" s="10">
        <v>2959.48</v>
      </c>
      <c r="H22" s="10">
        <v>2974.66</v>
      </c>
      <c r="I22" s="11">
        <v>4499220</v>
      </c>
      <c r="J22" s="10">
        <v>4164524000000</v>
      </c>
    </row>
    <row r="23" spans="1:10" x14ac:dyDescent="0.25">
      <c r="A23" s="14">
        <v>45665</v>
      </c>
      <c r="B23" s="15" t="s">
        <v>65</v>
      </c>
      <c r="C23" s="15" t="s">
        <v>66</v>
      </c>
      <c r="D23" s="15" t="s">
        <v>67</v>
      </c>
      <c r="E23" s="16">
        <v>168.08</v>
      </c>
      <c r="F23" s="16">
        <v>168.2</v>
      </c>
      <c r="G23" s="16">
        <v>166.48</v>
      </c>
      <c r="H23" s="16">
        <v>166.66</v>
      </c>
      <c r="I23" s="17">
        <v>2803536</v>
      </c>
      <c r="J23" s="16">
        <v>41665000000</v>
      </c>
    </row>
    <row r="24" spans="1:10" x14ac:dyDescent="0.25">
      <c r="A24" s="8">
        <v>45665</v>
      </c>
      <c r="B24" s="9" t="s">
        <v>69</v>
      </c>
      <c r="C24" s="9" t="s">
        <v>70</v>
      </c>
      <c r="D24" s="9" t="s">
        <v>71</v>
      </c>
      <c r="E24" s="10">
        <v>628.25</v>
      </c>
      <c r="F24" s="10">
        <v>633.27</v>
      </c>
      <c r="G24" s="10">
        <v>626.72</v>
      </c>
      <c r="H24" s="10">
        <v>627.78</v>
      </c>
      <c r="I24" s="11">
        <v>4748929</v>
      </c>
      <c r="J24" s="10">
        <v>502224000000</v>
      </c>
    </row>
    <row r="25" spans="1:10" x14ac:dyDescent="0.25">
      <c r="A25" s="14">
        <v>45665</v>
      </c>
      <c r="B25" s="15" t="s">
        <v>73</v>
      </c>
      <c r="C25" s="15" t="s">
        <v>74</v>
      </c>
      <c r="D25" s="15" t="s">
        <v>75</v>
      </c>
      <c r="E25" s="16">
        <v>118.27</v>
      </c>
      <c r="F25" s="16">
        <v>119.38</v>
      </c>
      <c r="G25" s="16">
        <v>117.64</v>
      </c>
      <c r="H25" s="16">
        <v>118.49</v>
      </c>
      <c r="I25" s="17">
        <v>1238414</v>
      </c>
      <c r="J25" s="16">
        <v>26067800000</v>
      </c>
    </row>
    <row r="26" spans="1:10" x14ac:dyDescent="0.25">
      <c r="A26" s="8">
        <v>45665</v>
      </c>
      <c r="B26" s="9" t="s">
        <v>76</v>
      </c>
      <c r="C26" s="9" t="s">
        <v>77</v>
      </c>
      <c r="D26" s="9" t="s">
        <v>75</v>
      </c>
      <c r="E26" s="10">
        <v>132.81</v>
      </c>
      <c r="F26" s="10">
        <v>133.75</v>
      </c>
      <c r="G26" s="10">
        <v>132.36000000000001</v>
      </c>
      <c r="H26" s="10">
        <v>132.44</v>
      </c>
      <c r="I26" s="11">
        <v>960662</v>
      </c>
      <c r="J26" s="10">
        <v>26488000000</v>
      </c>
    </row>
    <row r="27" spans="1:10" x14ac:dyDescent="0.25">
      <c r="A27" s="14">
        <v>45666</v>
      </c>
      <c r="B27" s="15" t="s">
        <v>60</v>
      </c>
      <c r="C27" s="15" t="s">
        <v>61</v>
      </c>
      <c r="D27" s="15" t="s">
        <v>62</v>
      </c>
      <c r="E27" s="16">
        <v>2941.93</v>
      </c>
      <c r="F27" s="16">
        <v>2965.24</v>
      </c>
      <c r="G27" s="16">
        <v>2928.01</v>
      </c>
      <c r="H27" s="16">
        <v>2930.59</v>
      </c>
      <c r="I27" s="17">
        <v>4768663</v>
      </c>
      <c r="J27" s="16">
        <v>4102826000000</v>
      </c>
    </row>
    <row r="28" spans="1:10" x14ac:dyDescent="0.25">
      <c r="A28" s="8">
        <v>45666</v>
      </c>
      <c r="B28" s="9" t="s">
        <v>65</v>
      </c>
      <c r="C28" s="9" t="s">
        <v>66</v>
      </c>
      <c r="D28" s="9" t="s">
        <v>67</v>
      </c>
      <c r="E28" s="10">
        <v>166.82</v>
      </c>
      <c r="F28" s="10">
        <v>167.52</v>
      </c>
      <c r="G28" s="10">
        <v>165.15</v>
      </c>
      <c r="H28" s="10">
        <v>165.78</v>
      </c>
      <c r="I28" s="11">
        <v>3849538</v>
      </c>
      <c r="J28" s="10">
        <v>41445000000</v>
      </c>
    </row>
    <row r="29" spans="1:10" x14ac:dyDescent="0.25">
      <c r="A29" s="14">
        <v>45666</v>
      </c>
      <c r="B29" s="15" t="s">
        <v>69</v>
      </c>
      <c r="C29" s="15" t="s">
        <v>70</v>
      </c>
      <c r="D29" s="15" t="s">
        <v>71</v>
      </c>
      <c r="E29" s="16">
        <v>629.75</v>
      </c>
      <c r="F29" s="16">
        <v>641.04999999999995</v>
      </c>
      <c r="G29" s="16">
        <v>627.17999999999995</v>
      </c>
      <c r="H29" s="16">
        <v>637.66</v>
      </c>
      <c r="I29" s="17">
        <v>1987377</v>
      </c>
      <c r="J29" s="16">
        <v>510128000000</v>
      </c>
    </row>
    <row r="30" spans="1:10" x14ac:dyDescent="0.25">
      <c r="A30" s="8">
        <v>45666</v>
      </c>
      <c r="B30" s="9" t="s">
        <v>73</v>
      </c>
      <c r="C30" s="9" t="s">
        <v>74</v>
      </c>
      <c r="D30" s="9" t="s">
        <v>75</v>
      </c>
      <c r="E30" s="10">
        <v>118.1</v>
      </c>
      <c r="F30" s="10">
        <v>119.03</v>
      </c>
      <c r="G30" s="10">
        <v>117.67</v>
      </c>
      <c r="H30" s="10">
        <v>118.89</v>
      </c>
      <c r="I30" s="11">
        <v>4087340</v>
      </c>
      <c r="J30" s="10">
        <v>26155800000</v>
      </c>
    </row>
    <row r="31" spans="1:10" x14ac:dyDescent="0.25">
      <c r="A31" s="14">
        <v>45666</v>
      </c>
      <c r="B31" s="15" t="s">
        <v>76</v>
      </c>
      <c r="C31" s="15" t="s">
        <v>77</v>
      </c>
      <c r="D31" s="15" t="s">
        <v>75</v>
      </c>
      <c r="E31" s="16">
        <v>130.77000000000001</v>
      </c>
      <c r="F31" s="16">
        <v>131.31</v>
      </c>
      <c r="G31" s="16">
        <v>130.26</v>
      </c>
      <c r="H31" s="16">
        <v>130.61000000000001</v>
      </c>
      <c r="I31" s="17">
        <v>4946630</v>
      </c>
      <c r="J31" s="16">
        <v>26122000000</v>
      </c>
    </row>
    <row r="32" spans="1:10" x14ac:dyDescent="0.25">
      <c r="A32" s="8">
        <v>45667</v>
      </c>
      <c r="B32" s="9" t="s">
        <v>60</v>
      </c>
      <c r="C32" s="9" t="s">
        <v>61</v>
      </c>
      <c r="D32" s="9" t="s">
        <v>62</v>
      </c>
      <c r="E32" s="10">
        <v>2935.04</v>
      </c>
      <c r="F32" s="10">
        <v>2951.47</v>
      </c>
      <c r="G32" s="10">
        <v>2905.12</v>
      </c>
      <c r="H32" s="10">
        <v>2915.73</v>
      </c>
      <c r="I32" s="11">
        <v>563510</v>
      </c>
      <c r="J32" s="10">
        <v>4082022000000</v>
      </c>
    </row>
    <row r="33" spans="1:10" x14ac:dyDescent="0.25">
      <c r="A33" s="14">
        <v>45667</v>
      </c>
      <c r="B33" s="15" t="s">
        <v>65</v>
      </c>
      <c r="C33" s="15" t="s">
        <v>66</v>
      </c>
      <c r="D33" s="15" t="s">
        <v>67</v>
      </c>
      <c r="E33" s="16">
        <v>167.33</v>
      </c>
      <c r="F33" s="16">
        <v>167.66</v>
      </c>
      <c r="G33" s="16">
        <v>166.93</v>
      </c>
      <c r="H33" s="16">
        <v>167.1</v>
      </c>
      <c r="I33" s="17">
        <v>4371951</v>
      </c>
      <c r="J33" s="16">
        <v>41775000000</v>
      </c>
    </row>
    <row r="34" spans="1:10" x14ac:dyDescent="0.25">
      <c r="A34" s="8">
        <v>45667</v>
      </c>
      <c r="B34" s="9" t="s">
        <v>69</v>
      </c>
      <c r="C34" s="9" t="s">
        <v>70</v>
      </c>
      <c r="D34" s="9" t="s">
        <v>71</v>
      </c>
      <c r="E34" s="10">
        <v>638.91999999999996</v>
      </c>
      <c r="F34" s="10">
        <v>641.57000000000005</v>
      </c>
      <c r="G34" s="10">
        <v>632.80999999999995</v>
      </c>
      <c r="H34" s="10">
        <v>636.95000000000005</v>
      </c>
      <c r="I34" s="11">
        <v>4267584</v>
      </c>
      <c r="J34" s="10">
        <v>509560000000</v>
      </c>
    </row>
    <row r="35" spans="1:10" x14ac:dyDescent="0.25">
      <c r="A35" s="14">
        <v>45667</v>
      </c>
      <c r="B35" s="15" t="s">
        <v>73</v>
      </c>
      <c r="C35" s="15" t="s">
        <v>74</v>
      </c>
      <c r="D35" s="15" t="s">
        <v>75</v>
      </c>
      <c r="E35" s="16">
        <v>118</v>
      </c>
      <c r="F35" s="16">
        <v>118.22</v>
      </c>
      <c r="G35" s="16">
        <v>117.43</v>
      </c>
      <c r="H35" s="16">
        <v>117.51</v>
      </c>
      <c r="I35" s="17">
        <v>3915919</v>
      </c>
      <c r="J35" s="16">
        <v>25852200000</v>
      </c>
    </row>
    <row r="36" spans="1:10" x14ac:dyDescent="0.25">
      <c r="A36" s="8">
        <v>45667</v>
      </c>
      <c r="B36" s="9" t="s">
        <v>76</v>
      </c>
      <c r="C36" s="9" t="s">
        <v>77</v>
      </c>
      <c r="D36" s="9" t="s">
        <v>75</v>
      </c>
      <c r="E36" s="10">
        <v>129.41</v>
      </c>
      <c r="F36" s="10">
        <v>130.25</v>
      </c>
      <c r="G36" s="10">
        <v>129.18</v>
      </c>
      <c r="H36" s="10">
        <v>129.88</v>
      </c>
      <c r="I36" s="11">
        <v>1125588</v>
      </c>
      <c r="J36" s="10">
        <v>25976000000</v>
      </c>
    </row>
    <row r="37" spans="1:10" x14ac:dyDescent="0.25">
      <c r="A37" s="14">
        <v>45670</v>
      </c>
      <c r="B37" s="15" t="s">
        <v>60</v>
      </c>
      <c r="C37" s="15" t="s">
        <v>61</v>
      </c>
      <c r="D37" s="15" t="s">
        <v>62</v>
      </c>
      <c r="E37" s="16">
        <v>2905.29</v>
      </c>
      <c r="F37" s="16">
        <v>2940.12</v>
      </c>
      <c r="G37" s="16">
        <v>2891.35</v>
      </c>
      <c r="H37" s="16">
        <v>2930.39</v>
      </c>
      <c r="I37" s="17">
        <v>1216615</v>
      </c>
      <c r="J37" s="16">
        <v>4102546000000</v>
      </c>
    </row>
    <row r="38" spans="1:10" x14ac:dyDescent="0.25">
      <c r="A38" s="8">
        <v>45670</v>
      </c>
      <c r="B38" s="9" t="s">
        <v>65</v>
      </c>
      <c r="C38" s="9" t="s">
        <v>66</v>
      </c>
      <c r="D38" s="9" t="s">
        <v>67</v>
      </c>
      <c r="E38" s="10">
        <v>167.15</v>
      </c>
      <c r="F38" s="10">
        <v>168.02</v>
      </c>
      <c r="G38" s="10">
        <v>165.82</v>
      </c>
      <c r="H38" s="10">
        <v>166.43</v>
      </c>
      <c r="I38" s="11">
        <v>2395528</v>
      </c>
      <c r="J38" s="10">
        <v>41607500000</v>
      </c>
    </row>
    <row r="39" spans="1:10" x14ac:dyDescent="0.25">
      <c r="A39" s="14">
        <v>45670</v>
      </c>
      <c r="B39" s="15" t="s">
        <v>69</v>
      </c>
      <c r="C39" s="15" t="s">
        <v>70</v>
      </c>
      <c r="D39" s="15" t="s">
        <v>71</v>
      </c>
      <c r="E39" s="16">
        <v>640.25</v>
      </c>
      <c r="F39" s="16">
        <v>641.67999999999995</v>
      </c>
      <c r="G39" s="16">
        <v>638.80999999999995</v>
      </c>
      <c r="H39" s="16">
        <v>641.13</v>
      </c>
      <c r="I39" s="17">
        <v>4916463</v>
      </c>
      <c r="J39" s="16">
        <v>512904000000</v>
      </c>
    </row>
    <row r="40" spans="1:10" x14ac:dyDescent="0.25">
      <c r="A40" s="8">
        <v>45670</v>
      </c>
      <c r="B40" s="9" t="s">
        <v>73</v>
      </c>
      <c r="C40" s="9" t="s">
        <v>74</v>
      </c>
      <c r="D40" s="9" t="s">
        <v>75</v>
      </c>
      <c r="E40" s="10">
        <v>119.63</v>
      </c>
      <c r="F40" s="10">
        <v>120.43</v>
      </c>
      <c r="G40" s="10">
        <v>119.47</v>
      </c>
      <c r="H40" s="10">
        <v>119.56</v>
      </c>
      <c r="I40" s="11">
        <v>2282894</v>
      </c>
      <c r="J40" s="10">
        <v>26303200000</v>
      </c>
    </row>
    <row r="41" spans="1:10" x14ac:dyDescent="0.25">
      <c r="A41" s="14">
        <v>45670</v>
      </c>
      <c r="B41" s="15" t="s">
        <v>76</v>
      </c>
      <c r="C41" s="15" t="s">
        <v>77</v>
      </c>
      <c r="D41" s="15" t="s">
        <v>75</v>
      </c>
      <c r="E41" s="16">
        <v>129.82</v>
      </c>
      <c r="F41" s="16">
        <v>130.41999999999999</v>
      </c>
      <c r="G41" s="16">
        <v>128.78</v>
      </c>
      <c r="H41" s="16">
        <v>129.13</v>
      </c>
      <c r="I41" s="17">
        <v>3664169</v>
      </c>
      <c r="J41" s="16">
        <v>25826000000</v>
      </c>
    </row>
    <row r="42" spans="1:10" x14ac:dyDescent="0.25">
      <c r="A42" s="8">
        <v>45671</v>
      </c>
      <c r="B42" s="9" t="s">
        <v>60</v>
      </c>
      <c r="C42" s="9" t="s">
        <v>61</v>
      </c>
      <c r="D42" s="9" t="s">
        <v>62</v>
      </c>
      <c r="E42" s="10">
        <v>2952.54</v>
      </c>
      <c r="F42" s="10">
        <v>2960.69</v>
      </c>
      <c r="G42" s="10">
        <v>2929.04</v>
      </c>
      <c r="H42" s="10">
        <v>2958.36</v>
      </c>
      <c r="I42" s="11">
        <v>4116886</v>
      </c>
      <c r="J42" s="10">
        <v>4141704000000</v>
      </c>
    </row>
    <row r="43" spans="1:10" x14ac:dyDescent="0.25">
      <c r="A43" s="14">
        <v>45671</v>
      </c>
      <c r="B43" s="15" t="s">
        <v>65</v>
      </c>
      <c r="C43" s="15" t="s">
        <v>66</v>
      </c>
      <c r="D43" s="15" t="s">
        <v>67</v>
      </c>
      <c r="E43" s="16">
        <v>166.5</v>
      </c>
      <c r="F43" s="16">
        <v>166.95</v>
      </c>
      <c r="G43" s="16">
        <v>164.49</v>
      </c>
      <c r="H43" s="16">
        <v>166.29</v>
      </c>
      <c r="I43" s="17">
        <v>4962122</v>
      </c>
      <c r="J43" s="16">
        <v>41572500000</v>
      </c>
    </row>
    <row r="44" spans="1:10" x14ac:dyDescent="0.25">
      <c r="A44" s="8">
        <v>45671</v>
      </c>
      <c r="B44" s="9" t="s">
        <v>69</v>
      </c>
      <c r="C44" s="9" t="s">
        <v>70</v>
      </c>
      <c r="D44" s="9" t="s">
        <v>71</v>
      </c>
      <c r="E44" s="10">
        <v>635.41999999999996</v>
      </c>
      <c r="F44" s="10">
        <v>640.41</v>
      </c>
      <c r="G44" s="10">
        <v>634.11</v>
      </c>
      <c r="H44" s="10">
        <v>634.48</v>
      </c>
      <c r="I44" s="11">
        <v>4848263</v>
      </c>
      <c r="J44" s="10">
        <v>507584000000</v>
      </c>
    </row>
    <row r="45" spans="1:10" x14ac:dyDescent="0.25">
      <c r="A45" s="14">
        <v>45671</v>
      </c>
      <c r="B45" s="15" t="s">
        <v>73</v>
      </c>
      <c r="C45" s="15" t="s">
        <v>74</v>
      </c>
      <c r="D45" s="15" t="s">
        <v>75</v>
      </c>
      <c r="E45" s="16">
        <v>120.75</v>
      </c>
      <c r="F45" s="16">
        <v>121.53</v>
      </c>
      <c r="G45" s="16">
        <v>120.44</v>
      </c>
      <c r="H45" s="16">
        <v>120.49</v>
      </c>
      <c r="I45" s="17">
        <v>4299591</v>
      </c>
      <c r="J45" s="16">
        <v>26507800000</v>
      </c>
    </row>
    <row r="46" spans="1:10" x14ac:dyDescent="0.25">
      <c r="A46" s="8">
        <v>45671</v>
      </c>
      <c r="B46" s="9" t="s">
        <v>76</v>
      </c>
      <c r="C46" s="9" t="s">
        <v>77</v>
      </c>
      <c r="D46" s="9" t="s">
        <v>75</v>
      </c>
      <c r="E46" s="10">
        <v>125.37</v>
      </c>
      <c r="F46" s="10">
        <v>125.41</v>
      </c>
      <c r="G46" s="10">
        <v>123.97</v>
      </c>
      <c r="H46" s="10">
        <v>124.09</v>
      </c>
      <c r="I46" s="11">
        <v>1858812</v>
      </c>
      <c r="J46" s="10">
        <v>24818000000</v>
      </c>
    </row>
    <row r="47" spans="1:10" x14ac:dyDescent="0.25">
      <c r="A47" s="14">
        <v>45672</v>
      </c>
      <c r="B47" s="15" t="s">
        <v>60</v>
      </c>
      <c r="C47" s="15" t="s">
        <v>61</v>
      </c>
      <c r="D47" s="15" t="s">
        <v>62</v>
      </c>
      <c r="E47" s="16">
        <v>3053.32</v>
      </c>
      <c r="F47" s="16">
        <v>3061.65</v>
      </c>
      <c r="G47" s="16">
        <v>3049.5</v>
      </c>
      <c r="H47" s="16">
        <v>3059.97</v>
      </c>
      <c r="I47" s="17">
        <v>3687114</v>
      </c>
      <c r="J47" s="16">
        <v>4283958000000</v>
      </c>
    </row>
    <row r="48" spans="1:10" x14ac:dyDescent="0.25">
      <c r="A48" s="8">
        <v>45672</v>
      </c>
      <c r="B48" s="9" t="s">
        <v>65</v>
      </c>
      <c r="C48" s="9" t="s">
        <v>66</v>
      </c>
      <c r="D48" s="9" t="s">
        <v>67</v>
      </c>
      <c r="E48" s="10">
        <v>170.15</v>
      </c>
      <c r="F48" s="10">
        <v>172.11</v>
      </c>
      <c r="G48" s="10">
        <v>170.11</v>
      </c>
      <c r="H48" s="10">
        <v>171.35</v>
      </c>
      <c r="I48" s="11">
        <v>3816713</v>
      </c>
      <c r="J48" s="10">
        <v>42837500000</v>
      </c>
    </row>
    <row r="49" spans="1:10" x14ac:dyDescent="0.25">
      <c r="A49" s="14">
        <v>45672</v>
      </c>
      <c r="B49" s="15" t="s">
        <v>69</v>
      </c>
      <c r="C49" s="15" t="s">
        <v>70</v>
      </c>
      <c r="D49" s="15" t="s">
        <v>71</v>
      </c>
      <c r="E49" s="16">
        <v>647.39</v>
      </c>
      <c r="F49" s="16">
        <v>651.05999999999995</v>
      </c>
      <c r="G49" s="16">
        <v>641.80999999999995</v>
      </c>
      <c r="H49" s="16">
        <v>644.74</v>
      </c>
      <c r="I49" s="17">
        <v>2487461</v>
      </c>
      <c r="J49" s="16">
        <v>515792000000</v>
      </c>
    </row>
    <row r="50" spans="1:10" x14ac:dyDescent="0.25">
      <c r="A50" s="8">
        <v>45672</v>
      </c>
      <c r="B50" s="9" t="s">
        <v>73</v>
      </c>
      <c r="C50" s="9" t="s">
        <v>74</v>
      </c>
      <c r="D50" s="9" t="s">
        <v>75</v>
      </c>
      <c r="E50" s="10">
        <v>121.33</v>
      </c>
      <c r="F50" s="10">
        <v>122.81</v>
      </c>
      <c r="G50" s="10">
        <v>121.26</v>
      </c>
      <c r="H50" s="10">
        <v>122.3</v>
      </c>
      <c r="I50" s="11">
        <v>2816557</v>
      </c>
      <c r="J50" s="10">
        <v>26906000000</v>
      </c>
    </row>
    <row r="51" spans="1:10" x14ac:dyDescent="0.25">
      <c r="A51" s="14">
        <v>45672</v>
      </c>
      <c r="B51" s="15" t="s">
        <v>76</v>
      </c>
      <c r="C51" s="15" t="s">
        <v>77</v>
      </c>
      <c r="D51" s="15" t="s">
        <v>75</v>
      </c>
      <c r="E51" s="16">
        <v>125.98</v>
      </c>
      <c r="F51" s="16">
        <v>128.21</v>
      </c>
      <c r="G51" s="16">
        <v>125.36</v>
      </c>
      <c r="H51" s="16">
        <v>128.03</v>
      </c>
      <c r="I51" s="17">
        <v>378143</v>
      </c>
      <c r="J51" s="16">
        <v>25606000000</v>
      </c>
    </row>
    <row r="52" spans="1:10" x14ac:dyDescent="0.25">
      <c r="A52" s="8">
        <v>45673</v>
      </c>
      <c r="B52" s="9" t="s">
        <v>60</v>
      </c>
      <c r="C52" s="9" t="s">
        <v>61</v>
      </c>
      <c r="D52" s="9" t="s">
        <v>62</v>
      </c>
      <c r="E52" s="10">
        <v>2901.08</v>
      </c>
      <c r="F52" s="10">
        <v>2922.72</v>
      </c>
      <c r="G52" s="10">
        <v>2892.03</v>
      </c>
      <c r="H52" s="10">
        <v>2898.57</v>
      </c>
      <c r="I52" s="11">
        <v>2524662</v>
      </c>
      <c r="J52" s="10">
        <v>4057998000000</v>
      </c>
    </row>
    <row r="53" spans="1:10" x14ac:dyDescent="0.25">
      <c r="A53" s="14">
        <v>45673</v>
      </c>
      <c r="B53" s="15" t="s">
        <v>65</v>
      </c>
      <c r="C53" s="15" t="s">
        <v>66</v>
      </c>
      <c r="D53" s="15" t="s">
        <v>83</v>
      </c>
      <c r="E53" s="16">
        <v>171.36</v>
      </c>
      <c r="F53" s="16">
        <v>172.22</v>
      </c>
      <c r="G53" s="16">
        <v>170.42</v>
      </c>
      <c r="H53" s="16">
        <v>170.54</v>
      </c>
      <c r="I53" s="17">
        <v>2349206</v>
      </c>
      <c r="J53" s="16">
        <v>42635000000</v>
      </c>
    </row>
    <row r="54" spans="1:10" x14ac:dyDescent="0.25">
      <c r="A54" s="8">
        <v>45673</v>
      </c>
      <c r="B54" s="9" t="s">
        <v>69</v>
      </c>
      <c r="C54" s="9" t="s">
        <v>70</v>
      </c>
      <c r="D54" s="9" t="s">
        <v>71</v>
      </c>
      <c r="E54" s="10">
        <v>642.6</v>
      </c>
      <c r="F54" s="10">
        <v>647.99</v>
      </c>
      <c r="G54" s="10">
        <v>638.4</v>
      </c>
      <c r="H54" s="10">
        <v>647.84</v>
      </c>
      <c r="I54" s="11">
        <v>4737076</v>
      </c>
      <c r="J54" s="10">
        <v>518272000000</v>
      </c>
    </row>
    <row r="55" spans="1:10" x14ac:dyDescent="0.25">
      <c r="A55" s="14">
        <v>45673</v>
      </c>
      <c r="B55" s="15" t="s">
        <v>73</v>
      </c>
      <c r="C55" s="15" t="s">
        <v>74</v>
      </c>
      <c r="D55" s="15" t="s">
        <v>75</v>
      </c>
      <c r="E55" s="16">
        <v>121.91</v>
      </c>
      <c r="F55" s="16">
        <v>123.71</v>
      </c>
      <c r="G55" s="16">
        <v>121.82</v>
      </c>
      <c r="H55" s="16">
        <v>122.39</v>
      </c>
      <c r="I55" s="17">
        <v>1168946</v>
      </c>
      <c r="J55" s="16">
        <v>26925800000</v>
      </c>
    </row>
    <row r="56" spans="1:10" x14ac:dyDescent="0.25">
      <c r="A56" s="8">
        <v>45673</v>
      </c>
      <c r="B56" s="9" t="s">
        <v>76</v>
      </c>
      <c r="C56" s="9" t="s">
        <v>77</v>
      </c>
      <c r="D56" s="9" t="s">
        <v>75</v>
      </c>
      <c r="E56" s="10">
        <v>129.01</v>
      </c>
      <c r="F56" s="10">
        <v>129.22</v>
      </c>
      <c r="G56" s="10">
        <v>128.63999999999999</v>
      </c>
      <c r="H56" s="10">
        <v>128.96</v>
      </c>
      <c r="I56" s="11">
        <v>2584622</v>
      </c>
      <c r="J56" s="10">
        <v>25792000000</v>
      </c>
    </row>
    <row r="57" spans="1:10" x14ac:dyDescent="0.25">
      <c r="A57" s="14">
        <v>45674</v>
      </c>
      <c r="B57" s="15" t="s">
        <v>60</v>
      </c>
      <c r="C57" s="15" t="s">
        <v>61</v>
      </c>
      <c r="D57" s="15" t="s">
        <v>62</v>
      </c>
      <c r="E57" s="16">
        <v>2912.87</v>
      </c>
      <c r="F57" s="16">
        <v>2916.05</v>
      </c>
      <c r="G57" s="16">
        <v>2897.16</v>
      </c>
      <c r="H57" s="16">
        <v>2903.64</v>
      </c>
      <c r="I57" s="17">
        <v>2514457</v>
      </c>
      <c r="J57" s="16">
        <v>4065096000000</v>
      </c>
    </row>
    <row r="58" spans="1:10" x14ac:dyDescent="0.25">
      <c r="A58" s="8">
        <v>45674</v>
      </c>
      <c r="B58" s="9" t="s">
        <v>65</v>
      </c>
      <c r="C58" s="9" t="s">
        <v>66</v>
      </c>
      <c r="D58" s="9" t="s">
        <v>67</v>
      </c>
      <c r="E58" s="10">
        <v>168.63</v>
      </c>
      <c r="F58" s="10">
        <v>168.66</v>
      </c>
      <c r="G58" s="10">
        <v>168.26</v>
      </c>
      <c r="H58" s="10">
        <v>168.51</v>
      </c>
      <c r="I58" s="11">
        <v>2620961</v>
      </c>
      <c r="J58" s="10">
        <v>42127500000</v>
      </c>
    </row>
    <row r="59" spans="1:10" x14ac:dyDescent="0.25">
      <c r="A59" s="14">
        <v>45674</v>
      </c>
      <c r="B59" s="15" t="s">
        <v>69</v>
      </c>
      <c r="C59" s="15" t="s">
        <v>70</v>
      </c>
      <c r="D59" s="15" t="s">
        <v>71</v>
      </c>
      <c r="E59" s="16">
        <v>646.26</v>
      </c>
      <c r="F59" s="16">
        <v>650.74</v>
      </c>
      <c r="G59" s="16">
        <v>644.99</v>
      </c>
      <c r="H59" s="16">
        <v>645.74</v>
      </c>
      <c r="I59" s="17">
        <v>2497440</v>
      </c>
      <c r="J59" s="16">
        <v>516592000000</v>
      </c>
    </row>
    <row r="60" spans="1:10" x14ac:dyDescent="0.25">
      <c r="A60" s="8">
        <v>45674</v>
      </c>
      <c r="B60" s="9" t="s">
        <v>73</v>
      </c>
      <c r="C60" s="9" t="s">
        <v>74</v>
      </c>
      <c r="D60" s="9" t="s">
        <v>75</v>
      </c>
      <c r="E60" s="10">
        <v>123.46</v>
      </c>
      <c r="F60" s="10">
        <v>124.37</v>
      </c>
      <c r="G60" s="10">
        <v>123.11</v>
      </c>
      <c r="H60" s="10">
        <v>123.25</v>
      </c>
      <c r="I60" s="11">
        <v>1550357</v>
      </c>
      <c r="J60" s="10">
        <v>27115000000</v>
      </c>
    </row>
    <row r="61" spans="1:10" x14ac:dyDescent="0.25">
      <c r="A61" s="14">
        <v>45674</v>
      </c>
      <c r="B61" s="15" t="s">
        <v>76</v>
      </c>
      <c r="C61" s="15" t="s">
        <v>77</v>
      </c>
      <c r="D61" s="15" t="s">
        <v>75</v>
      </c>
      <c r="E61" s="16">
        <v>126.6</v>
      </c>
      <c r="F61" s="16">
        <v>128.44</v>
      </c>
      <c r="G61" s="16">
        <v>126.06</v>
      </c>
      <c r="H61" s="16">
        <v>127.45</v>
      </c>
      <c r="I61" s="17">
        <v>1542300</v>
      </c>
      <c r="J61" s="16">
        <v>25490000000</v>
      </c>
    </row>
    <row r="62" spans="1:10" x14ac:dyDescent="0.25">
      <c r="A62" s="8">
        <v>45677</v>
      </c>
      <c r="B62" s="9" t="s">
        <v>60</v>
      </c>
      <c r="C62" s="9" t="s">
        <v>61</v>
      </c>
      <c r="D62" s="9" t="s">
        <v>62</v>
      </c>
      <c r="E62" s="10">
        <v>2892.71</v>
      </c>
      <c r="F62" s="10">
        <v>2895.6</v>
      </c>
      <c r="G62" s="10">
        <v>2857.21</v>
      </c>
      <c r="H62" s="10">
        <v>2894.53</v>
      </c>
      <c r="I62" s="11">
        <v>634662</v>
      </c>
      <c r="J62" s="10">
        <v>4052342000000</v>
      </c>
    </row>
    <row r="63" spans="1:10" x14ac:dyDescent="0.25">
      <c r="A63" s="14">
        <v>45677</v>
      </c>
      <c r="B63" s="15" t="s">
        <v>65</v>
      </c>
      <c r="C63" s="15" t="s">
        <v>66</v>
      </c>
      <c r="D63" s="15" t="s">
        <v>67</v>
      </c>
      <c r="E63" s="16">
        <v>172.96</v>
      </c>
      <c r="F63" s="16">
        <v>173.72</v>
      </c>
      <c r="G63" s="16">
        <v>172.4</v>
      </c>
      <c r="H63" s="16">
        <v>172.73</v>
      </c>
      <c r="I63" s="17">
        <v>1162295</v>
      </c>
      <c r="J63" s="16">
        <v>43182500000</v>
      </c>
    </row>
    <row r="64" spans="1:10" x14ac:dyDescent="0.25">
      <c r="A64" s="8">
        <v>45677</v>
      </c>
      <c r="B64" s="9" t="s">
        <v>69</v>
      </c>
      <c r="C64" s="9" t="s">
        <v>70</v>
      </c>
      <c r="D64" s="9" t="s">
        <v>71</v>
      </c>
      <c r="E64" s="10">
        <v>638.34</v>
      </c>
      <c r="F64" s="10">
        <v>643.54</v>
      </c>
      <c r="G64" s="10">
        <v>628.61</v>
      </c>
      <c r="H64" s="10">
        <v>639.79999999999995</v>
      </c>
      <c r="I64" s="11">
        <v>2285896</v>
      </c>
      <c r="J64" s="10">
        <v>511840000000</v>
      </c>
    </row>
    <row r="65" spans="1:10" x14ac:dyDescent="0.25">
      <c r="A65" s="14">
        <v>45677</v>
      </c>
      <c r="B65" s="15" t="s">
        <v>73</v>
      </c>
      <c r="C65" s="15" t="s">
        <v>74</v>
      </c>
      <c r="D65" s="15" t="s">
        <v>75</v>
      </c>
      <c r="E65" s="16">
        <v>119.74</v>
      </c>
      <c r="F65" s="16">
        <v>121.47</v>
      </c>
      <c r="G65" s="16">
        <v>117.77</v>
      </c>
      <c r="H65" s="16">
        <v>120.77</v>
      </c>
      <c r="I65" s="17">
        <v>3758576</v>
      </c>
      <c r="J65" s="16">
        <v>26569400000</v>
      </c>
    </row>
    <row r="66" spans="1:10" x14ac:dyDescent="0.25">
      <c r="A66" s="8">
        <v>45677</v>
      </c>
      <c r="B66" s="9" t="s">
        <v>76</v>
      </c>
      <c r="C66" s="9" t="s">
        <v>77</v>
      </c>
      <c r="D66" s="9" t="s">
        <v>75</v>
      </c>
      <c r="E66" s="10">
        <v>130.56</v>
      </c>
      <c r="F66" s="10">
        <v>130.82</v>
      </c>
      <c r="G66" s="10">
        <v>129.37</v>
      </c>
      <c r="H66" s="10">
        <v>130.53</v>
      </c>
      <c r="I66" s="11">
        <v>2381777</v>
      </c>
      <c r="J66" s="10">
        <v>26106000000</v>
      </c>
    </row>
    <row r="67" spans="1:10" x14ac:dyDescent="0.25">
      <c r="A67" s="14">
        <v>45678</v>
      </c>
      <c r="B67" s="15" t="s">
        <v>60</v>
      </c>
      <c r="C67" s="15" t="s">
        <v>61</v>
      </c>
      <c r="D67" s="15" t="s">
        <v>62</v>
      </c>
      <c r="E67" s="16">
        <v>2982.37</v>
      </c>
      <c r="F67" s="16">
        <v>2986.79</v>
      </c>
      <c r="G67" s="16">
        <v>2940.62</v>
      </c>
      <c r="H67" s="16">
        <v>2945.61</v>
      </c>
      <c r="I67" s="17">
        <v>624845</v>
      </c>
      <c r="J67" s="16">
        <v>4123854000000</v>
      </c>
    </row>
    <row r="68" spans="1:10" x14ac:dyDescent="0.25">
      <c r="A68" s="8">
        <v>45678</v>
      </c>
      <c r="B68" s="9" t="s">
        <v>65</v>
      </c>
      <c r="C68" s="9" t="s">
        <v>66</v>
      </c>
      <c r="D68" s="9" t="s">
        <v>67</v>
      </c>
      <c r="E68" s="10">
        <v>173.59</v>
      </c>
      <c r="F68" s="10">
        <v>176.11</v>
      </c>
      <c r="G68" s="10">
        <v>172.44</v>
      </c>
      <c r="H68" s="10">
        <v>175.36</v>
      </c>
      <c r="I68" s="11">
        <v>2209209</v>
      </c>
      <c r="J68" s="10">
        <v>43840000000</v>
      </c>
    </row>
    <row r="69" spans="1:10" x14ac:dyDescent="0.25">
      <c r="A69" s="14">
        <v>45678</v>
      </c>
      <c r="B69" s="15" t="s">
        <v>69</v>
      </c>
      <c r="C69" s="15" t="s">
        <v>70</v>
      </c>
      <c r="D69" s="15" t="s">
        <v>71</v>
      </c>
      <c r="E69" s="16">
        <v>641.95000000000005</v>
      </c>
      <c r="F69" s="16">
        <v>643.23</v>
      </c>
      <c r="G69" s="16">
        <v>634.51</v>
      </c>
      <c r="H69" s="16">
        <v>637.98</v>
      </c>
      <c r="I69" s="17">
        <v>2637091</v>
      </c>
      <c r="J69" s="16">
        <v>510384000000</v>
      </c>
    </row>
    <row r="70" spans="1:10" x14ac:dyDescent="0.25">
      <c r="A70" s="8">
        <v>45678</v>
      </c>
      <c r="B70" s="9" t="s">
        <v>73</v>
      </c>
      <c r="C70" s="9" t="s">
        <v>74</v>
      </c>
      <c r="D70" s="9" t="s">
        <v>75</v>
      </c>
      <c r="E70" s="10">
        <v>123.91</v>
      </c>
      <c r="F70" s="10">
        <v>125.86</v>
      </c>
      <c r="G70" s="10">
        <v>123.65</v>
      </c>
      <c r="H70" s="10">
        <v>124.53</v>
      </c>
      <c r="I70" s="11">
        <v>4798103</v>
      </c>
      <c r="J70" s="10">
        <v>27396600000</v>
      </c>
    </row>
    <row r="71" spans="1:10" x14ac:dyDescent="0.25">
      <c r="A71" s="14">
        <v>45678</v>
      </c>
      <c r="B71" s="15" t="s">
        <v>76</v>
      </c>
      <c r="C71" s="15" t="s">
        <v>77</v>
      </c>
      <c r="D71" s="15" t="s">
        <v>75</v>
      </c>
      <c r="E71" s="16">
        <v>133.31</v>
      </c>
      <c r="F71" s="16">
        <v>133.43</v>
      </c>
      <c r="G71" s="16">
        <v>133.09</v>
      </c>
      <c r="H71" s="16">
        <v>133.38999999999999</v>
      </c>
      <c r="I71" s="17">
        <v>2491231</v>
      </c>
      <c r="J71" s="16">
        <v>26678000000</v>
      </c>
    </row>
    <row r="72" spans="1:10" x14ac:dyDescent="0.25">
      <c r="A72" s="8">
        <v>45679</v>
      </c>
      <c r="B72" s="9" t="s">
        <v>60</v>
      </c>
      <c r="C72" s="9" t="s">
        <v>61</v>
      </c>
      <c r="D72" s="9" t="s">
        <v>62</v>
      </c>
      <c r="E72" s="10">
        <v>2995.34</v>
      </c>
      <c r="F72" s="10">
        <v>3050.67</v>
      </c>
      <c r="G72" s="10">
        <v>2994.23</v>
      </c>
      <c r="H72" s="10">
        <v>3018.76</v>
      </c>
      <c r="I72" s="11">
        <v>2931316</v>
      </c>
      <c r="J72" s="10">
        <v>4226264000000</v>
      </c>
    </row>
    <row r="73" spans="1:10" x14ac:dyDescent="0.25">
      <c r="A73" s="14">
        <v>45679</v>
      </c>
      <c r="B73" s="15" t="s">
        <v>65</v>
      </c>
      <c r="C73" s="15" t="s">
        <v>66</v>
      </c>
      <c r="D73" s="15" t="s">
        <v>67</v>
      </c>
      <c r="E73" s="16">
        <v>176.65</v>
      </c>
      <c r="F73" s="16">
        <v>180.4</v>
      </c>
      <c r="G73" s="16">
        <v>175.07</v>
      </c>
      <c r="H73" s="16">
        <v>175.69</v>
      </c>
      <c r="I73" s="17">
        <v>1894496</v>
      </c>
      <c r="J73" s="16">
        <v>43922500000</v>
      </c>
    </row>
    <row r="74" spans="1:10" x14ac:dyDescent="0.25">
      <c r="A74" s="8">
        <v>45679</v>
      </c>
      <c r="B74" s="9" t="s">
        <v>69</v>
      </c>
      <c r="C74" s="9" t="s">
        <v>70</v>
      </c>
      <c r="D74" s="9" t="s">
        <v>71</v>
      </c>
      <c r="E74" s="10">
        <v>637.66</v>
      </c>
      <c r="F74" s="10">
        <v>645.66999999999996</v>
      </c>
      <c r="G74" s="10">
        <v>626.03</v>
      </c>
      <c r="H74" s="10">
        <v>636.61</v>
      </c>
      <c r="I74" s="11">
        <v>1952850</v>
      </c>
      <c r="J74" s="10">
        <v>509288000000</v>
      </c>
    </row>
    <row r="75" spans="1:10" x14ac:dyDescent="0.25">
      <c r="A75" s="14">
        <v>45679</v>
      </c>
      <c r="B75" s="15" t="s">
        <v>73</v>
      </c>
      <c r="C75" s="15" t="s">
        <v>74</v>
      </c>
      <c r="D75" s="15" t="s">
        <v>75</v>
      </c>
      <c r="E75" s="16">
        <v>124.6</v>
      </c>
      <c r="F75" s="16">
        <v>124.85</v>
      </c>
      <c r="G75" s="16">
        <v>124.31</v>
      </c>
      <c r="H75" s="16">
        <v>124.67</v>
      </c>
      <c r="I75" s="17">
        <v>3069918</v>
      </c>
      <c r="J75" s="16">
        <v>27427400000</v>
      </c>
    </row>
    <row r="76" spans="1:10" x14ac:dyDescent="0.25">
      <c r="A76" s="8">
        <v>45679</v>
      </c>
      <c r="B76" s="9" t="s">
        <v>76</v>
      </c>
      <c r="C76" s="9" t="s">
        <v>77</v>
      </c>
      <c r="D76" s="9" t="s">
        <v>75</v>
      </c>
      <c r="E76" s="10">
        <v>131.30000000000001</v>
      </c>
      <c r="F76" s="10">
        <v>132.38</v>
      </c>
      <c r="G76" s="10">
        <v>129.69999999999999</v>
      </c>
      <c r="H76" s="10">
        <v>131.06</v>
      </c>
      <c r="I76" s="11">
        <v>3725848</v>
      </c>
      <c r="J76" s="10">
        <v>26212000000</v>
      </c>
    </row>
    <row r="77" spans="1:10" x14ac:dyDescent="0.25">
      <c r="A77" s="14">
        <v>45680</v>
      </c>
      <c r="B77" s="15" t="s">
        <v>60</v>
      </c>
      <c r="C77" s="15" t="s">
        <v>61</v>
      </c>
      <c r="D77" s="15" t="s">
        <v>62</v>
      </c>
      <c r="E77" s="16">
        <v>3087.92</v>
      </c>
      <c r="F77" s="16">
        <v>3105.51</v>
      </c>
      <c r="G77" s="16">
        <v>3054.03</v>
      </c>
      <c r="H77" s="16">
        <v>3082.57</v>
      </c>
      <c r="I77" s="17">
        <v>1909271</v>
      </c>
      <c r="J77" s="16">
        <v>4315598000000</v>
      </c>
    </row>
    <row r="78" spans="1:10" x14ac:dyDescent="0.25">
      <c r="A78" s="8">
        <v>45680</v>
      </c>
      <c r="B78" s="9" t="s">
        <v>65</v>
      </c>
      <c r="C78" s="9" t="s">
        <v>66</v>
      </c>
      <c r="D78" s="9" t="s">
        <v>67</v>
      </c>
      <c r="E78" s="10">
        <v>170.23</v>
      </c>
      <c r="F78" s="10">
        <v>171.78</v>
      </c>
      <c r="G78" s="10">
        <v>168.93</v>
      </c>
      <c r="H78" s="10">
        <v>170.68</v>
      </c>
      <c r="I78" s="11">
        <v>2824550</v>
      </c>
      <c r="J78" s="10">
        <v>42670000000</v>
      </c>
    </row>
    <row r="79" spans="1:10" x14ac:dyDescent="0.25">
      <c r="A79" s="14">
        <v>45680</v>
      </c>
      <c r="B79" s="15" t="s">
        <v>69</v>
      </c>
      <c r="C79" s="15" t="s">
        <v>70</v>
      </c>
      <c r="D79" s="15" t="s">
        <v>71</v>
      </c>
      <c r="E79" s="16">
        <v>618.23</v>
      </c>
      <c r="F79" s="16">
        <v>626.01</v>
      </c>
      <c r="G79" s="16">
        <v>613.02</v>
      </c>
      <c r="H79" s="16">
        <v>616.97</v>
      </c>
      <c r="I79" s="17">
        <v>2063140</v>
      </c>
      <c r="J79" s="16">
        <v>493576000000</v>
      </c>
    </row>
    <row r="80" spans="1:10" x14ac:dyDescent="0.25">
      <c r="A80" s="8">
        <v>45680</v>
      </c>
      <c r="B80" s="9" t="s">
        <v>73</v>
      </c>
      <c r="C80" s="9" t="s">
        <v>74</v>
      </c>
      <c r="D80" s="9" t="s">
        <v>75</v>
      </c>
      <c r="E80" s="10">
        <v>122.47</v>
      </c>
      <c r="F80" s="10">
        <v>123.02</v>
      </c>
      <c r="G80" s="10">
        <v>121.85</v>
      </c>
      <c r="H80" s="10">
        <v>122.37</v>
      </c>
      <c r="I80" s="11">
        <v>2092657</v>
      </c>
      <c r="J80" s="10">
        <v>26921400000</v>
      </c>
    </row>
    <row r="81" spans="1:10" x14ac:dyDescent="0.25">
      <c r="A81" s="14">
        <v>45680</v>
      </c>
      <c r="B81" s="15" t="s">
        <v>76</v>
      </c>
      <c r="C81" s="15" t="s">
        <v>77</v>
      </c>
      <c r="D81" s="15" t="s">
        <v>75</v>
      </c>
      <c r="E81" s="16">
        <v>129.27000000000001</v>
      </c>
      <c r="F81" s="16">
        <v>131.1</v>
      </c>
      <c r="G81" s="16">
        <v>129.13999999999999</v>
      </c>
      <c r="H81" s="16">
        <v>131.02000000000001</v>
      </c>
      <c r="I81" s="17">
        <v>1723474</v>
      </c>
      <c r="J81" s="16">
        <v>26204000000</v>
      </c>
    </row>
    <row r="82" spans="1:10" x14ac:dyDescent="0.25">
      <c r="A82" s="8">
        <v>45681</v>
      </c>
      <c r="B82" s="9" t="s">
        <v>60</v>
      </c>
      <c r="C82" s="9" t="s">
        <v>61</v>
      </c>
      <c r="D82" s="9" t="s">
        <v>62</v>
      </c>
      <c r="E82" s="10">
        <v>3062.71</v>
      </c>
      <c r="F82" s="10">
        <v>3079.53</v>
      </c>
      <c r="G82" s="10">
        <v>3045.17</v>
      </c>
      <c r="H82" s="10">
        <v>3048.38</v>
      </c>
      <c r="I82" s="11">
        <v>2270220</v>
      </c>
      <c r="J82" s="10">
        <v>4267732000000</v>
      </c>
    </row>
    <row r="83" spans="1:10" x14ac:dyDescent="0.25">
      <c r="A83" s="14">
        <v>45681</v>
      </c>
      <c r="B83" s="15" t="s">
        <v>65</v>
      </c>
      <c r="C83" s="15" t="s">
        <v>66</v>
      </c>
      <c r="D83" s="15" t="s">
        <v>67</v>
      </c>
      <c r="E83" s="16">
        <v>167.66</v>
      </c>
      <c r="F83" s="16">
        <v>168.11</v>
      </c>
      <c r="G83" s="16">
        <v>166.81</v>
      </c>
      <c r="H83" s="16">
        <v>167.07</v>
      </c>
      <c r="I83" s="17">
        <v>504895</v>
      </c>
      <c r="J83" s="16">
        <v>41767500000</v>
      </c>
    </row>
    <row r="84" spans="1:10" x14ac:dyDescent="0.25">
      <c r="A84" s="8">
        <v>45681</v>
      </c>
      <c r="B84" s="9" t="s">
        <v>69</v>
      </c>
      <c r="C84" s="9" t="s">
        <v>70</v>
      </c>
      <c r="D84" s="9" t="s">
        <v>71</v>
      </c>
      <c r="E84" s="10">
        <v>642.58000000000004</v>
      </c>
      <c r="F84" s="10">
        <v>646.80999999999995</v>
      </c>
      <c r="G84" s="10">
        <v>635.85</v>
      </c>
      <c r="H84" s="10">
        <v>640.84</v>
      </c>
      <c r="I84" s="11">
        <v>1931040</v>
      </c>
      <c r="J84" s="10">
        <v>512672000000</v>
      </c>
    </row>
    <row r="85" spans="1:10" x14ac:dyDescent="0.25">
      <c r="A85" s="14">
        <v>45681</v>
      </c>
      <c r="B85" s="15" t="s">
        <v>73</v>
      </c>
      <c r="C85" s="15" t="s">
        <v>74</v>
      </c>
      <c r="D85" s="15" t="s">
        <v>75</v>
      </c>
      <c r="E85" s="16">
        <v>120.37</v>
      </c>
      <c r="F85" s="16">
        <v>120.56</v>
      </c>
      <c r="G85" s="16">
        <v>119.44</v>
      </c>
      <c r="H85" s="16">
        <v>119.89</v>
      </c>
      <c r="I85" s="17">
        <v>1537918</v>
      </c>
      <c r="J85" s="16">
        <v>26375800000</v>
      </c>
    </row>
    <row r="86" spans="1:10" x14ac:dyDescent="0.25">
      <c r="A86" s="8">
        <v>45681</v>
      </c>
      <c r="B86" s="9" t="s">
        <v>76</v>
      </c>
      <c r="C86" s="9" t="s">
        <v>77</v>
      </c>
      <c r="D86" s="9" t="s">
        <v>75</v>
      </c>
      <c r="E86" s="10">
        <v>130.93</v>
      </c>
      <c r="F86" s="10">
        <v>131.02000000000001</v>
      </c>
      <c r="G86" s="10">
        <v>130.91999999999999</v>
      </c>
      <c r="H86" s="10">
        <v>130.93</v>
      </c>
      <c r="I86" s="11">
        <v>3866384</v>
      </c>
      <c r="J86" s="10">
        <v>26186000000</v>
      </c>
    </row>
    <row r="87" spans="1:10" x14ac:dyDescent="0.25">
      <c r="A87" s="14">
        <v>45684</v>
      </c>
      <c r="B87" s="15" t="s">
        <v>60</v>
      </c>
      <c r="C87" s="15" t="s">
        <v>61</v>
      </c>
      <c r="D87" s="15" t="s">
        <v>62</v>
      </c>
      <c r="E87" s="16">
        <v>2970.59</v>
      </c>
      <c r="F87" s="16">
        <v>2978.94</v>
      </c>
      <c r="G87" s="16">
        <v>2928.5</v>
      </c>
      <c r="H87" s="16">
        <v>2963.6</v>
      </c>
      <c r="I87" s="17">
        <v>4196926</v>
      </c>
      <c r="J87" s="16">
        <v>4149040000000</v>
      </c>
    </row>
    <row r="88" spans="1:10" x14ac:dyDescent="0.25">
      <c r="A88" s="8">
        <v>45684</v>
      </c>
      <c r="B88" s="9" t="s">
        <v>65</v>
      </c>
      <c r="C88" s="9" t="s">
        <v>66</v>
      </c>
      <c r="D88" s="9" t="s">
        <v>67</v>
      </c>
      <c r="E88" s="10">
        <v>168.91</v>
      </c>
      <c r="F88" s="10">
        <v>169.23</v>
      </c>
      <c r="G88" s="10">
        <v>168.05</v>
      </c>
      <c r="H88" s="10">
        <v>169</v>
      </c>
      <c r="I88" s="11">
        <v>4755457</v>
      </c>
      <c r="J88" s="10">
        <v>42250000000</v>
      </c>
    </row>
    <row r="89" spans="1:10" x14ac:dyDescent="0.25">
      <c r="A89" s="14">
        <v>45684</v>
      </c>
      <c r="B89" s="15" t="s">
        <v>69</v>
      </c>
      <c r="C89" s="15" t="s">
        <v>70</v>
      </c>
      <c r="D89" s="15" t="s">
        <v>71</v>
      </c>
      <c r="E89" s="16">
        <v>632.32000000000005</v>
      </c>
      <c r="F89" s="16">
        <v>639.11</v>
      </c>
      <c r="G89" s="16">
        <v>631.79999999999995</v>
      </c>
      <c r="H89" s="16">
        <v>638.74</v>
      </c>
      <c r="I89" s="17">
        <v>4012574</v>
      </c>
      <c r="J89" s="16">
        <v>510992000000</v>
      </c>
    </row>
    <row r="90" spans="1:10" x14ac:dyDescent="0.25">
      <c r="A90" s="8">
        <v>45684</v>
      </c>
      <c r="B90" s="9" t="s">
        <v>73</v>
      </c>
      <c r="C90" s="9" t="s">
        <v>74</v>
      </c>
      <c r="D90" s="9" t="s">
        <v>75</v>
      </c>
      <c r="E90" s="10">
        <v>117.74</v>
      </c>
      <c r="F90" s="10">
        <v>118.72</v>
      </c>
      <c r="G90" s="10">
        <v>115.97</v>
      </c>
      <c r="H90" s="10">
        <v>117.48</v>
      </c>
      <c r="I90" s="11">
        <v>1635113</v>
      </c>
      <c r="J90" s="10">
        <v>25845600000</v>
      </c>
    </row>
    <row r="91" spans="1:10" x14ac:dyDescent="0.25">
      <c r="A91" s="14">
        <v>45684</v>
      </c>
      <c r="B91" s="15" t="s">
        <v>76</v>
      </c>
      <c r="C91" s="15" t="s">
        <v>77</v>
      </c>
      <c r="D91" s="15" t="s">
        <v>75</v>
      </c>
      <c r="E91" s="16">
        <v>130.85</v>
      </c>
      <c r="F91" s="16">
        <v>130.9</v>
      </c>
      <c r="G91" s="16">
        <v>129.66</v>
      </c>
      <c r="H91" s="16">
        <v>129.97999999999999</v>
      </c>
      <c r="I91" s="17">
        <v>2373997</v>
      </c>
      <c r="J91" s="16">
        <v>25996000000</v>
      </c>
    </row>
    <row r="92" spans="1:10" x14ac:dyDescent="0.25">
      <c r="A92" s="8">
        <v>45685</v>
      </c>
      <c r="B92" s="9" t="s">
        <v>60</v>
      </c>
      <c r="C92" s="9" t="s">
        <v>61</v>
      </c>
      <c r="D92" s="9" t="s">
        <v>62</v>
      </c>
      <c r="E92" s="10">
        <v>2983.36</v>
      </c>
      <c r="F92" s="10">
        <v>2999.61</v>
      </c>
      <c r="G92" s="10">
        <v>2978.61</v>
      </c>
      <c r="H92" s="10">
        <v>2983.63</v>
      </c>
      <c r="I92" s="11">
        <v>3989918</v>
      </c>
      <c r="J92" s="10">
        <v>4177082000000</v>
      </c>
    </row>
    <row r="93" spans="1:10" x14ac:dyDescent="0.25">
      <c r="A93" s="14">
        <v>45685</v>
      </c>
      <c r="B93" s="15" t="s">
        <v>65</v>
      </c>
      <c r="C93" s="15" t="s">
        <v>66</v>
      </c>
      <c r="D93" s="15" t="s">
        <v>67</v>
      </c>
      <c r="E93" s="16">
        <v>166.16</v>
      </c>
      <c r="F93" s="16">
        <v>167.12</v>
      </c>
      <c r="G93" s="16">
        <v>165.65</v>
      </c>
      <c r="H93" s="16">
        <v>166.05</v>
      </c>
      <c r="I93" s="17">
        <v>2981918</v>
      </c>
      <c r="J93" s="16">
        <v>41512500000</v>
      </c>
    </row>
    <row r="94" spans="1:10" x14ac:dyDescent="0.25">
      <c r="A94" s="8">
        <v>45685</v>
      </c>
      <c r="B94" s="9" t="s">
        <v>69</v>
      </c>
      <c r="C94" s="9" t="s">
        <v>70</v>
      </c>
      <c r="D94" s="9" t="s">
        <v>71</v>
      </c>
      <c r="E94" s="10">
        <v>641.94000000000005</v>
      </c>
      <c r="F94" s="10">
        <v>643.25</v>
      </c>
      <c r="G94" s="10">
        <v>638.99</v>
      </c>
      <c r="H94" s="10">
        <v>639.64</v>
      </c>
      <c r="I94" s="11">
        <v>2094766</v>
      </c>
      <c r="J94" s="10">
        <v>511712000000</v>
      </c>
    </row>
    <row r="95" spans="1:10" x14ac:dyDescent="0.25">
      <c r="A95" s="14">
        <v>45685</v>
      </c>
      <c r="B95" s="15" t="s">
        <v>73</v>
      </c>
      <c r="C95" s="15" t="s">
        <v>74</v>
      </c>
      <c r="D95" s="15" t="s">
        <v>75</v>
      </c>
      <c r="E95" s="16">
        <v>118.91</v>
      </c>
      <c r="F95" s="16">
        <v>119.81</v>
      </c>
      <c r="G95" s="16">
        <v>118.53</v>
      </c>
      <c r="H95" s="16">
        <v>119.22</v>
      </c>
      <c r="I95" s="17">
        <v>3787767</v>
      </c>
      <c r="J95" s="16">
        <v>26228400000</v>
      </c>
    </row>
    <row r="96" spans="1:10" x14ac:dyDescent="0.25">
      <c r="A96" s="8">
        <v>45685</v>
      </c>
      <c r="B96" s="9" t="s">
        <v>76</v>
      </c>
      <c r="C96" s="9" t="s">
        <v>77</v>
      </c>
      <c r="D96" s="9" t="s">
        <v>75</v>
      </c>
      <c r="E96" s="10">
        <v>133.41999999999999</v>
      </c>
      <c r="F96" s="10">
        <v>134.19</v>
      </c>
      <c r="G96" s="10">
        <v>132.01</v>
      </c>
      <c r="H96" s="10">
        <v>134.07</v>
      </c>
      <c r="I96" s="11">
        <v>463845</v>
      </c>
      <c r="J96" s="10">
        <v>26814000000</v>
      </c>
    </row>
    <row r="97" spans="1:10" x14ac:dyDescent="0.25">
      <c r="A97" s="14">
        <v>45686</v>
      </c>
      <c r="B97" s="15" t="s">
        <v>60</v>
      </c>
      <c r="C97" s="15" t="s">
        <v>61</v>
      </c>
      <c r="D97" s="15" t="s">
        <v>62</v>
      </c>
      <c r="E97" s="16">
        <v>3033.32</v>
      </c>
      <c r="F97" s="16">
        <v>3059.01</v>
      </c>
      <c r="G97" s="16">
        <v>3000.94</v>
      </c>
      <c r="H97" s="16">
        <v>3023.03</v>
      </c>
      <c r="I97" s="17">
        <v>349459</v>
      </c>
      <c r="J97" s="16">
        <v>4232242000000</v>
      </c>
    </row>
    <row r="98" spans="1:10" x14ac:dyDescent="0.25">
      <c r="A98" s="8">
        <v>45686</v>
      </c>
      <c r="B98" s="9" t="s">
        <v>65</v>
      </c>
      <c r="C98" s="9" t="s">
        <v>66</v>
      </c>
      <c r="D98" s="9" t="s">
        <v>67</v>
      </c>
      <c r="E98" s="10">
        <v>168.05</v>
      </c>
      <c r="F98" s="10">
        <v>168.45</v>
      </c>
      <c r="G98" s="10">
        <v>165.87</v>
      </c>
      <c r="H98" s="10">
        <v>168.03</v>
      </c>
      <c r="I98" s="11">
        <v>4814921</v>
      </c>
      <c r="J98" s="10">
        <v>42007500000</v>
      </c>
    </row>
    <row r="99" spans="1:10" x14ac:dyDescent="0.25">
      <c r="A99" s="14">
        <v>45686</v>
      </c>
      <c r="B99" s="15" t="s">
        <v>69</v>
      </c>
      <c r="C99" s="15" t="s">
        <v>70</v>
      </c>
      <c r="D99" s="15" t="s">
        <v>71</v>
      </c>
      <c r="E99" s="16">
        <v>652.66</v>
      </c>
      <c r="F99" s="16">
        <v>652.76</v>
      </c>
      <c r="G99" s="16">
        <v>646.1</v>
      </c>
      <c r="H99" s="16">
        <v>650.12</v>
      </c>
      <c r="I99" s="17">
        <v>2150012</v>
      </c>
      <c r="J99" s="16">
        <v>520096000000</v>
      </c>
    </row>
    <row r="100" spans="1:10" x14ac:dyDescent="0.25">
      <c r="A100" s="8">
        <v>45686</v>
      </c>
      <c r="B100" s="9" t="s">
        <v>73</v>
      </c>
      <c r="C100" s="9" t="s">
        <v>74</v>
      </c>
      <c r="D100" s="9" t="s">
        <v>75</v>
      </c>
      <c r="E100" s="10">
        <v>117.82</v>
      </c>
      <c r="F100" s="10">
        <v>117.88</v>
      </c>
      <c r="G100" s="10">
        <v>116.89</v>
      </c>
      <c r="H100" s="10">
        <v>117.55</v>
      </c>
      <c r="I100" s="11">
        <v>3691654</v>
      </c>
      <c r="J100" s="10">
        <v>25861000000</v>
      </c>
    </row>
    <row r="101" spans="1:10" x14ac:dyDescent="0.25">
      <c r="A101" s="14">
        <v>45686</v>
      </c>
      <c r="B101" s="15" t="s">
        <v>76</v>
      </c>
      <c r="C101" s="15" t="s">
        <v>77</v>
      </c>
      <c r="D101" s="15" t="s">
        <v>75</v>
      </c>
      <c r="E101" s="16">
        <v>134.28</v>
      </c>
      <c r="F101" s="16">
        <v>134.61000000000001</v>
      </c>
      <c r="G101" s="16">
        <v>132.25</v>
      </c>
      <c r="H101" s="16">
        <v>134.41999999999999</v>
      </c>
      <c r="I101" s="17">
        <v>4780553</v>
      </c>
      <c r="J101" s="16">
        <v>26884000000</v>
      </c>
    </row>
    <row r="102" spans="1:10" x14ac:dyDescent="0.25">
      <c r="A102" s="8">
        <v>45687</v>
      </c>
      <c r="B102" s="9" t="s">
        <v>60</v>
      </c>
      <c r="C102" s="9" t="s">
        <v>61</v>
      </c>
      <c r="D102" s="9" t="s">
        <v>62</v>
      </c>
      <c r="E102" s="10">
        <v>3068.37</v>
      </c>
      <c r="F102" s="10">
        <v>3072.51</v>
      </c>
      <c r="G102" s="10">
        <v>3063.08</v>
      </c>
      <c r="H102" s="10">
        <v>3069.14</v>
      </c>
      <c r="I102" s="11">
        <v>1438329</v>
      </c>
      <c r="J102" s="10">
        <v>4296796000000</v>
      </c>
    </row>
    <row r="103" spans="1:10" x14ac:dyDescent="0.25">
      <c r="A103" s="14">
        <v>45687</v>
      </c>
      <c r="B103" s="15" t="s">
        <v>65</v>
      </c>
      <c r="C103" s="15" t="s">
        <v>66</v>
      </c>
      <c r="D103" s="15" t="s">
        <v>67</v>
      </c>
      <c r="E103" s="16">
        <v>167.83</v>
      </c>
      <c r="F103" s="16">
        <v>168.4</v>
      </c>
      <c r="G103" s="16">
        <v>167.2</v>
      </c>
      <c r="H103" s="16">
        <v>167.51</v>
      </c>
      <c r="I103" s="17">
        <v>3046033</v>
      </c>
      <c r="J103" s="16">
        <v>41877500000</v>
      </c>
    </row>
    <row r="104" spans="1:10" x14ac:dyDescent="0.25">
      <c r="A104" s="8">
        <v>45687</v>
      </c>
      <c r="B104" s="9" t="s">
        <v>69</v>
      </c>
      <c r="C104" s="9" t="s">
        <v>70</v>
      </c>
      <c r="D104" s="9" t="s">
        <v>71</v>
      </c>
      <c r="E104" s="10">
        <v>652.32000000000005</v>
      </c>
      <c r="F104" s="10">
        <v>656.83</v>
      </c>
      <c r="G104" s="10">
        <v>651.96</v>
      </c>
      <c r="H104" s="10">
        <v>655.62</v>
      </c>
      <c r="I104" s="11">
        <v>3836342</v>
      </c>
      <c r="J104" s="10">
        <v>524496000000</v>
      </c>
    </row>
    <row r="105" spans="1:10" x14ac:dyDescent="0.25">
      <c r="A105" s="14">
        <v>45687</v>
      </c>
      <c r="B105" s="15" t="s">
        <v>73</v>
      </c>
      <c r="C105" s="15" t="s">
        <v>74</v>
      </c>
      <c r="D105" s="15" t="s">
        <v>75</v>
      </c>
      <c r="E105" s="16">
        <v>115.86</v>
      </c>
      <c r="F105" s="16">
        <v>115.87</v>
      </c>
      <c r="G105" s="16">
        <v>115.48</v>
      </c>
      <c r="H105" s="16">
        <v>115.49</v>
      </c>
      <c r="I105" s="17">
        <v>4824974</v>
      </c>
      <c r="J105" s="16">
        <v>25407800000</v>
      </c>
    </row>
    <row r="106" spans="1:10" x14ac:dyDescent="0.25">
      <c r="A106" s="8">
        <v>45687</v>
      </c>
      <c r="B106" s="9" t="s">
        <v>76</v>
      </c>
      <c r="C106" s="9" t="s">
        <v>77</v>
      </c>
      <c r="D106" s="9" t="s">
        <v>75</v>
      </c>
      <c r="E106" s="10">
        <v>139.15</v>
      </c>
      <c r="F106" s="10">
        <v>140.03</v>
      </c>
      <c r="G106" s="10">
        <v>139.08000000000001</v>
      </c>
      <c r="H106" s="10">
        <v>139.99</v>
      </c>
      <c r="I106" s="11">
        <v>637709</v>
      </c>
      <c r="J106" s="10">
        <v>27998000000</v>
      </c>
    </row>
    <row r="107" spans="1:10" x14ac:dyDescent="0.25">
      <c r="A107" s="14">
        <v>45688</v>
      </c>
      <c r="B107" s="15" t="s">
        <v>60</v>
      </c>
      <c r="C107" s="15" t="s">
        <v>61</v>
      </c>
      <c r="D107" s="15" t="s">
        <v>62</v>
      </c>
      <c r="E107" s="16">
        <v>3086.89</v>
      </c>
      <c r="F107" s="16">
        <v>3088.5</v>
      </c>
      <c r="G107" s="16">
        <v>3026.54</v>
      </c>
      <c r="H107" s="16">
        <v>3038.89</v>
      </c>
      <c r="I107" s="17">
        <v>470959</v>
      </c>
      <c r="J107" s="16">
        <v>4254446000000</v>
      </c>
    </row>
    <row r="108" spans="1:10" x14ac:dyDescent="0.25">
      <c r="A108" s="8">
        <v>45688</v>
      </c>
      <c r="B108" s="9" t="s">
        <v>65</v>
      </c>
      <c r="C108" s="9" t="s">
        <v>66</v>
      </c>
      <c r="D108" s="9" t="s">
        <v>67</v>
      </c>
      <c r="E108" s="10">
        <v>166.2</v>
      </c>
      <c r="F108" s="10">
        <v>166.88</v>
      </c>
      <c r="G108" s="10">
        <v>165.55</v>
      </c>
      <c r="H108" s="10">
        <v>166.81</v>
      </c>
      <c r="I108" s="11">
        <v>4200987</v>
      </c>
      <c r="J108" s="10">
        <v>41702500000</v>
      </c>
    </row>
    <row r="109" spans="1:10" x14ac:dyDescent="0.25">
      <c r="A109" s="14">
        <v>45688</v>
      </c>
      <c r="B109" s="15" t="s">
        <v>69</v>
      </c>
      <c r="C109" s="15" t="s">
        <v>70</v>
      </c>
      <c r="D109" s="15" t="s">
        <v>71</v>
      </c>
      <c r="E109" s="16">
        <v>656.55</v>
      </c>
      <c r="F109" s="16">
        <v>659.35</v>
      </c>
      <c r="G109" s="16">
        <v>648.03</v>
      </c>
      <c r="H109" s="16">
        <v>649.92999999999995</v>
      </c>
      <c r="I109" s="17">
        <v>1260771</v>
      </c>
      <c r="J109" s="16">
        <v>519944000000</v>
      </c>
    </row>
    <row r="110" spans="1:10" x14ac:dyDescent="0.25">
      <c r="A110" s="8">
        <v>45688</v>
      </c>
      <c r="B110" s="9" t="s">
        <v>73</v>
      </c>
      <c r="C110" s="9" t="s">
        <v>74</v>
      </c>
      <c r="D110" s="9" t="s">
        <v>75</v>
      </c>
      <c r="E110" s="10">
        <v>115.69</v>
      </c>
      <c r="F110" s="10">
        <v>116.24</v>
      </c>
      <c r="G110" s="10">
        <v>115.23</v>
      </c>
      <c r="H110" s="10">
        <v>116.17</v>
      </c>
      <c r="I110" s="11">
        <v>3448302</v>
      </c>
      <c r="J110" s="10">
        <v>25557400000</v>
      </c>
    </row>
    <row r="111" spans="1:10" x14ac:dyDescent="0.25">
      <c r="A111" s="14">
        <v>45688</v>
      </c>
      <c r="B111" s="15" t="s">
        <v>76</v>
      </c>
      <c r="C111" s="15" t="s">
        <v>77</v>
      </c>
      <c r="D111" s="15" t="s">
        <v>75</v>
      </c>
      <c r="E111" s="16">
        <v>142.58000000000001</v>
      </c>
      <c r="F111" s="16">
        <v>144.02000000000001</v>
      </c>
      <c r="G111" s="16">
        <v>141.49</v>
      </c>
      <c r="H111" s="16">
        <v>141.68</v>
      </c>
      <c r="I111" s="17">
        <v>2337168</v>
      </c>
      <c r="J111" s="16">
        <v>28336000000</v>
      </c>
    </row>
    <row r="112" spans="1:10" x14ac:dyDescent="0.25">
      <c r="A112" s="8">
        <v>45691</v>
      </c>
      <c r="B112" s="9" t="s">
        <v>60</v>
      </c>
      <c r="C112" s="9" t="s">
        <v>61</v>
      </c>
      <c r="D112" s="9" t="s">
        <v>62</v>
      </c>
      <c r="E112" s="10">
        <v>3102.4</v>
      </c>
      <c r="F112" s="10">
        <v>3127.91</v>
      </c>
      <c r="G112" s="10">
        <v>3082.59</v>
      </c>
      <c r="H112" s="10">
        <v>3088.08</v>
      </c>
      <c r="I112" s="11">
        <v>644512</v>
      </c>
      <c r="J112" s="10">
        <v>4323312000000</v>
      </c>
    </row>
    <row r="113" spans="1:10" x14ac:dyDescent="0.25">
      <c r="A113" s="14">
        <v>45691</v>
      </c>
      <c r="B113" s="15" t="s">
        <v>65</v>
      </c>
      <c r="C113" s="15" t="s">
        <v>66</v>
      </c>
      <c r="D113" s="15" t="s">
        <v>67</v>
      </c>
      <c r="E113" s="16">
        <v>164.11</v>
      </c>
      <c r="F113" s="16">
        <v>164.91</v>
      </c>
      <c r="G113" s="16">
        <v>162.97</v>
      </c>
      <c r="H113" s="16">
        <v>163.69</v>
      </c>
      <c r="I113" s="17">
        <v>4544306</v>
      </c>
      <c r="J113" s="16">
        <v>40922500000</v>
      </c>
    </row>
    <row r="114" spans="1:10" x14ac:dyDescent="0.25">
      <c r="A114" s="8">
        <v>45691</v>
      </c>
      <c r="B114" s="9" t="s">
        <v>69</v>
      </c>
      <c r="C114" s="9" t="s">
        <v>70</v>
      </c>
      <c r="D114" s="9" t="s">
        <v>71</v>
      </c>
      <c r="E114" s="10">
        <v>649.13</v>
      </c>
      <c r="F114" s="10">
        <v>649.79</v>
      </c>
      <c r="G114" s="10">
        <v>643.85</v>
      </c>
      <c r="H114" s="10">
        <v>646.42999999999995</v>
      </c>
      <c r="I114" s="11">
        <v>3338253</v>
      </c>
      <c r="J114" s="10">
        <v>517144000000</v>
      </c>
    </row>
    <row r="115" spans="1:10" x14ac:dyDescent="0.25">
      <c r="A115" s="14">
        <v>45691</v>
      </c>
      <c r="B115" s="15" t="s">
        <v>73</v>
      </c>
      <c r="C115" s="15" t="s">
        <v>74</v>
      </c>
      <c r="D115" s="15" t="s">
        <v>75</v>
      </c>
      <c r="E115" s="16">
        <v>117.17</v>
      </c>
      <c r="F115" s="16">
        <v>118.33</v>
      </c>
      <c r="G115" s="16">
        <v>115.84</v>
      </c>
      <c r="H115" s="16">
        <v>117.6</v>
      </c>
      <c r="I115" s="17">
        <v>3953130</v>
      </c>
      <c r="J115" s="16">
        <v>25872000000</v>
      </c>
    </row>
    <row r="116" spans="1:10" x14ac:dyDescent="0.25">
      <c r="A116" s="8">
        <v>45691</v>
      </c>
      <c r="B116" s="9" t="s">
        <v>76</v>
      </c>
      <c r="C116" s="9" t="s">
        <v>77</v>
      </c>
      <c r="D116" s="9" t="s">
        <v>75</v>
      </c>
      <c r="E116" s="10">
        <v>142.86000000000001</v>
      </c>
      <c r="F116" s="10">
        <v>144.1</v>
      </c>
      <c r="G116" s="10">
        <v>141.93</v>
      </c>
      <c r="H116" s="10">
        <v>143.93</v>
      </c>
      <c r="I116" s="11">
        <v>4355871</v>
      </c>
      <c r="J116" s="10">
        <v>28786000000</v>
      </c>
    </row>
    <row r="117" spans="1:10" x14ac:dyDescent="0.25">
      <c r="A117" s="14">
        <v>45692</v>
      </c>
      <c r="B117" s="15" t="s">
        <v>60</v>
      </c>
      <c r="C117" s="15" t="s">
        <v>61</v>
      </c>
      <c r="D117" s="15" t="s">
        <v>62</v>
      </c>
      <c r="E117" s="16">
        <v>3036.75</v>
      </c>
      <c r="F117" s="16">
        <v>3081.06</v>
      </c>
      <c r="G117" s="16">
        <v>3026.81</v>
      </c>
      <c r="H117" s="16">
        <v>3058.95</v>
      </c>
      <c r="I117" s="17">
        <v>3003686</v>
      </c>
      <c r="J117" s="16">
        <v>4282530000000</v>
      </c>
    </row>
    <row r="118" spans="1:10" x14ac:dyDescent="0.25">
      <c r="A118" s="8">
        <v>45692</v>
      </c>
      <c r="B118" s="9" t="s">
        <v>65</v>
      </c>
      <c r="C118" s="9" t="s">
        <v>66</v>
      </c>
      <c r="D118" s="9" t="s">
        <v>67</v>
      </c>
      <c r="E118" s="10">
        <v>166.48</v>
      </c>
      <c r="F118" s="10">
        <v>168.49</v>
      </c>
      <c r="G118" s="10">
        <v>164.13</v>
      </c>
      <c r="H118" s="10">
        <v>165.19</v>
      </c>
      <c r="I118" s="11">
        <v>4198257</v>
      </c>
      <c r="J118" s="10">
        <v>41297500000</v>
      </c>
    </row>
    <row r="119" spans="1:10" x14ac:dyDescent="0.25">
      <c r="A119" s="14">
        <v>45692</v>
      </c>
      <c r="B119" s="15" t="s">
        <v>69</v>
      </c>
      <c r="C119" s="15" t="s">
        <v>70</v>
      </c>
      <c r="D119" s="15" t="s">
        <v>71</v>
      </c>
      <c r="E119" s="16">
        <v>656.94</v>
      </c>
      <c r="F119" s="16">
        <v>664.01</v>
      </c>
      <c r="G119" s="16">
        <v>653.62</v>
      </c>
      <c r="H119" s="16">
        <v>657.12</v>
      </c>
      <c r="I119" s="17">
        <v>4446543</v>
      </c>
      <c r="J119" s="16">
        <v>525696000000</v>
      </c>
    </row>
    <row r="120" spans="1:10" x14ac:dyDescent="0.25">
      <c r="A120" s="8">
        <v>45692</v>
      </c>
      <c r="B120" s="9" t="s">
        <v>73</v>
      </c>
      <c r="C120" s="9" t="s">
        <v>74</v>
      </c>
      <c r="D120" s="9" t="s">
        <v>75</v>
      </c>
      <c r="E120" s="10">
        <v>118.29</v>
      </c>
      <c r="F120" s="10">
        <v>118.77</v>
      </c>
      <c r="G120" s="10">
        <v>117.89</v>
      </c>
      <c r="H120" s="10">
        <v>118.19</v>
      </c>
      <c r="I120" s="11">
        <v>2617508</v>
      </c>
      <c r="J120" s="10">
        <v>26001800000</v>
      </c>
    </row>
    <row r="121" spans="1:10" x14ac:dyDescent="0.25">
      <c r="A121" s="14">
        <v>45692</v>
      </c>
      <c r="B121" s="15" t="s">
        <v>76</v>
      </c>
      <c r="C121" s="15" t="s">
        <v>77</v>
      </c>
      <c r="D121" s="15" t="s">
        <v>75</v>
      </c>
      <c r="E121" s="16">
        <v>147.71</v>
      </c>
      <c r="F121" s="16">
        <v>149.05000000000001</v>
      </c>
      <c r="G121" s="16">
        <v>147.22</v>
      </c>
      <c r="H121" s="16">
        <v>147.57</v>
      </c>
      <c r="I121" s="17">
        <v>2324641</v>
      </c>
      <c r="J121" s="16">
        <v>29514000000</v>
      </c>
    </row>
    <row r="122" spans="1:10" x14ac:dyDescent="0.25">
      <c r="A122" s="8">
        <v>45693</v>
      </c>
      <c r="B122" s="9" t="s">
        <v>60</v>
      </c>
      <c r="C122" s="9" t="s">
        <v>61</v>
      </c>
      <c r="D122" s="9" t="s">
        <v>62</v>
      </c>
      <c r="E122" s="10">
        <v>3049.63</v>
      </c>
      <c r="F122" s="10">
        <v>3077.39</v>
      </c>
      <c r="G122" s="10">
        <v>3047.71</v>
      </c>
      <c r="H122" s="10">
        <v>3066.88</v>
      </c>
      <c r="I122" s="11">
        <v>4417307</v>
      </c>
      <c r="J122" s="10">
        <v>4293632000000</v>
      </c>
    </row>
    <row r="123" spans="1:10" x14ac:dyDescent="0.25">
      <c r="A123" s="14">
        <v>45693</v>
      </c>
      <c r="B123" s="15" t="s">
        <v>65</v>
      </c>
      <c r="C123" s="15" t="s">
        <v>66</v>
      </c>
      <c r="D123" s="15" t="s">
        <v>67</v>
      </c>
      <c r="E123" s="16">
        <v>161.43</v>
      </c>
      <c r="F123" s="16">
        <v>161.66</v>
      </c>
      <c r="G123" s="16">
        <v>161.35</v>
      </c>
      <c r="H123" s="16">
        <v>161.44</v>
      </c>
      <c r="I123" s="17">
        <v>3692362</v>
      </c>
      <c r="J123" s="16">
        <v>40360000000</v>
      </c>
    </row>
    <row r="124" spans="1:10" x14ac:dyDescent="0.25">
      <c r="A124" s="8">
        <v>45693</v>
      </c>
      <c r="B124" s="9" t="s">
        <v>69</v>
      </c>
      <c r="C124" s="9" t="s">
        <v>70</v>
      </c>
      <c r="D124" s="9" t="s">
        <v>71</v>
      </c>
      <c r="E124" s="10">
        <v>654.24</v>
      </c>
      <c r="F124" s="10">
        <v>658.42</v>
      </c>
      <c r="G124" s="10">
        <v>649.07000000000005</v>
      </c>
      <c r="H124" s="10">
        <v>654.03</v>
      </c>
      <c r="I124" s="11">
        <v>3869384</v>
      </c>
      <c r="J124" s="10">
        <v>523224000000</v>
      </c>
    </row>
    <row r="125" spans="1:10" x14ac:dyDescent="0.25">
      <c r="A125" s="14">
        <v>45693</v>
      </c>
      <c r="B125" s="15" t="s">
        <v>73</v>
      </c>
      <c r="C125" s="15" t="s">
        <v>74</v>
      </c>
      <c r="D125" s="15" t="s">
        <v>75</v>
      </c>
      <c r="E125" s="16">
        <v>117.23</v>
      </c>
      <c r="F125" s="16">
        <v>118.42</v>
      </c>
      <c r="G125" s="16">
        <v>117.2</v>
      </c>
      <c r="H125" s="16">
        <v>117.63</v>
      </c>
      <c r="I125" s="17">
        <v>4106291</v>
      </c>
      <c r="J125" s="16">
        <v>25878600000</v>
      </c>
    </row>
    <row r="126" spans="1:10" x14ac:dyDescent="0.25">
      <c r="A126" s="8">
        <v>45693</v>
      </c>
      <c r="B126" s="9" t="s">
        <v>76</v>
      </c>
      <c r="C126" s="9" t="s">
        <v>77</v>
      </c>
      <c r="D126" s="9" t="s">
        <v>75</v>
      </c>
      <c r="E126" s="10">
        <v>147.38</v>
      </c>
      <c r="F126" s="10">
        <v>148.27000000000001</v>
      </c>
      <c r="G126" s="10">
        <v>146.82</v>
      </c>
      <c r="H126" s="10">
        <v>146.99</v>
      </c>
      <c r="I126" s="11">
        <v>4795152</v>
      </c>
      <c r="J126" s="10">
        <v>29398000000</v>
      </c>
    </row>
    <row r="127" spans="1:10" x14ac:dyDescent="0.25">
      <c r="A127" s="14">
        <v>45694</v>
      </c>
      <c r="B127" s="15" t="s">
        <v>60</v>
      </c>
      <c r="C127" s="15" t="s">
        <v>61</v>
      </c>
      <c r="D127" s="15" t="s">
        <v>62</v>
      </c>
      <c r="E127" s="16">
        <v>3088.18</v>
      </c>
      <c r="F127" s="16">
        <v>3124.21</v>
      </c>
      <c r="G127" s="16">
        <v>3076.69</v>
      </c>
      <c r="H127" s="16">
        <v>3085.79</v>
      </c>
      <c r="I127" s="17">
        <v>4361752</v>
      </c>
      <c r="J127" s="16">
        <v>4320106000000</v>
      </c>
    </row>
    <row r="128" spans="1:10" x14ac:dyDescent="0.25">
      <c r="A128" s="8">
        <v>45694</v>
      </c>
      <c r="B128" s="9" t="s">
        <v>65</v>
      </c>
      <c r="C128" s="9" t="s">
        <v>66</v>
      </c>
      <c r="D128" s="9" t="s">
        <v>67</v>
      </c>
      <c r="E128" s="10">
        <v>160.94</v>
      </c>
      <c r="F128" s="10">
        <v>162.63</v>
      </c>
      <c r="G128" s="10">
        <v>160.83000000000001</v>
      </c>
      <c r="H128" s="10">
        <v>162.59</v>
      </c>
      <c r="I128" s="11">
        <v>1928376</v>
      </c>
      <c r="J128" s="10">
        <v>40647500000</v>
      </c>
    </row>
    <row r="129" spans="1:10" x14ac:dyDescent="0.25">
      <c r="A129" s="14">
        <v>45694</v>
      </c>
      <c r="B129" s="15" t="s">
        <v>69</v>
      </c>
      <c r="C129" s="15" t="s">
        <v>70</v>
      </c>
      <c r="D129" s="15" t="s">
        <v>71</v>
      </c>
      <c r="E129" s="16">
        <v>640.97</v>
      </c>
      <c r="F129" s="16">
        <v>642.36</v>
      </c>
      <c r="G129" s="16">
        <v>636.32000000000005</v>
      </c>
      <c r="H129" s="16">
        <v>638.15</v>
      </c>
      <c r="I129" s="17">
        <v>4780649</v>
      </c>
      <c r="J129" s="16">
        <v>510520000000</v>
      </c>
    </row>
    <row r="130" spans="1:10" x14ac:dyDescent="0.25">
      <c r="A130" s="8">
        <v>45694</v>
      </c>
      <c r="B130" s="9" t="s">
        <v>73</v>
      </c>
      <c r="C130" s="9" t="s">
        <v>74</v>
      </c>
      <c r="D130" s="9" t="s">
        <v>75</v>
      </c>
      <c r="E130" s="10">
        <v>118.03</v>
      </c>
      <c r="F130" s="10">
        <v>118.24</v>
      </c>
      <c r="G130" s="10">
        <v>117.29</v>
      </c>
      <c r="H130" s="10">
        <v>118.19</v>
      </c>
      <c r="I130" s="11">
        <v>4417788</v>
      </c>
      <c r="J130" s="10">
        <v>26001800000</v>
      </c>
    </row>
    <row r="131" spans="1:10" x14ac:dyDescent="0.25">
      <c r="A131" s="14">
        <v>45694</v>
      </c>
      <c r="B131" s="15" t="s">
        <v>76</v>
      </c>
      <c r="C131" s="15" t="s">
        <v>77</v>
      </c>
      <c r="D131" s="15" t="s">
        <v>75</v>
      </c>
      <c r="E131" s="16">
        <v>147.63999999999999</v>
      </c>
      <c r="F131" s="16">
        <v>147.79</v>
      </c>
      <c r="G131" s="16">
        <v>147.53</v>
      </c>
      <c r="H131" s="16">
        <v>147.6</v>
      </c>
      <c r="I131" s="17">
        <v>4315745</v>
      </c>
      <c r="J131" s="16">
        <v>29520000000</v>
      </c>
    </row>
    <row r="132" spans="1:10" x14ac:dyDescent="0.25">
      <c r="A132" s="8">
        <v>45695</v>
      </c>
      <c r="B132" s="9" t="s">
        <v>60</v>
      </c>
      <c r="C132" s="9" t="s">
        <v>61</v>
      </c>
      <c r="D132" s="9" t="s">
        <v>62</v>
      </c>
      <c r="E132" s="10">
        <v>3058.9</v>
      </c>
      <c r="F132" s="10">
        <v>3064.61</v>
      </c>
      <c r="G132" s="10">
        <v>3003.68</v>
      </c>
      <c r="H132" s="10">
        <v>3032.79</v>
      </c>
      <c r="I132" s="11">
        <v>848140</v>
      </c>
      <c r="J132" s="10">
        <v>4245906000000</v>
      </c>
    </row>
    <row r="133" spans="1:10" x14ac:dyDescent="0.25">
      <c r="A133" s="14">
        <v>45695</v>
      </c>
      <c r="B133" s="15" t="s">
        <v>65</v>
      </c>
      <c r="C133" s="15" t="s">
        <v>66</v>
      </c>
      <c r="D133" s="15" t="s">
        <v>67</v>
      </c>
      <c r="E133" s="16">
        <v>164.46</v>
      </c>
      <c r="F133" s="16">
        <v>164.88</v>
      </c>
      <c r="G133" s="16">
        <v>164.16</v>
      </c>
      <c r="H133" s="16">
        <v>164.61</v>
      </c>
      <c r="I133" s="17">
        <v>749705</v>
      </c>
      <c r="J133" s="16">
        <v>41152500000</v>
      </c>
    </row>
    <row r="134" spans="1:10" x14ac:dyDescent="0.25">
      <c r="A134" s="8">
        <v>45695</v>
      </c>
      <c r="B134" s="9" t="s">
        <v>69</v>
      </c>
      <c r="C134" s="9" t="s">
        <v>70</v>
      </c>
      <c r="D134" s="9" t="s">
        <v>71</v>
      </c>
      <c r="E134" s="10">
        <v>648.4</v>
      </c>
      <c r="F134" s="10">
        <v>656.12</v>
      </c>
      <c r="G134" s="10">
        <v>646.32000000000005</v>
      </c>
      <c r="H134" s="10">
        <v>648.75</v>
      </c>
      <c r="I134" s="11">
        <v>4981455</v>
      </c>
      <c r="J134" s="10">
        <v>519000000000</v>
      </c>
    </row>
    <row r="135" spans="1:10" x14ac:dyDescent="0.25">
      <c r="A135" s="14">
        <v>45695</v>
      </c>
      <c r="B135" s="15" t="s">
        <v>73</v>
      </c>
      <c r="C135" s="15" t="s">
        <v>74</v>
      </c>
      <c r="D135" s="15" t="s">
        <v>75</v>
      </c>
      <c r="E135" s="16">
        <v>117.98</v>
      </c>
      <c r="F135" s="16">
        <v>118.1</v>
      </c>
      <c r="G135" s="16">
        <v>116.7</v>
      </c>
      <c r="H135" s="16">
        <v>117.81</v>
      </c>
      <c r="I135" s="17">
        <v>2193200</v>
      </c>
      <c r="J135" s="16">
        <v>25918200000</v>
      </c>
    </row>
    <row r="136" spans="1:10" x14ac:dyDescent="0.25">
      <c r="A136" s="8">
        <v>45695</v>
      </c>
      <c r="B136" s="9" t="s">
        <v>76</v>
      </c>
      <c r="C136" s="9" t="s">
        <v>77</v>
      </c>
      <c r="D136" s="9" t="s">
        <v>75</v>
      </c>
      <c r="E136" s="10">
        <v>147.97999999999999</v>
      </c>
      <c r="F136" s="10">
        <v>149.12</v>
      </c>
      <c r="G136" s="10">
        <v>147.15</v>
      </c>
      <c r="H136" s="10">
        <v>148.31</v>
      </c>
      <c r="I136" s="11">
        <v>3897285</v>
      </c>
      <c r="J136" s="10">
        <v>29662000000</v>
      </c>
    </row>
    <row r="137" spans="1:10" x14ac:dyDescent="0.25">
      <c r="A137" s="14">
        <v>45698</v>
      </c>
      <c r="B137" s="15" t="s">
        <v>60</v>
      </c>
      <c r="C137" s="15" t="s">
        <v>61</v>
      </c>
      <c r="D137" s="15" t="s">
        <v>62</v>
      </c>
      <c r="E137" s="16">
        <v>3012.62</v>
      </c>
      <c r="F137" s="16">
        <v>3024.07</v>
      </c>
      <c r="G137" s="16">
        <v>2981.06</v>
      </c>
      <c r="H137" s="16">
        <v>3007.28</v>
      </c>
      <c r="I137" s="17">
        <v>1132431</v>
      </c>
      <c r="J137" s="16">
        <v>4210192000000</v>
      </c>
    </row>
    <row r="138" spans="1:10" x14ac:dyDescent="0.25">
      <c r="A138" s="8">
        <v>45698</v>
      </c>
      <c r="B138" s="9" t="s">
        <v>65</v>
      </c>
      <c r="C138" s="9" t="s">
        <v>66</v>
      </c>
      <c r="D138" s="9" t="s">
        <v>67</v>
      </c>
      <c r="E138" s="10">
        <v>166.24</v>
      </c>
      <c r="F138" s="10">
        <v>166.53</v>
      </c>
      <c r="G138" s="10">
        <v>165.77</v>
      </c>
      <c r="H138" s="10">
        <v>165.89</v>
      </c>
      <c r="I138" s="11">
        <v>1758053</v>
      </c>
      <c r="J138" s="10">
        <v>41472500000</v>
      </c>
    </row>
    <row r="139" spans="1:10" x14ac:dyDescent="0.25">
      <c r="A139" s="14">
        <v>45698</v>
      </c>
      <c r="B139" s="15" t="s">
        <v>69</v>
      </c>
      <c r="C139" s="15" t="s">
        <v>70</v>
      </c>
      <c r="D139" s="15" t="s">
        <v>71</v>
      </c>
      <c r="E139" s="16">
        <v>662.76</v>
      </c>
      <c r="F139" s="16">
        <v>665.69</v>
      </c>
      <c r="G139" s="16">
        <v>661.77</v>
      </c>
      <c r="H139" s="16">
        <v>663.37</v>
      </c>
      <c r="I139" s="17">
        <v>4241911</v>
      </c>
      <c r="J139" s="16">
        <v>530696000000</v>
      </c>
    </row>
    <row r="140" spans="1:10" x14ac:dyDescent="0.25">
      <c r="A140" s="8">
        <v>45698</v>
      </c>
      <c r="B140" s="9" t="s">
        <v>73</v>
      </c>
      <c r="C140" s="9" t="s">
        <v>74</v>
      </c>
      <c r="D140" s="9" t="s">
        <v>75</v>
      </c>
      <c r="E140" s="10">
        <v>117.5</v>
      </c>
      <c r="F140" s="10">
        <v>118.16</v>
      </c>
      <c r="G140" s="10">
        <v>117.11</v>
      </c>
      <c r="H140" s="10">
        <v>117.59</v>
      </c>
      <c r="I140" s="11">
        <v>2258100</v>
      </c>
      <c r="J140" s="10">
        <v>25869800000</v>
      </c>
    </row>
    <row r="141" spans="1:10" x14ac:dyDescent="0.25">
      <c r="A141" s="14">
        <v>45698</v>
      </c>
      <c r="B141" s="15" t="s">
        <v>76</v>
      </c>
      <c r="C141" s="15" t="s">
        <v>77</v>
      </c>
      <c r="D141" s="15" t="s">
        <v>75</v>
      </c>
      <c r="E141" s="16">
        <v>145</v>
      </c>
      <c r="F141" s="16">
        <v>146.81</v>
      </c>
      <c r="G141" s="16">
        <v>144.06</v>
      </c>
      <c r="H141" s="16">
        <v>145.78</v>
      </c>
      <c r="I141" s="17">
        <v>1959427</v>
      </c>
      <c r="J141" s="16">
        <v>29156000000</v>
      </c>
    </row>
    <row r="142" spans="1:10" x14ac:dyDescent="0.25">
      <c r="A142" s="8">
        <v>45699</v>
      </c>
      <c r="B142" s="9" t="s">
        <v>60</v>
      </c>
      <c r="C142" s="9" t="s">
        <v>61</v>
      </c>
      <c r="D142" s="9" t="s">
        <v>62</v>
      </c>
      <c r="E142" s="10">
        <v>2957.45</v>
      </c>
      <c r="F142" s="10">
        <v>2970.9</v>
      </c>
      <c r="G142" s="10">
        <v>2926.42</v>
      </c>
      <c r="H142" s="10">
        <v>2963.19</v>
      </c>
      <c r="I142" s="11">
        <v>899029</v>
      </c>
      <c r="J142" s="10">
        <v>4148466000000</v>
      </c>
    </row>
    <row r="143" spans="1:10" x14ac:dyDescent="0.25">
      <c r="A143" s="14">
        <v>45699</v>
      </c>
      <c r="B143" s="15" t="s">
        <v>65</v>
      </c>
      <c r="C143" s="15" t="s">
        <v>66</v>
      </c>
      <c r="D143" s="15" t="s">
        <v>67</v>
      </c>
      <c r="E143" s="16">
        <v>161.57</v>
      </c>
      <c r="F143" s="16">
        <v>163.69999999999999</v>
      </c>
      <c r="G143" s="16">
        <v>160.72999999999999</v>
      </c>
      <c r="H143" s="16">
        <v>162.5</v>
      </c>
      <c r="I143" s="17">
        <v>2721041</v>
      </c>
      <c r="J143" s="16">
        <v>40625000000</v>
      </c>
    </row>
    <row r="144" spans="1:10" x14ac:dyDescent="0.25">
      <c r="A144" s="8">
        <v>45699</v>
      </c>
      <c r="B144" s="9" t="s">
        <v>69</v>
      </c>
      <c r="C144" s="9" t="s">
        <v>70</v>
      </c>
      <c r="D144" s="9" t="s">
        <v>71</v>
      </c>
      <c r="E144" s="10">
        <v>653.12</v>
      </c>
      <c r="F144" s="10">
        <v>655.30999999999995</v>
      </c>
      <c r="G144" s="10">
        <v>651.35</v>
      </c>
      <c r="H144" s="10">
        <v>652.42999999999995</v>
      </c>
      <c r="I144" s="11">
        <v>4829693</v>
      </c>
      <c r="J144" s="10">
        <v>521944000000</v>
      </c>
    </row>
    <row r="145" spans="1:10" x14ac:dyDescent="0.25">
      <c r="A145" s="14">
        <v>45699</v>
      </c>
      <c r="B145" s="15" t="s">
        <v>73</v>
      </c>
      <c r="C145" s="15" t="s">
        <v>74</v>
      </c>
      <c r="D145" s="15" t="s">
        <v>75</v>
      </c>
      <c r="E145" s="16">
        <v>119.3</v>
      </c>
      <c r="F145" s="16">
        <v>119.69</v>
      </c>
      <c r="G145" s="16">
        <v>119.28</v>
      </c>
      <c r="H145" s="16">
        <v>119.3</v>
      </c>
      <c r="I145" s="17">
        <v>3924119</v>
      </c>
      <c r="J145" s="16">
        <v>26246000000</v>
      </c>
    </row>
    <row r="146" spans="1:10" x14ac:dyDescent="0.25">
      <c r="A146" s="8">
        <v>45699</v>
      </c>
      <c r="B146" s="9" t="s">
        <v>76</v>
      </c>
      <c r="C146" s="9" t="s">
        <v>77</v>
      </c>
      <c r="D146" s="9" t="s">
        <v>75</v>
      </c>
      <c r="E146" s="10">
        <v>145.52000000000001</v>
      </c>
      <c r="F146" s="10">
        <v>147.1</v>
      </c>
      <c r="G146" s="10">
        <v>144.69</v>
      </c>
      <c r="H146" s="10">
        <v>146.32</v>
      </c>
      <c r="I146" s="11">
        <v>474025</v>
      </c>
      <c r="J146" s="10">
        <v>29264000000</v>
      </c>
    </row>
    <row r="147" spans="1:10" x14ac:dyDescent="0.25">
      <c r="A147" s="14">
        <v>45700</v>
      </c>
      <c r="B147" s="15" t="s">
        <v>60</v>
      </c>
      <c r="C147" s="15" t="s">
        <v>61</v>
      </c>
      <c r="D147" s="15" t="s">
        <v>62</v>
      </c>
      <c r="E147" s="16">
        <v>2968.97</v>
      </c>
      <c r="F147" s="16">
        <v>3004.45</v>
      </c>
      <c r="G147" s="16">
        <v>2968.87</v>
      </c>
      <c r="H147" s="16">
        <v>2978.46</v>
      </c>
      <c r="I147" s="17">
        <v>637487</v>
      </c>
      <c r="J147" s="16">
        <v>4169844000000</v>
      </c>
    </row>
    <row r="148" spans="1:10" x14ac:dyDescent="0.25">
      <c r="A148" s="8">
        <v>45700</v>
      </c>
      <c r="B148" s="9" t="s">
        <v>65</v>
      </c>
      <c r="C148" s="9" t="s">
        <v>66</v>
      </c>
      <c r="D148" s="9" t="s">
        <v>67</v>
      </c>
      <c r="E148" s="10">
        <v>162.66</v>
      </c>
      <c r="F148" s="10">
        <v>163.46</v>
      </c>
      <c r="G148" s="10">
        <v>161.26</v>
      </c>
      <c r="H148" s="10">
        <v>161.87</v>
      </c>
      <c r="I148" s="11">
        <v>3956468</v>
      </c>
      <c r="J148" s="10">
        <v>40467500000</v>
      </c>
    </row>
    <row r="149" spans="1:10" x14ac:dyDescent="0.25">
      <c r="A149" s="14">
        <v>45700</v>
      </c>
      <c r="B149" s="15" t="s">
        <v>69</v>
      </c>
      <c r="C149" s="15" t="s">
        <v>70</v>
      </c>
      <c r="D149" s="15" t="s">
        <v>71</v>
      </c>
      <c r="E149" s="16">
        <v>651.29999999999995</v>
      </c>
      <c r="F149" s="16">
        <v>655.30999999999995</v>
      </c>
      <c r="G149" s="16">
        <v>646.76</v>
      </c>
      <c r="H149" s="16">
        <v>647.54</v>
      </c>
      <c r="I149" s="17">
        <v>3218908</v>
      </c>
      <c r="J149" s="16">
        <v>518032000000</v>
      </c>
    </row>
    <row r="150" spans="1:10" x14ac:dyDescent="0.25">
      <c r="A150" s="8">
        <v>45700</v>
      </c>
      <c r="B150" s="9" t="s">
        <v>73</v>
      </c>
      <c r="C150" s="9" t="s">
        <v>74</v>
      </c>
      <c r="D150" s="9" t="s">
        <v>75</v>
      </c>
      <c r="E150" s="10">
        <v>118</v>
      </c>
      <c r="F150" s="10">
        <v>118.45</v>
      </c>
      <c r="G150" s="10">
        <v>117.56</v>
      </c>
      <c r="H150" s="10">
        <v>117.93</v>
      </c>
      <c r="I150" s="11">
        <v>4456295</v>
      </c>
      <c r="J150" s="10">
        <v>25944600000</v>
      </c>
    </row>
    <row r="151" spans="1:10" x14ac:dyDescent="0.25">
      <c r="A151" s="14">
        <v>45700</v>
      </c>
      <c r="B151" s="15" t="s">
        <v>76</v>
      </c>
      <c r="C151" s="15" t="s">
        <v>77</v>
      </c>
      <c r="D151" s="15" t="s">
        <v>75</v>
      </c>
      <c r="E151" s="16">
        <v>147.13999999999999</v>
      </c>
      <c r="F151" s="16">
        <v>147.81</v>
      </c>
      <c r="G151" s="16">
        <v>144.38</v>
      </c>
      <c r="H151" s="16">
        <v>147.16999999999999</v>
      </c>
      <c r="I151" s="17">
        <v>4914544</v>
      </c>
      <c r="J151" s="16">
        <v>29434000000</v>
      </c>
    </row>
    <row r="152" spans="1:10" x14ac:dyDescent="0.25">
      <c r="A152" s="8">
        <v>45701</v>
      </c>
      <c r="B152" s="9" t="s">
        <v>60</v>
      </c>
      <c r="C152" s="9" t="s">
        <v>61</v>
      </c>
      <c r="D152" s="9" t="s">
        <v>62</v>
      </c>
      <c r="E152" s="10">
        <v>2997.73</v>
      </c>
      <c r="F152" s="10">
        <v>3000.08</v>
      </c>
      <c r="G152" s="10">
        <v>2997.55</v>
      </c>
      <c r="H152" s="10">
        <v>2999.5</v>
      </c>
      <c r="I152" s="11">
        <v>4616746</v>
      </c>
      <c r="J152" s="10">
        <v>4199300000000</v>
      </c>
    </row>
    <row r="153" spans="1:10" x14ac:dyDescent="0.25">
      <c r="A153" s="14">
        <v>45701</v>
      </c>
      <c r="B153" s="15" t="s">
        <v>65</v>
      </c>
      <c r="C153" s="15" t="s">
        <v>66</v>
      </c>
      <c r="D153" s="15" t="s">
        <v>67</v>
      </c>
      <c r="E153" s="16">
        <v>163.11000000000001</v>
      </c>
      <c r="F153" s="16">
        <v>163.13999999999999</v>
      </c>
      <c r="G153" s="16">
        <v>163.05000000000001</v>
      </c>
      <c r="H153" s="16">
        <v>163.13</v>
      </c>
      <c r="I153" s="17">
        <v>4175338</v>
      </c>
      <c r="J153" s="16">
        <v>40782500000</v>
      </c>
    </row>
    <row r="154" spans="1:10" x14ac:dyDescent="0.25">
      <c r="A154" s="8">
        <v>45701</v>
      </c>
      <c r="B154" s="9" t="s">
        <v>69</v>
      </c>
      <c r="C154" s="9" t="s">
        <v>70</v>
      </c>
      <c r="D154" s="9" t="s">
        <v>71</v>
      </c>
      <c r="E154" s="10">
        <v>642.32000000000005</v>
      </c>
      <c r="F154" s="10">
        <v>644.04</v>
      </c>
      <c r="G154" s="10">
        <v>636.74</v>
      </c>
      <c r="H154" s="10">
        <v>641.30999999999995</v>
      </c>
      <c r="I154" s="11">
        <v>732950</v>
      </c>
      <c r="J154" s="10">
        <v>513048000000</v>
      </c>
    </row>
    <row r="155" spans="1:10" x14ac:dyDescent="0.25">
      <c r="A155" s="14">
        <v>45701</v>
      </c>
      <c r="B155" s="15" t="s">
        <v>73</v>
      </c>
      <c r="C155" s="15" t="s">
        <v>74</v>
      </c>
      <c r="D155" s="15" t="s">
        <v>75</v>
      </c>
      <c r="E155" s="16">
        <v>120.22</v>
      </c>
      <c r="F155" s="16">
        <v>120.57</v>
      </c>
      <c r="G155" s="16">
        <v>119.06</v>
      </c>
      <c r="H155" s="16">
        <v>120.46</v>
      </c>
      <c r="I155" s="17">
        <v>3975184</v>
      </c>
      <c r="J155" s="16">
        <v>26501200000</v>
      </c>
    </row>
    <row r="156" spans="1:10" x14ac:dyDescent="0.25">
      <c r="A156" s="8">
        <v>45701</v>
      </c>
      <c r="B156" s="9" t="s">
        <v>76</v>
      </c>
      <c r="C156" s="9" t="s">
        <v>77</v>
      </c>
      <c r="D156" s="9" t="s">
        <v>75</v>
      </c>
      <c r="E156" s="10">
        <v>149.06</v>
      </c>
      <c r="F156" s="10">
        <v>149.99</v>
      </c>
      <c r="G156" s="10">
        <v>147.41</v>
      </c>
      <c r="H156" s="10">
        <v>149.47</v>
      </c>
      <c r="I156" s="11">
        <v>1628572</v>
      </c>
      <c r="J156" s="10">
        <v>29894000000</v>
      </c>
    </row>
    <row r="157" spans="1:10" x14ac:dyDescent="0.25">
      <c r="A157" s="14">
        <v>45702</v>
      </c>
      <c r="B157" s="15" t="s">
        <v>60</v>
      </c>
      <c r="C157" s="15" t="s">
        <v>61</v>
      </c>
      <c r="D157" s="15" t="s">
        <v>62</v>
      </c>
      <c r="E157" s="16">
        <v>3011.55</v>
      </c>
      <c r="F157" s="16">
        <v>3013.04</v>
      </c>
      <c r="G157" s="16">
        <v>3007.84</v>
      </c>
      <c r="H157" s="16">
        <v>3009.96</v>
      </c>
      <c r="I157" s="17">
        <v>2184925</v>
      </c>
      <c r="J157" s="16">
        <v>4213944000000</v>
      </c>
    </row>
    <row r="158" spans="1:10" x14ac:dyDescent="0.25">
      <c r="A158" s="8">
        <v>45702</v>
      </c>
      <c r="B158" s="9" t="s">
        <v>65</v>
      </c>
      <c r="C158" s="9" t="s">
        <v>66</v>
      </c>
      <c r="D158" s="9" t="s">
        <v>67</v>
      </c>
      <c r="E158" s="10">
        <v>168.56</v>
      </c>
      <c r="F158" s="10">
        <v>168.7</v>
      </c>
      <c r="G158" s="10">
        <v>167.91</v>
      </c>
      <c r="H158" s="10">
        <v>168.57</v>
      </c>
      <c r="I158" s="11">
        <v>4480676</v>
      </c>
      <c r="J158" s="10">
        <v>42142500000</v>
      </c>
    </row>
    <row r="159" spans="1:10" x14ac:dyDescent="0.25">
      <c r="A159" s="14">
        <v>45702</v>
      </c>
      <c r="B159" s="15" t="s">
        <v>69</v>
      </c>
      <c r="C159" s="15" t="s">
        <v>70</v>
      </c>
      <c r="D159" s="15" t="s">
        <v>71</v>
      </c>
      <c r="E159" s="16">
        <v>642.59</v>
      </c>
      <c r="F159" s="16">
        <v>646.48</v>
      </c>
      <c r="G159" s="16">
        <v>640.84</v>
      </c>
      <c r="H159" s="16">
        <v>644.82000000000005</v>
      </c>
      <c r="I159" s="17">
        <v>3785385</v>
      </c>
      <c r="J159" s="16">
        <v>515856000000</v>
      </c>
    </row>
    <row r="160" spans="1:10" x14ac:dyDescent="0.25">
      <c r="A160" s="8">
        <v>45702</v>
      </c>
      <c r="B160" s="9" t="s">
        <v>73</v>
      </c>
      <c r="C160" s="9" t="s">
        <v>74</v>
      </c>
      <c r="D160" s="9" t="s">
        <v>75</v>
      </c>
      <c r="E160" s="10">
        <v>123.05</v>
      </c>
      <c r="F160" s="10">
        <v>125.43</v>
      </c>
      <c r="G160" s="10">
        <v>123</v>
      </c>
      <c r="H160" s="10">
        <v>123.93</v>
      </c>
      <c r="I160" s="11">
        <v>4563433</v>
      </c>
      <c r="J160" s="10">
        <v>27264600000</v>
      </c>
    </row>
    <row r="161" spans="1:10" x14ac:dyDescent="0.25">
      <c r="A161" s="14">
        <v>45702</v>
      </c>
      <c r="B161" s="15" t="s">
        <v>76</v>
      </c>
      <c r="C161" s="15" t="s">
        <v>77</v>
      </c>
      <c r="D161" s="15" t="s">
        <v>75</v>
      </c>
      <c r="E161" s="16">
        <v>152.34</v>
      </c>
      <c r="F161" s="16">
        <v>152.36000000000001</v>
      </c>
      <c r="G161" s="16">
        <v>151.68</v>
      </c>
      <c r="H161" s="16">
        <v>151.72999999999999</v>
      </c>
      <c r="I161" s="17">
        <v>3780789</v>
      </c>
      <c r="J161" s="16">
        <v>30346000000</v>
      </c>
    </row>
    <row r="162" spans="1:10" x14ac:dyDescent="0.25">
      <c r="A162" s="8">
        <v>45705</v>
      </c>
      <c r="B162" s="9" t="s">
        <v>60</v>
      </c>
      <c r="C162" s="9" t="s">
        <v>61</v>
      </c>
      <c r="D162" s="9" t="s">
        <v>62</v>
      </c>
      <c r="E162" s="10">
        <v>2968.02</v>
      </c>
      <c r="F162" s="10">
        <v>3003.33</v>
      </c>
      <c r="G162" s="10">
        <v>2967.84</v>
      </c>
      <c r="H162" s="10">
        <v>2993.61</v>
      </c>
      <c r="I162" s="11">
        <v>4407400</v>
      </c>
      <c r="J162" s="10">
        <v>4191054000000</v>
      </c>
    </row>
    <row r="163" spans="1:10" x14ac:dyDescent="0.25">
      <c r="A163" s="14">
        <v>45705</v>
      </c>
      <c r="B163" s="15" t="s">
        <v>65</v>
      </c>
      <c r="C163" s="15" t="s">
        <v>66</v>
      </c>
      <c r="D163" s="15" t="s">
        <v>67</v>
      </c>
      <c r="E163" s="16">
        <v>168.78</v>
      </c>
      <c r="F163" s="16">
        <v>169.75</v>
      </c>
      <c r="G163" s="16">
        <v>167.68</v>
      </c>
      <c r="H163" s="16">
        <v>168.68</v>
      </c>
      <c r="I163" s="17">
        <v>3088708</v>
      </c>
      <c r="J163" s="16">
        <v>42170000000</v>
      </c>
    </row>
    <row r="164" spans="1:10" x14ac:dyDescent="0.25">
      <c r="A164" s="8">
        <v>45705</v>
      </c>
      <c r="B164" s="9" t="s">
        <v>69</v>
      </c>
      <c r="C164" s="9" t="s">
        <v>70</v>
      </c>
      <c r="D164" s="9" t="s">
        <v>71</v>
      </c>
      <c r="E164" s="10">
        <v>633.48</v>
      </c>
      <c r="F164" s="10">
        <v>635.51</v>
      </c>
      <c r="G164" s="10">
        <v>629.19000000000005</v>
      </c>
      <c r="H164" s="10">
        <v>630.38</v>
      </c>
      <c r="I164" s="11">
        <v>2303246</v>
      </c>
      <c r="J164" s="10">
        <v>504304000000</v>
      </c>
    </row>
    <row r="165" spans="1:10" x14ac:dyDescent="0.25">
      <c r="A165" s="14">
        <v>45705</v>
      </c>
      <c r="B165" s="15" t="s">
        <v>73</v>
      </c>
      <c r="C165" s="15" t="s">
        <v>74</v>
      </c>
      <c r="D165" s="15" t="s">
        <v>75</v>
      </c>
      <c r="E165" s="16">
        <v>124.41</v>
      </c>
      <c r="F165" s="16">
        <v>125.06</v>
      </c>
      <c r="G165" s="16">
        <v>124.09</v>
      </c>
      <c r="H165" s="16">
        <v>124.84</v>
      </c>
      <c r="I165" s="17">
        <v>666140</v>
      </c>
      <c r="J165" s="16">
        <v>27464800000</v>
      </c>
    </row>
    <row r="166" spans="1:10" x14ac:dyDescent="0.25">
      <c r="A166" s="8">
        <v>45705</v>
      </c>
      <c r="B166" s="9" t="s">
        <v>76</v>
      </c>
      <c r="C166" s="9" t="s">
        <v>77</v>
      </c>
      <c r="D166" s="9" t="s">
        <v>75</v>
      </c>
      <c r="E166" s="10">
        <v>150.69</v>
      </c>
      <c r="F166" s="10">
        <v>151.93</v>
      </c>
      <c r="G166" s="10">
        <v>149.68</v>
      </c>
      <c r="H166" s="10">
        <v>151.9</v>
      </c>
      <c r="I166" s="11">
        <v>1575951</v>
      </c>
      <c r="J166" s="10">
        <v>30380000000</v>
      </c>
    </row>
    <row r="167" spans="1:10" x14ac:dyDescent="0.25">
      <c r="A167" s="14">
        <v>45706</v>
      </c>
      <c r="B167" s="15" t="s">
        <v>60</v>
      </c>
      <c r="C167" s="15" t="s">
        <v>61</v>
      </c>
      <c r="D167" s="15" t="s">
        <v>62</v>
      </c>
      <c r="E167" s="16">
        <v>2971.44</v>
      </c>
      <c r="F167" s="16">
        <v>2977.97</v>
      </c>
      <c r="G167" s="16">
        <v>2971.25</v>
      </c>
      <c r="H167" s="16">
        <v>2974.63</v>
      </c>
      <c r="I167" s="17">
        <v>3084973</v>
      </c>
      <c r="J167" s="16">
        <v>4164482000000</v>
      </c>
    </row>
    <row r="168" spans="1:10" x14ac:dyDescent="0.25">
      <c r="A168" s="8">
        <v>45706</v>
      </c>
      <c r="B168" s="9" t="s">
        <v>65</v>
      </c>
      <c r="C168" s="9" t="s">
        <v>66</v>
      </c>
      <c r="D168" s="9" t="s">
        <v>67</v>
      </c>
      <c r="E168" s="10">
        <v>172.23</v>
      </c>
      <c r="F168" s="10">
        <v>174.28</v>
      </c>
      <c r="G168" s="10">
        <v>170.66</v>
      </c>
      <c r="H168" s="10">
        <v>172.31</v>
      </c>
      <c r="I168" s="11">
        <v>1509263</v>
      </c>
      <c r="J168" s="10">
        <v>43077500000</v>
      </c>
    </row>
    <row r="169" spans="1:10" x14ac:dyDescent="0.25">
      <c r="A169" s="14">
        <v>45706</v>
      </c>
      <c r="B169" s="15" t="s">
        <v>69</v>
      </c>
      <c r="C169" s="15" t="s">
        <v>70</v>
      </c>
      <c r="D169" s="15" t="s">
        <v>71</v>
      </c>
      <c r="E169" s="16">
        <v>634.74</v>
      </c>
      <c r="F169" s="16">
        <v>640.99</v>
      </c>
      <c r="G169" s="16">
        <v>630.77</v>
      </c>
      <c r="H169" s="16">
        <v>632.35</v>
      </c>
      <c r="I169" s="17">
        <v>4238372</v>
      </c>
      <c r="J169" s="16">
        <v>505880000000</v>
      </c>
    </row>
    <row r="170" spans="1:10" x14ac:dyDescent="0.25">
      <c r="A170" s="8">
        <v>45706</v>
      </c>
      <c r="B170" s="9" t="s">
        <v>73</v>
      </c>
      <c r="C170" s="9" t="s">
        <v>74</v>
      </c>
      <c r="D170" s="9" t="s">
        <v>75</v>
      </c>
      <c r="E170" s="10">
        <v>125.15</v>
      </c>
      <c r="F170" s="10">
        <v>125.92</v>
      </c>
      <c r="G170" s="10">
        <v>124.43</v>
      </c>
      <c r="H170" s="10">
        <v>124.55</v>
      </c>
      <c r="I170" s="11">
        <v>3056207</v>
      </c>
      <c r="J170" s="10">
        <v>27401000000</v>
      </c>
    </row>
    <row r="171" spans="1:10" x14ac:dyDescent="0.25">
      <c r="A171" s="14">
        <v>45706</v>
      </c>
      <c r="B171" s="15" t="s">
        <v>76</v>
      </c>
      <c r="C171" s="15" t="s">
        <v>77</v>
      </c>
      <c r="D171" s="15" t="s">
        <v>75</v>
      </c>
      <c r="E171" s="16">
        <v>150.33000000000001</v>
      </c>
      <c r="F171" s="16">
        <v>151.76</v>
      </c>
      <c r="G171" s="16">
        <v>148.41999999999999</v>
      </c>
      <c r="H171" s="16">
        <v>149.69</v>
      </c>
      <c r="I171" s="17">
        <v>2956346</v>
      </c>
      <c r="J171" s="16">
        <v>29938000000</v>
      </c>
    </row>
    <row r="172" spans="1:10" x14ac:dyDescent="0.25">
      <c r="A172" s="8">
        <v>45707</v>
      </c>
      <c r="B172" s="9" t="s">
        <v>60</v>
      </c>
      <c r="C172" s="9" t="s">
        <v>61</v>
      </c>
      <c r="D172" s="9" t="s">
        <v>62</v>
      </c>
      <c r="E172" s="10">
        <v>2910.03</v>
      </c>
      <c r="F172" s="10">
        <v>2944.82</v>
      </c>
      <c r="G172" s="10">
        <v>2881.06</v>
      </c>
      <c r="H172" s="10">
        <v>2920.43</v>
      </c>
      <c r="I172" s="11">
        <v>2269395</v>
      </c>
      <c r="J172" s="10">
        <v>4088602000000</v>
      </c>
    </row>
    <row r="173" spans="1:10" x14ac:dyDescent="0.25">
      <c r="A173" s="14">
        <v>45707</v>
      </c>
      <c r="B173" s="15" t="s">
        <v>65</v>
      </c>
      <c r="C173" s="15" t="s">
        <v>66</v>
      </c>
      <c r="D173" s="15" t="s">
        <v>67</v>
      </c>
      <c r="E173" s="16">
        <v>172.59</v>
      </c>
      <c r="F173" s="16">
        <v>174.7</v>
      </c>
      <c r="G173" s="16">
        <v>170.31</v>
      </c>
      <c r="H173" s="16">
        <v>174.69</v>
      </c>
      <c r="I173" s="17">
        <v>1058156</v>
      </c>
      <c r="J173" s="16">
        <v>43672500000</v>
      </c>
    </row>
    <row r="174" spans="1:10" x14ac:dyDescent="0.25">
      <c r="A174" s="8">
        <v>45707</v>
      </c>
      <c r="B174" s="9" t="s">
        <v>69</v>
      </c>
      <c r="C174" s="9" t="s">
        <v>70</v>
      </c>
      <c r="D174" s="9" t="s">
        <v>71</v>
      </c>
      <c r="E174" s="10">
        <v>628.52</v>
      </c>
      <c r="F174" s="10">
        <v>629.44000000000005</v>
      </c>
      <c r="G174" s="10">
        <v>621.71</v>
      </c>
      <c r="H174" s="10">
        <v>625.14</v>
      </c>
      <c r="I174" s="11">
        <v>2812103</v>
      </c>
      <c r="J174" s="10">
        <v>500112000000</v>
      </c>
    </row>
    <row r="175" spans="1:10" x14ac:dyDescent="0.25">
      <c r="A175" s="14">
        <v>45707</v>
      </c>
      <c r="B175" s="15" t="s">
        <v>73</v>
      </c>
      <c r="C175" s="15" t="s">
        <v>74</v>
      </c>
      <c r="D175" s="15" t="s">
        <v>75</v>
      </c>
      <c r="E175" s="16">
        <v>121.75</v>
      </c>
      <c r="F175" s="16">
        <v>122</v>
      </c>
      <c r="G175" s="16">
        <v>121.58</v>
      </c>
      <c r="H175" s="16">
        <v>121.91</v>
      </c>
      <c r="I175" s="17">
        <v>2760947</v>
      </c>
      <c r="J175" s="16">
        <v>26820200000</v>
      </c>
    </row>
    <row r="176" spans="1:10" x14ac:dyDescent="0.25">
      <c r="A176" s="8">
        <v>45707</v>
      </c>
      <c r="B176" s="9" t="s">
        <v>76</v>
      </c>
      <c r="C176" s="9" t="s">
        <v>77</v>
      </c>
      <c r="D176" s="9" t="s">
        <v>75</v>
      </c>
      <c r="E176" s="10">
        <v>148.22</v>
      </c>
      <c r="F176" s="10">
        <v>149.19999999999999</v>
      </c>
      <c r="G176" s="10">
        <v>148.18</v>
      </c>
      <c r="H176" s="10">
        <v>148.88</v>
      </c>
      <c r="I176" s="11">
        <v>1810426</v>
      </c>
      <c r="J176" s="10">
        <v>29776000000</v>
      </c>
    </row>
    <row r="177" spans="1:10" x14ac:dyDescent="0.25">
      <c r="A177" s="14">
        <v>45708</v>
      </c>
      <c r="B177" s="15" t="s">
        <v>60</v>
      </c>
      <c r="C177" s="15" t="s">
        <v>61</v>
      </c>
      <c r="D177" s="15" t="s">
        <v>62</v>
      </c>
      <c r="E177" s="16">
        <v>2966.13</v>
      </c>
      <c r="F177" s="16">
        <v>2970.77</v>
      </c>
      <c r="G177" s="16">
        <v>2957.7</v>
      </c>
      <c r="H177" s="16">
        <v>2969.08</v>
      </c>
      <c r="I177" s="17">
        <v>2320226</v>
      </c>
      <c r="J177" s="16">
        <v>4156712000000</v>
      </c>
    </row>
    <row r="178" spans="1:10" x14ac:dyDescent="0.25">
      <c r="A178" s="8">
        <v>45708</v>
      </c>
      <c r="B178" s="9" t="s">
        <v>65</v>
      </c>
      <c r="C178" s="9" t="s">
        <v>66</v>
      </c>
      <c r="D178" s="9" t="s">
        <v>67</v>
      </c>
      <c r="E178" s="10">
        <v>171.26</v>
      </c>
      <c r="F178" s="10">
        <v>171.29</v>
      </c>
      <c r="G178" s="10">
        <v>171.04</v>
      </c>
      <c r="H178" s="10">
        <v>171.15</v>
      </c>
      <c r="I178" s="11">
        <v>378831</v>
      </c>
      <c r="J178" s="10">
        <v>42787500000</v>
      </c>
    </row>
    <row r="179" spans="1:10" x14ac:dyDescent="0.25">
      <c r="A179" s="14">
        <v>45708</v>
      </c>
      <c r="B179" s="15" t="s">
        <v>69</v>
      </c>
      <c r="C179" s="15" t="s">
        <v>70</v>
      </c>
      <c r="D179" s="15" t="s">
        <v>71</v>
      </c>
      <c r="E179" s="16">
        <v>638.54999999999995</v>
      </c>
      <c r="F179" s="16">
        <v>643.15</v>
      </c>
      <c r="G179" s="16">
        <v>635.16</v>
      </c>
      <c r="H179" s="16">
        <v>637.46</v>
      </c>
      <c r="I179" s="17">
        <v>4885197</v>
      </c>
      <c r="J179" s="16">
        <v>509968000000</v>
      </c>
    </row>
    <row r="180" spans="1:10" x14ac:dyDescent="0.25">
      <c r="A180" s="8">
        <v>45708</v>
      </c>
      <c r="B180" s="9" t="s">
        <v>73</v>
      </c>
      <c r="C180" s="9" t="s">
        <v>74</v>
      </c>
      <c r="D180" s="9" t="s">
        <v>84</v>
      </c>
      <c r="E180" s="10">
        <v>123.01</v>
      </c>
      <c r="F180" s="10">
        <v>123.9</v>
      </c>
      <c r="G180" s="10">
        <v>122.27</v>
      </c>
      <c r="H180" s="10">
        <v>123.31</v>
      </c>
      <c r="I180" s="11">
        <v>3859361</v>
      </c>
      <c r="J180" s="10">
        <v>27128200000</v>
      </c>
    </row>
    <row r="181" spans="1:10" x14ac:dyDescent="0.25">
      <c r="A181" s="14">
        <v>45708</v>
      </c>
      <c r="B181" s="15" t="s">
        <v>76</v>
      </c>
      <c r="C181" s="15" t="s">
        <v>77</v>
      </c>
      <c r="D181" s="15" t="s">
        <v>75</v>
      </c>
      <c r="E181" s="16">
        <v>151.36000000000001</v>
      </c>
      <c r="F181" s="16">
        <v>152.35</v>
      </c>
      <c r="G181" s="16">
        <v>151.08000000000001</v>
      </c>
      <c r="H181" s="16">
        <v>152.35</v>
      </c>
      <c r="I181" s="17">
        <v>4353443</v>
      </c>
      <c r="J181" s="16">
        <v>30470000000</v>
      </c>
    </row>
    <row r="182" spans="1:10" x14ac:dyDescent="0.25">
      <c r="A182" s="8">
        <v>45709</v>
      </c>
      <c r="B182" s="9" t="s">
        <v>60</v>
      </c>
      <c r="C182" s="9" t="s">
        <v>61</v>
      </c>
      <c r="D182" s="9" t="s">
        <v>62</v>
      </c>
      <c r="E182" s="10">
        <v>3003.88</v>
      </c>
      <c r="F182" s="10">
        <v>3018.51</v>
      </c>
      <c r="G182" s="10">
        <v>2991.15</v>
      </c>
      <c r="H182" s="10">
        <v>3010.28</v>
      </c>
      <c r="I182" s="11">
        <v>484042</v>
      </c>
      <c r="J182" s="10">
        <v>4214392000000</v>
      </c>
    </row>
    <row r="183" spans="1:10" x14ac:dyDescent="0.25">
      <c r="A183" s="14">
        <v>45709</v>
      </c>
      <c r="B183" s="15" t="s">
        <v>65</v>
      </c>
      <c r="C183" s="15" t="s">
        <v>66</v>
      </c>
      <c r="D183" s="15" t="s">
        <v>67</v>
      </c>
      <c r="E183" s="16">
        <v>172.85</v>
      </c>
      <c r="F183" s="16">
        <v>174.86</v>
      </c>
      <c r="G183" s="16">
        <v>172.57</v>
      </c>
      <c r="H183" s="16">
        <v>173.2</v>
      </c>
      <c r="I183" s="17">
        <v>711412</v>
      </c>
      <c r="J183" s="16">
        <v>43300000000</v>
      </c>
    </row>
    <row r="184" spans="1:10" x14ac:dyDescent="0.25">
      <c r="A184" s="8">
        <v>45709</v>
      </c>
      <c r="B184" s="9" t="s">
        <v>69</v>
      </c>
      <c r="C184" s="9" t="s">
        <v>70</v>
      </c>
      <c r="D184" s="9" t="s">
        <v>71</v>
      </c>
      <c r="E184" s="10">
        <v>650.97</v>
      </c>
      <c r="F184" s="10">
        <v>655.56</v>
      </c>
      <c r="G184" s="10">
        <v>645.38</v>
      </c>
      <c r="H184" s="10">
        <v>653.28</v>
      </c>
      <c r="I184" s="11">
        <v>2230372</v>
      </c>
      <c r="J184" s="10">
        <v>522624000000</v>
      </c>
    </row>
    <row r="185" spans="1:10" x14ac:dyDescent="0.25">
      <c r="A185" s="14">
        <v>45709</v>
      </c>
      <c r="B185" s="15" t="s">
        <v>73</v>
      </c>
      <c r="C185" s="15" t="s">
        <v>74</v>
      </c>
      <c r="D185" s="15" t="s">
        <v>75</v>
      </c>
      <c r="E185" s="16">
        <v>119.87</v>
      </c>
      <c r="F185" s="16">
        <v>120.57</v>
      </c>
      <c r="G185" s="16">
        <v>119.31</v>
      </c>
      <c r="H185" s="16">
        <v>120.11</v>
      </c>
      <c r="I185" s="17">
        <v>2402409</v>
      </c>
      <c r="J185" s="16">
        <v>26424200000</v>
      </c>
    </row>
    <row r="186" spans="1:10" x14ac:dyDescent="0.25">
      <c r="A186" s="8">
        <v>45709</v>
      </c>
      <c r="B186" s="9" t="s">
        <v>76</v>
      </c>
      <c r="C186" s="9" t="s">
        <v>77</v>
      </c>
      <c r="D186" s="9" t="s">
        <v>75</v>
      </c>
      <c r="E186" s="10">
        <v>150.78</v>
      </c>
      <c r="F186" s="10">
        <v>152.51</v>
      </c>
      <c r="G186" s="10">
        <v>149.54</v>
      </c>
      <c r="H186" s="10">
        <v>151.41</v>
      </c>
      <c r="I186" s="11">
        <v>630700</v>
      </c>
      <c r="J186" s="10">
        <v>30282000000</v>
      </c>
    </row>
    <row r="187" spans="1:10" x14ac:dyDescent="0.25">
      <c r="A187" s="14">
        <v>45712</v>
      </c>
      <c r="B187" s="15" t="s">
        <v>60</v>
      </c>
      <c r="C187" s="15" t="s">
        <v>61</v>
      </c>
      <c r="D187" s="15" t="s">
        <v>62</v>
      </c>
      <c r="E187" s="16">
        <v>2938.34</v>
      </c>
      <c r="F187" s="16">
        <v>2947.51</v>
      </c>
      <c r="G187" s="16">
        <v>2914.71</v>
      </c>
      <c r="H187" s="16">
        <v>2933.72</v>
      </c>
      <c r="I187" s="17">
        <v>1402362</v>
      </c>
      <c r="J187" s="16">
        <v>4107208000000</v>
      </c>
    </row>
    <row r="188" spans="1:10" x14ac:dyDescent="0.25">
      <c r="A188" s="8">
        <v>45712</v>
      </c>
      <c r="B188" s="9" t="s">
        <v>65</v>
      </c>
      <c r="C188" s="9" t="s">
        <v>66</v>
      </c>
      <c r="D188" s="9" t="s">
        <v>67</v>
      </c>
      <c r="E188" s="10">
        <v>175.07</v>
      </c>
      <c r="F188" s="10">
        <v>175.7</v>
      </c>
      <c r="G188" s="10">
        <v>175.06</v>
      </c>
      <c r="H188" s="10">
        <v>175.14</v>
      </c>
      <c r="I188" s="11">
        <v>4824880</v>
      </c>
      <c r="J188" s="10">
        <v>43785000000</v>
      </c>
    </row>
    <row r="189" spans="1:10" x14ac:dyDescent="0.25">
      <c r="A189" s="14">
        <v>45712</v>
      </c>
      <c r="B189" s="15" t="s">
        <v>69</v>
      </c>
      <c r="C189" s="15" t="s">
        <v>70</v>
      </c>
      <c r="D189" s="15" t="s">
        <v>71</v>
      </c>
      <c r="E189" s="16">
        <v>647.32000000000005</v>
      </c>
      <c r="F189" s="16">
        <v>650.85</v>
      </c>
      <c r="G189" s="16">
        <v>643.86</v>
      </c>
      <c r="H189" s="16">
        <v>647.37</v>
      </c>
      <c r="I189" s="17">
        <v>2586125</v>
      </c>
      <c r="J189" s="16">
        <v>517896000000</v>
      </c>
    </row>
    <row r="190" spans="1:10" x14ac:dyDescent="0.25">
      <c r="A190" s="8">
        <v>45712</v>
      </c>
      <c r="B190" s="9" t="s">
        <v>73</v>
      </c>
      <c r="C190" s="9" t="s">
        <v>74</v>
      </c>
      <c r="D190" s="9" t="s">
        <v>75</v>
      </c>
      <c r="E190" s="10">
        <v>120.81</v>
      </c>
      <c r="F190" s="10">
        <v>121.46</v>
      </c>
      <c r="G190" s="10">
        <v>120.31</v>
      </c>
      <c r="H190" s="10">
        <v>121.24</v>
      </c>
      <c r="I190" s="11">
        <v>3141349</v>
      </c>
      <c r="J190" s="10">
        <v>26672800000</v>
      </c>
    </row>
    <row r="191" spans="1:10" x14ac:dyDescent="0.25">
      <c r="A191" s="14">
        <v>45712</v>
      </c>
      <c r="B191" s="15" t="s">
        <v>76</v>
      </c>
      <c r="C191" s="15" t="s">
        <v>77</v>
      </c>
      <c r="D191" s="15" t="s">
        <v>75</v>
      </c>
      <c r="E191" s="16">
        <v>149.12</v>
      </c>
      <c r="F191" s="16">
        <v>149.57</v>
      </c>
      <c r="G191" s="16">
        <v>147.86000000000001</v>
      </c>
      <c r="H191" s="16">
        <v>147.99</v>
      </c>
      <c r="I191" s="17">
        <v>2192593</v>
      </c>
      <c r="J191" s="16">
        <v>29598000000</v>
      </c>
    </row>
    <row r="192" spans="1:10" x14ac:dyDescent="0.25">
      <c r="A192" s="8">
        <v>45713</v>
      </c>
      <c r="B192" s="9" t="s">
        <v>60</v>
      </c>
      <c r="C192" s="9" t="s">
        <v>61</v>
      </c>
      <c r="D192" s="9" t="s">
        <v>62</v>
      </c>
      <c r="E192" s="10">
        <v>2979.38</v>
      </c>
      <c r="F192" s="10">
        <v>3008.84</v>
      </c>
      <c r="G192" s="10">
        <v>2917.54</v>
      </c>
      <c r="H192" s="10">
        <v>2991</v>
      </c>
      <c r="I192" s="11">
        <v>3368343</v>
      </c>
      <c r="J192" s="10">
        <v>4187400000000</v>
      </c>
    </row>
    <row r="193" spans="1:10" x14ac:dyDescent="0.25">
      <c r="A193" s="14">
        <v>45713</v>
      </c>
      <c r="B193" s="15" t="s">
        <v>65</v>
      </c>
      <c r="C193" s="15" t="s">
        <v>66</v>
      </c>
      <c r="D193" s="15" t="s">
        <v>67</v>
      </c>
      <c r="E193" s="16">
        <v>174.31</v>
      </c>
      <c r="F193" s="16">
        <v>175.49</v>
      </c>
      <c r="G193" s="16">
        <v>173.56</v>
      </c>
      <c r="H193" s="16">
        <v>174.07</v>
      </c>
      <c r="I193" s="17">
        <v>1336737</v>
      </c>
      <c r="J193" s="16">
        <v>43517500000</v>
      </c>
    </row>
    <row r="194" spans="1:10" x14ac:dyDescent="0.25">
      <c r="A194" s="8">
        <v>45713</v>
      </c>
      <c r="B194" s="9" t="s">
        <v>69</v>
      </c>
      <c r="C194" s="9" t="s">
        <v>70</v>
      </c>
      <c r="D194" s="9" t="s">
        <v>71</v>
      </c>
      <c r="E194" s="10">
        <v>633.57000000000005</v>
      </c>
      <c r="F194" s="10">
        <v>635.69000000000005</v>
      </c>
      <c r="G194" s="10">
        <v>630.41999999999996</v>
      </c>
      <c r="H194" s="10">
        <v>634.75</v>
      </c>
      <c r="I194" s="11">
        <v>3416146</v>
      </c>
      <c r="J194" s="10">
        <v>507800000000</v>
      </c>
    </row>
    <row r="195" spans="1:10" x14ac:dyDescent="0.25">
      <c r="A195" s="14">
        <v>45713</v>
      </c>
      <c r="B195" s="15" t="s">
        <v>73</v>
      </c>
      <c r="C195" s="15" t="s">
        <v>74</v>
      </c>
      <c r="D195" s="15" t="s">
        <v>75</v>
      </c>
      <c r="E195" s="16">
        <v>119.14</v>
      </c>
      <c r="F195" s="16">
        <v>119.68</v>
      </c>
      <c r="G195" s="16">
        <v>118.7</v>
      </c>
      <c r="H195" s="16">
        <v>118.72</v>
      </c>
      <c r="I195" s="17">
        <v>3051516</v>
      </c>
      <c r="J195" s="16">
        <v>26118400000</v>
      </c>
    </row>
    <row r="196" spans="1:10" x14ac:dyDescent="0.25">
      <c r="A196" s="8">
        <v>45713</v>
      </c>
      <c r="B196" s="9" t="s">
        <v>76</v>
      </c>
      <c r="C196" s="9" t="s">
        <v>77</v>
      </c>
      <c r="D196" s="9" t="s">
        <v>75</v>
      </c>
      <c r="E196" s="10">
        <v>149.37</v>
      </c>
      <c r="F196" s="10">
        <v>149.80000000000001</v>
      </c>
      <c r="G196" s="10">
        <v>147.32</v>
      </c>
      <c r="H196" s="10">
        <v>149.58000000000001</v>
      </c>
      <c r="I196" s="11">
        <v>2834954</v>
      </c>
      <c r="J196" s="10">
        <v>29916000000</v>
      </c>
    </row>
    <row r="197" spans="1:10" x14ac:dyDescent="0.25">
      <c r="A197" s="14">
        <v>45714</v>
      </c>
      <c r="B197" s="15" t="s">
        <v>60</v>
      </c>
      <c r="C197" s="15" t="s">
        <v>61</v>
      </c>
      <c r="D197" s="15" t="s">
        <v>62</v>
      </c>
      <c r="E197" s="16">
        <v>3023.94</v>
      </c>
      <c r="F197" s="16">
        <v>3031.07</v>
      </c>
      <c r="G197" s="16">
        <v>3014.23</v>
      </c>
      <c r="H197" s="16">
        <v>3014.99</v>
      </c>
      <c r="I197" s="17">
        <v>612157</v>
      </c>
      <c r="J197" s="16">
        <v>4220986000000</v>
      </c>
    </row>
    <row r="198" spans="1:10" x14ac:dyDescent="0.25">
      <c r="A198" s="8">
        <v>45714</v>
      </c>
      <c r="B198" s="9" t="s">
        <v>65</v>
      </c>
      <c r="C198" s="9" t="s">
        <v>66</v>
      </c>
      <c r="D198" s="9" t="s">
        <v>67</v>
      </c>
      <c r="E198" s="10">
        <v>173.09</v>
      </c>
      <c r="F198" s="10">
        <v>174.61</v>
      </c>
      <c r="G198" s="10">
        <v>170.72</v>
      </c>
      <c r="H198" s="10">
        <v>171.25</v>
      </c>
      <c r="I198" s="11">
        <v>4105439</v>
      </c>
      <c r="J198" s="10">
        <v>42812500000</v>
      </c>
    </row>
    <row r="199" spans="1:10" x14ac:dyDescent="0.25">
      <c r="A199" s="14">
        <v>45714</v>
      </c>
      <c r="B199" s="15" t="s">
        <v>69</v>
      </c>
      <c r="C199" s="15" t="s">
        <v>70</v>
      </c>
      <c r="D199" s="15" t="s">
        <v>71</v>
      </c>
      <c r="E199" s="16">
        <v>646.28</v>
      </c>
      <c r="F199" s="16">
        <v>654.98</v>
      </c>
      <c r="G199" s="16">
        <v>637.13</v>
      </c>
      <c r="H199" s="16">
        <v>649.55999999999995</v>
      </c>
      <c r="I199" s="17">
        <v>4831463</v>
      </c>
      <c r="J199" s="16">
        <v>519648000000</v>
      </c>
    </row>
    <row r="200" spans="1:10" x14ac:dyDescent="0.25">
      <c r="A200" s="8">
        <v>45714</v>
      </c>
      <c r="B200" s="9" t="s">
        <v>73</v>
      </c>
      <c r="C200" s="9" t="s">
        <v>74</v>
      </c>
      <c r="D200" s="9" t="s">
        <v>75</v>
      </c>
      <c r="E200" s="10">
        <v>116.18</v>
      </c>
      <c r="F200" s="10">
        <v>116.92</v>
      </c>
      <c r="G200" s="10">
        <v>115.64</v>
      </c>
      <c r="H200" s="10">
        <v>115.77</v>
      </c>
      <c r="I200" s="11">
        <v>4404940</v>
      </c>
      <c r="J200" s="10">
        <v>25469400000</v>
      </c>
    </row>
    <row r="201" spans="1:10" x14ac:dyDescent="0.25">
      <c r="A201" s="14">
        <v>45714</v>
      </c>
      <c r="B201" s="15" t="s">
        <v>76</v>
      </c>
      <c r="C201" s="15" t="s">
        <v>77</v>
      </c>
      <c r="D201" s="15" t="s">
        <v>75</v>
      </c>
      <c r="E201" s="16">
        <v>151.53</v>
      </c>
      <c r="F201" s="16">
        <v>153.66999999999999</v>
      </c>
      <c r="G201" s="16">
        <v>149.62</v>
      </c>
      <c r="H201" s="16">
        <v>150.75</v>
      </c>
      <c r="I201" s="17">
        <v>3408230</v>
      </c>
      <c r="J201" s="16">
        <v>30150000000</v>
      </c>
    </row>
    <row r="202" spans="1:10" x14ac:dyDescent="0.25">
      <c r="A202" s="8">
        <v>45715</v>
      </c>
      <c r="B202" s="9" t="s">
        <v>60</v>
      </c>
      <c r="C202" s="9" t="s">
        <v>61</v>
      </c>
      <c r="D202" s="9" t="s">
        <v>62</v>
      </c>
      <c r="E202" s="10">
        <v>3025.61</v>
      </c>
      <c r="F202" s="10">
        <v>3051.31</v>
      </c>
      <c r="G202" s="10">
        <v>3023.61</v>
      </c>
      <c r="H202" s="10">
        <v>3050.78</v>
      </c>
      <c r="I202" s="11">
        <v>3381428</v>
      </c>
      <c r="J202" s="10">
        <v>4271092000000</v>
      </c>
    </row>
    <row r="203" spans="1:10" x14ac:dyDescent="0.25">
      <c r="A203" s="14">
        <v>45715</v>
      </c>
      <c r="B203" s="15" t="s">
        <v>65</v>
      </c>
      <c r="C203" s="15" t="s">
        <v>66</v>
      </c>
      <c r="D203" s="15" t="s">
        <v>67</v>
      </c>
      <c r="E203" s="16">
        <v>173.71</v>
      </c>
      <c r="F203" s="16">
        <v>177.4</v>
      </c>
      <c r="G203" s="16">
        <v>172.65</v>
      </c>
      <c r="H203" s="16">
        <v>174.35</v>
      </c>
      <c r="I203" s="17">
        <v>3639837</v>
      </c>
      <c r="J203" s="16">
        <v>43587500000</v>
      </c>
    </row>
    <row r="204" spans="1:10" x14ac:dyDescent="0.25">
      <c r="A204" s="8">
        <v>45715</v>
      </c>
      <c r="B204" s="9" t="s">
        <v>69</v>
      </c>
      <c r="C204" s="9" t="s">
        <v>70</v>
      </c>
      <c r="D204" s="9" t="s">
        <v>71</v>
      </c>
      <c r="E204" s="10">
        <v>645.54999999999995</v>
      </c>
      <c r="F204" s="10">
        <v>658.93</v>
      </c>
      <c r="G204" s="10">
        <v>636.41</v>
      </c>
      <c r="H204" s="10">
        <v>638.47</v>
      </c>
      <c r="I204" s="11">
        <v>2079272</v>
      </c>
      <c r="J204" s="10">
        <v>510776000000</v>
      </c>
    </row>
    <row r="205" spans="1:10" x14ac:dyDescent="0.25">
      <c r="A205" s="14">
        <v>45715</v>
      </c>
      <c r="B205" s="15" t="s">
        <v>73</v>
      </c>
      <c r="C205" s="15" t="s">
        <v>74</v>
      </c>
      <c r="D205" s="15" t="s">
        <v>75</v>
      </c>
      <c r="E205" s="16">
        <v>114.77</v>
      </c>
      <c r="F205" s="16">
        <v>115.55</v>
      </c>
      <c r="G205" s="16">
        <v>113.81</v>
      </c>
      <c r="H205" s="16">
        <v>113.85</v>
      </c>
      <c r="I205" s="17">
        <v>3097677</v>
      </c>
      <c r="J205" s="16">
        <v>25047000000</v>
      </c>
    </row>
    <row r="206" spans="1:10" x14ac:dyDescent="0.25">
      <c r="A206" s="8">
        <v>45715</v>
      </c>
      <c r="B206" s="9" t="s">
        <v>76</v>
      </c>
      <c r="C206" s="9" t="s">
        <v>77</v>
      </c>
      <c r="D206" s="9" t="s">
        <v>75</v>
      </c>
      <c r="E206" s="10">
        <v>150.83000000000001</v>
      </c>
      <c r="F206" s="10">
        <v>151.46</v>
      </c>
      <c r="G206" s="10">
        <v>150.41</v>
      </c>
      <c r="H206" s="10">
        <v>151.21</v>
      </c>
      <c r="I206" s="11">
        <v>2037761</v>
      </c>
      <c r="J206" s="10">
        <v>30242000000</v>
      </c>
    </row>
    <row r="207" spans="1:10" x14ac:dyDescent="0.25">
      <c r="A207" s="14">
        <v>45716</v>
      </c>
      <c r="B207" s="15" t="s">
        <v>60</v>
      </c>
      <c r="C207" s="15" t="s">
        <v>61</v>
      </c>
      <c r="D207" s="15" t="s">
        <v>62</v>
      </c>
      <c r="E207" s="16">
        <v>3044.58</v>
      </c>
      <c r="F207" s="16">
        <v>3082.78</v>
      </c>
      <c r="G207" s="16">
        <v>3021.54</v>
      </c>
      <c r="H207" s="16">
        <v>3035.81</v>
      </c>
      <c r="I207" s="17">
        <v>1537774</v>
      </c>
      <c r="J207" s="16">
        <v>4250134000000</v>
      </c>
    </row>
    <row r="208" spans="1:10" x14ac:dyDescent="0.25">
      <c r="A208" s="8">
        <v>45716</v>
      </c>
      <c r="B208" s="9" t="s">
        <v>65</v>
      </c>
      <c r="C208" s="9" t="s">
        <v>66</v>
      </c>
      <c r="D208" s="9" t="s">
        <v>67</v>
      </c>
      <c r="E208" s="10">
        <v>175.23</v>
      </c>
      <c r="F208" s="10">
        <v>177.06</v>
      </c>
      <c r="G208" s="10">
        <v>174.54</v>
      </c>
      <c r="H208" s="10">
        <v>177.03</v>
      </c>
      <c r="I208" s="11">
        <v>4831655</v>
      </c>
      <c r="J208" s="10">
        <v>44257500000</v>
      </c>
    </row>
    <row r="209" spans="1:10" x14ac:dyDescent="0.25">
      <c r="A209" s="14">
        <v>45716</v>
      </c>
      <c r="B209" s="15" t="s">
        <v>69</v>
      </c>
      <c r="C209" s="15" t="s">
        <v>70</v>
      </c>
      <c r="D209" s="15" t="s">
        <v>71</v>
      </c>
      <c r="E209" s="16">
        <v>665.74</v>
      </c>
      <c r="F209" s="16">
        <v>665.75</v>
      </c>
      <c r="G209" s="16">
        <v>662.44</v>
      </c>
      <c r="H209" s="16">
        <v>664.63</v>
      </c>
      <c r="I209" s="17">
        <v>516259</v>
      </c>
      <c r="J209" s="16">
        <v>531704000000</v>
      </c>
    </row>
    <row r="210" spans="1:10" x14ac:dyDescent="0.25">
      <c r="A210" s="8">
        <v>45716</v>
      </c>
      <c r="B210" s="9" t="s">
        <v>73</v>
      </c>
      <c r="C210" s="9" t="s">
        <v>74</v>
      </c>
      <c r="D210" s="9" t="s">
        <v>75</v>
      </c>
      <c r="E210" s="10">
        <v>114.96</v>
      </c>
      <c r="F210" s="10">
        <v>115.6</v>
      </c>
      <c r="G210" s="10">
        <v>114.67</v>
      </c>
      <c r="H210" s="10">
        <v>114.68</v>
      </c>
      <c r="I210" s="11">
        <v>2526064</v>
      </c>
      <c r="J210" s="10">
        <v>25229600000</v>
      </c>
    </row>
    <row r="211" spans="1:10" x14ac:dyDescent="0.25">
      <c r="A211" s="14">
        <v>45716</v>
      </c>
      <c r="B211" s="15" t="s">
        <v>76</v>
      </c>
      <c r="C211" s="15" t="s">
        <v>77</v>
      </c>
      <c r="D211" s="15" t="s">
        <v>75</v>
      </c>
      <c r="E211" s="16">
        <v>148.30000000000001</v>
      </c>
      <c r="F211" s="16">
        <v>150.15</v>
      </c>
      <c r="G211" s="16">
        <v>147.66999999999999</v>
      </c>
      <c r="H211" s="16">
        <v>148.97</v>
      </c>
      <c r="I211" s="17">
        <v>833163</v>
      </c>
      <c r="J211" s="16">
        <v>29794000000</v>
      </c>
    </row>
    <row r="212" spans="1:10" x14ac:dyDescent="0.25">
      <c r="A212" s="8">
        <v>45719</v>
      </c>
      <c r="B212" s="9" t="s">
        <v>60</v>
      </c>
      <c r="C212" s="9" t="s">
        <v>61</v>
      </c>
      <c r="D212" s="9" t="s">
        <v>62</v>
      </c>
      <c r="E212" s="10">
        <v>2995.5</v>
      </c>
      <c r="F212" s="10">
        <v>3002.75</v>
      </c>
      <c r="G212" s="10">
        <v>2973.64</v>
      </c>
      <c r="H212" s="10">
        <v>2980.09</v>
      </c>
      <c r="I212" s="11">
        <v>663772</v>
      </c>
      <c r="J212" s="10">
        <v>4172126000000</v>
      </c>
    </row>
    <row r="213" spans="1:10" x14ac:dyDescent="0.25">
      <c r="A213" s="14">
        <v>45719</v>
      </c>
      <c r="B213" s="15" t="s">
        <v>65</v>
      </c>
      <c r="C213" s="15" t="s">
        <v>66</v>
      </c>
      <c r="D213" s="15" t="s">
        <v>67</v>
      </c>
      <c r="E213" s="16">
        <v>175.45</v>
      </c>
      <c r="F213" s="16">
        <v>175.89</v>
      </c>
      <c r="G213" s="16">
        <v>172.41</v>
      </c>
      <c r="H213" s="16">
        <v>174.7</v>
      </c>
      <c r="I213" s="17">
        <v>2830258</v>
      </c>
      <c r="J213" s="16">
        <v>43675000000</v>
      </c>
    </row>
    <row r="214" spans="1:10" x14ac:dyDescent="0.25">
      <c r="A214" s="8">
        <v>45719</v>
      </c>
      <c r="B214" s="9" t="s">
        <v>69</v>
      </c>
      <c r="C214" s="9" t="s">
        <v>70</v>
      </c>
      <c r="D214" s="9" t="s">
        <v>71</v>
      </c>
      <c r="E214" s="10">
        <v>639.94000000000005</v>
      </c>
      <c r="F214" s="10">
        <v>643.38</v>
      </c>
      <c r="G214" s="10">
        <v>634.52</v>
      </c>
      <c r="H214" s="10">
        <v>638.08000000000004</v>
      </c>
      <c r="I214" s="11">
        <v>1205649</v>
      </c>
      <c r="J214" s="10">
        <v>510464000000</v>
      </c>
    </row>
    <row r="215" spans="1:10" x14ac:dyDescent="0.25">
      <c r="A215" s="14">
        <v>45719</v>
      </c>
      <c r="B215" s="15" t="s">
        <v>73</v>
      </c>
      <c r="C215" s="15" t="s">
        <v>74</v>
      </c>
      <c r="D215" s="15" t="s">
        <v>75</v>
      </c>
      <c r="E215" s="16">
        <v>115.44</v>
      </c>
      <c r="F215" s="16">
        <v>117.46</v>
      </c>
      <c r="G215" s="16">
        <v>115.32</v>
      </c>
      <c r="H215" s="16">
        <v>115.48</v>
      </c>
      <c r="I215" s="17">
        <v>977719</v>
      </c>
      <c r="J215" s="16">
        <v>25405600000</v>
      </c>
    </row>
    <row r="216" spans="1:10" x14ac:dyDescent="0.25">
      <c r="A216" s="8">
        <v>45719</v>
      </c>
      <c r="B216" s="9" t="s">
        <v>76</v>
      </c>
      <c r="C216" s="9" t="s">
        <v>77</v>
      </c>
      <c r="D216" s="9" t="s">
        <v>75</v>
      </c>
      <c r="E216" s="10">
        <v>148.44999999999999</v>
      </c>
      <c r="F216" s="10">
        <v>149.06</v>
      </c>
      <c r="G216" s="10">
        <v>147.28</v>
      </c>
      <c r="H216" s="10">
        <v>148.32</v>
      </c>
      <c r="I216" s="11">
        <v>3027853</v>
      </c>
      <c r="J216" s="10">
        <v>29664000000</v>
      </c>
    </row>
    <row r="217" spans="1:10" x14ac:dyDescent="0.25">
      <c r="A217" s="14">
        <v>45720</v>
      </c>
      <c r="B217" s="15" t="s">
        <v>60</v>
      </c>
      <c r="C217" s="15" t="s">
        <v>61</v>
      </c>
      <c r="D217" s="15" t="s">
        <v>62</v>
      </c>
      <c r="E217" s="16">
        <v>3025.25</v>
      </c>
      <c r="F217" s="16">
        <v>3049.17</v>
      </c>
      <c r="G217" s="16">
        <v>3003.04</v>
      </c>
      <c r="H217" s="16">
        <v>3016.64</v>
      </c>
      <c r="I217" s="17">
        <v>4540869</v>
      </c>
      <c r="J217" s="16">
        <v>4223296000000</v>
      </c>
    </row>
    <row r="218" spans="1:10" x14ac:dyDescent="0.25">
      <c r="A218" s="8">
        <v>45720</v>
      </c>
      <c r="B218" s="9" t="s">
        <v>65</v>
      </c>
      <c r="C218" s="9" t="s">
        <v>66</v>
      </c>
      <c r="D218" s="9" t="s">
        <v>67</v>
      </c>
      <c r="E218" s="10">
        <v>173.79</v>
      </c>
      <c r="F218" s="10">
        <v>174.18</v>
      </c>
      <c r="G218" s="10">
        <v>172.98</v>
      </c>
      <c r="H218" s="10">
        <v>173.76</v>
      </c>
      <c r="I218" s="11">
        <v>4924935</v>
      </c>
      <c r="J218" s="10">
        <v>43440000000</v>
      </c>
    </row>
    <row r="219" spans="1:10" x14ac:dyDescent="0.25">
      <c r="A219" s="14">
        <v>45720</v>
      </c>
      <c r="B219" s="15" t="s">
        <v>69</v>
      </c>
      <c r="C219" s="15" t="s">
        <v>70</v>
      </c>
      <c r="D219" s="15" t="s">
        <v>71</v>
      </c>
      <c r="E219" s="16">
        <v>620.33000000000004</v>
      </c>
      <c r="F219" s="16">
        <v>620.96</v>
      </c>
      <c r="G219" s="16">
        <v>616.92999999999995</v>
      </c>
      <c r="H219" s="16">
        <v>618.75</v>
      </c>
      <c r="I219" s="17">
        <v>2216743</v>
      </c>
      <c r="J219" s="16">
        <v>495000000000</v>
      </c>
    </row>
    <row r="220" spans="1:10" x14ac:dyDescent="0.25">
      <c r="A220" s="8">
        <v>45720</v>
      </c>
      <c r="B220" s="9" t="s">
        <v>73</v>
      </c>
      <c r="C220" s="9" t="s">
        <v>74</v>
      </c>
      <c r="D220" s="9" t="s">
        <v>75</v>
      </c>
      <c r="E220" s="10">
        <v>112.72</v>
      </c>
      <c r="F220" s="10">
        <v>113.59</v>
      </c>
      <c r="G220" s="10">
        <v>111.55</v>
      </c>
      <c r="H220" s="10">
        <v>112.19</v>
      </c>
      <c r="I220" s="11">
        <v>2921637</v>
      </c>
      <c r="J220" s="10">
        <v>24681800000</v>
      </c>
    </row>
    <row r="221" spans="1:10" x14ac:dyDescent="0.25">
      <c r="A221" s="14">
        <v>45720</v>
      </c>
      <c r="B221" s="15" t="s">
        <v>76</v>
      </c>
      <c r="C221" s="15" t="s">
        <v>77</v>
      </c>
      <c r="D221" s="15" t="s">
        <v>75</v>
      </c>
      <c r="E221" s="16">
        <v>150.49</v>
      </c>
      <c r="F221" s="16">
        <v>151.08000000000001</v>
      </c>
      <c r="G221" s="16">
        <v>149.49</v>
      </c>
      <c r="H221" s="16">
        <v>149.72999999999999</v>
      </c>
      <c r="I221" s="17">
        <v>4278447</v>
      </c>
      <c r="J221" s="16">
        <v>29946000000</v>
      </c>
    </row>
    <row r="222" spans="1:10" x14ac:dyDescent="0.25">
      <c r="A222" s="8">
        <v>45721</v>
      </c>
      <c r="B222" s="9" t="s">
        <v>60</v>
      </c>
      <c r="C222" s="9" t="s">
        <v>61</v>
      </c>
      <c r="D222" s="9" t="s">
        <v>62</v>
      </c>
      <c r="E222" s="10">
        <v>3095.19</v>
      </c>
      <c r="F222" s="10">
        <v>3114.33</v>
      </c>
      <c r="G222" s="10">
        <v>3085.89</v>
      </c>
      <c r="H222" s="10">
        <v>3106.9</v>
      </c>
      <c r="I222" s="11">
        <v>1391487</v>
      </c>
      <c r="J222" s="10">
        <v>4349660000000</v>
      </c>
    </row>
    <row r="223" spans="1:10" x14ac:dyDescent="0.25">
      <c r="A223" s="14">
        <v>45721</v>
      </c>
      <c r="B223" s="15" t="s">
        <v>65</v>
      </c>
      <c r="C223" s="15" t="s">
        <v>66</v>
      </c>
      <c r="D223" s="15" t="s">
        <v>67</v>
      </c>
      <c r="E223" s="16">
        <v>174.44</v>
      </c>
      <c r="F223" s="16">
        <v>176.18</v>
      </c>
      <c r="G223" s="16">
        <v>173.8</v>
      </c>
      <c r="H223" s="16">
        <v>175.14</v>
      </c>
      <c r="I223" s="17">
        <v>3065270</v>
      </c>
      <c r="J223" s="16">
        <v>43785000000</v>
      </c>
    </row>
    <row r="224" spans="1:10" x14ac:dyDescent="0.25">
      <c r="A224" s="8">
        <v>45721</v>
      </c>
      <c r="B224" s="9" t="s">
        <v>69</v>
      </c>
      <c r="C224" s="9" t="s">
        <v>70</v>
      </c>
      <c r="D224" s="9" t="s">
        <v>71</v>
      </c>
      <c r="E224" s="10">
        <v>614.28</v>
      </c>
      <c r="F224" s="10">
        <v>618.71</v>
      </c>
      <c r="G224" s="10">
        <v>606.08000000000004</v>
      </c>
      <c r="H224" s="10">
        <v>611.41999999999996</v>
      </c>
      <c r="I224" s="11">
        <v>731560</v>
      </c>
      <c r="J224" s="10">
        <v>489136000000</v>
      </c>
    </row>
    <row r="225" spans="1:10" x14ac:dyDescent="0.25">
      <c r="A225" s="14">
        <v>45721</v>
      </c>
      <c r="B225" s="15" t="s">
        <v>73</v>
      </c>
      <c r="C225" s="15" t="s">
        <v>74</v>
      </c>
      <c r="D225" s="15" t="s">
        <v>75</v>
      </c>
      <c r="E225" s="16">
        <v>109.36</v>
      </c>
      <c r="F225" s="16">
        <v>110.52</v>
      </c>
      <c r="G225" s="16">
        <v>109.13</v>
      </c>
      <c r="H225" s="16">
        <v>109.62</v>
      </c>
      <c r="I225" s="17">
        <v>4556484</v>
      </c>
      <c r="J225" s="16">
        <v>24116400000</v>
      </c>
    </row>
    <row r="226" spans="1:10" x14ac:dyDescent="0.25">
      <c r="A226" s="8">
        <v>45721</v>
      </c>
      <c r="B226" s="9" t="s">
        <v>76</v>
      </c>
      <c r="C226" s="9" t="s">
        <v>77</v>
      </c>
      <c r="D226" s="9" t="s">
        <v>75</v>
      </c>
      <c r="E226" s="10">
        <v>150.52000000000001</v>
      </c>
      <c r="F226" s="10">
        <v>152.22999999999999</v>
      </c>
      <c r="G226" s="10">
        <v>150.43</v>
      </c>
      <c r="H226" s="10">
        <v>151.94999999999999</v>
      </c>
      <c r="I226" s="11">
        <v>3383325</v>
      </c>
      <c r="J226" s="10">
        <v>30390000000</v>
      </c>
    </row>
    <row r="227" spans="1:10" x14ac:dyDescent="0.25">
      <c r="A227" s="14">
        <v>45722</v>
      </c>
      <c r="B227" s="15" t="s">
        <v>60</v>
      </c>
      <c r="C227" s="15" t="s">
        <v>61</v>
      </c>
      <c r="D227" s="15" t="s">
        <v>62</v>
      </c>
      <c r="E227" s="16">
        <v>3129.53</v>
      </c>
      <c r="F227" s="16">
        <v>3144.72</v>
      </c>
      <c r="G227" s="16">
        <v>3116.16</v>
      </c>
      <c r="H227" s="16">
        <v>3122.62</v>
      </c>
      <c r="I227" s="17">
        <v>3899655</v>
      </c>
      <c r="J227" s="16">
        <v>4371668000000</v>
      </c>
    </row>
    <row r="228" spans="1:10" x14ac:dyDescent="0.25">
      <c r="A228" s="8">
        <v>45722</v>
      </c>
      <c r="B228" s="9" t="s">
        <v>65</v>
      </c>
      <c r="C228" s="9" t="s">
        <v>66</v>
      </c>
      <c r="D228" s="9" t="s">
        <v>67</v>
      </c>
      <c r="E228" s="10">
        <v>179.18</v>
      </c>
      <c r="F228" s="10">
        <v>182.39</v>
      </c>
      <c r="G228" s="10">
        <v>178.36</v>
      </c>
      <c r="H228" s="10">
        <v>180.95</v>
      </c>
      <c r="I228" s="11">
        <v>520233</v>
      </c>
      <c r="J228" s="10">
        <v>45237500000</v>
      </c>
    </row>
    <row r="229" spans="1:10" x14ac:dyDescent="0.25">
      <c r="A229" s="14">
        <v>45722</v>
      </c>
      <c r="B229" s="15" t="s">
        <v>69</v>
      </c>
      <c r="C229" s="15" t="s">
        <v>70</v>
      </c>
      <c r="D229" s="15" t="s">
        <v>71</v>
      </c>
      <c r="E229" s="16">
        <v>600.04999999999995</v>
      </c>
      <c r="F229" s="16">
        <v>605.5</v>
      </c>
      <c r="G229" s="16">
        <v>595.6</v>
      </c>
      <c r="H229" s="16">
        <v>602.47</v>
      </c>
      <c r="I229" s="17">
        <v>542876</v>
      </c>
      <c r="J229" s="16">
        <v>481976000000</v>
      </c>
    </row>
    <row r="230" spans="1:10" x14ac:dyDescent="0.25">
      <c r="A230" s="8">
        <v>45722</v>
      </c>
      <c r="B230" s="9" t="s">
        <v>73</v>
      </c>
      <c r="C230" s="9" t="s">
        <v>74</v>
      </c>
      <c r="D230" s="9" t="s">
        <v>75</v>
      </c>
      <c r="E230" s="10">
        <v>110.73</v>
      </c>
      <c r="F230" s="10">
        <v>111.98</v>
      </c>
      <c r="G230" s="10">
        <v>110.44</v>
      </c>
      <c r="H230" s="10">
        <v>110.45</v>
      </c>
      <c r="I230" s="11">
        <v>1501680</v>
      </c>
      <c r="J230" s="10">
        <v>24299000000</v>
      </c>
    </row>
    <row r="231" spans="1:10" x14ac:dyDescent="0.25">
      <c r="A231" s="14">
        <v>45722</v>
      </c>
      <c r="B231" s="15" t="s">
        <v>76</v>
      </c>
      <c r="C231" s="15" t="s">
        <v>77</v>
      </c>
      <c r="D231" s="15" t="s">
        <v>75</v>
      </c>
      <c r="E231" s="16">
        <v>153.91999999999999</v>
      </c>
      <c r="F231" s="16">
        <v>155.75</v>
      </c>
      <c r="G231" s="16">
        <v>153.06</v>
      </c>
      <c r="H231" s="16">
        <v>155.66999999999999</v>
      </c>
      <c r="I231" s="17">
        <v>1069719</v>
      </c>
      <c r="J231" s="16">
        <v>31134000000</v>
      </c>
    </row>
    <row r="232" spans="1:10" x14ac:dyDescent="0.25">
      <c r="A232" s="8">
        <v>45723</v>
      </c>
      <c r="B232" s="9" t="s">
        <v>60</v>
      </c>
      <c r="C232" s="9" t="s">
        <v>61</v>
      </c>
      <c r="D232" s="9" t="s">
        <v>62</v>
      </c>
      <c r="E232" s="10">
        <v>3122.45</v>
      </c>
      <c r="F232" s="10">
        <v>3139.83</v>
      </c>
      <c r="G232" s="10">
        <v>3102.47</v>
      </c>
      <c r="H232" s="10">
        <v>3116.3</v>
      </c>
      <c r="I232" s="11">
        <v>3021120</v>
      </c>
      <c r="J232" s="10">
        <v>4362820000000</v>
      </c>
    </row>
    <row r="233" spans="1:10" x14ac:dyDescent="0.25">
      <c r="A233" s="14">
        <v>45723</v>
      </c>
      <c r="B233" s="15" t="s">
        <v>65</v>
      </c>
      <c r="C233" s="15" t="s">
        <v>66</v>
      </c>
      <c r="D233" s="15" t="s">
        <v>67</v>
      </c>
      <c r="E233" s="16">
        <v>182.18</v>
      </c>
      <c r="F233" s="16">
        <v>182.5</v>
      </c>
      <c r="G233" s="16">
        <v>180.32</v>
      </c>
      <c r="H233" s="16">
        <v>180.51</v>
      </c>
      <c r="I233" s="17">
        <v>741314</v>
      </c>
      <c r="J233" s="16">
        <v>45127500000</v>
      </c>
    </row>
    <row r="234" spans="1:10" x14ac:dyDescent="0.25">
      <c r="A234" s="8">
        <v>45723</v>
      </c>
      <c r="B234" s="9" t="s">
        <v>69</v>
      </c>
      <c r="C234" s="9" t="s">
        <v>70</v>
      </c>
      <c r="D234" s="9" t="s">
        <v>71</v>
      </c>
      <c r="E234" s="10">
        <v>611.05999999999995</v>
      </c>
      <c r="F234" s="10">
        <v>617.85</v>
      </c>
      <c r="G234" s="10">
        <v>609.14</v>
      </c>
      <c r="H234" s="10">
        <v>613</v>
      </c>
      <c r="I234" s="11">
        <v>3856893</v>
      </c>
      <c r="J234" s="10">
        <v>490400000000</v>
      </c>
    </row>
    <row r="235" spans="1:10" x14ac:dyDescent="0.25">
      <c r="A235" s="14">
        <v>45723</v>
      </c>
      <c r="B235" s="15" t="s">
        <v>73</v>
      </c>
      <c r="C235" s="15" t="s">
        <v>74</v>
      </c>
      <c r="D235" s="15" t="s">
        <v>75</v>
      </c>
      <c r="E235" s="16">
        <v>110.68</v>
      </c>
      <c r="F235" s="16">
        <v>111.63</v>
      </c>
      <c r="G235" s="16">
        <v>110.59</v>
      </c>
      <c r="H235" s="16">
        <v>110.87</v>
      </c>
      <c r="I235" s="17">
        <v>4597872</v>
      </c>
      <c r="J235" s="16">
        <v>24391400000</v>
      </c>
    </row>
    <row r="236" spans="1:10" x14ac:dyDescent="0.25">
      <c r="A236" s="8">
        <v>45723</v>
      </c>
      <c r="B236" s="9" t="s">
        <v>76</v>
      </c>
      <c r="C236" s="9" t="s">
        <v>77</v>
      </c>
      <c r="D236" s="9" t="s">
        <v>75</v>
      </c>
      <c r="E236" s="10">
        <v>157.57</v>
      </c>
      <c r="F236" s="10">
        <v>158.44999999999999</v>
      </c>
      <c r="G236" s="10">
        <v>157.18</v>
      </c>
      <c r="H236" s="10">
        <v>157.80000000000001</v>
      </c>
      <c r="I236" s="11">
        <v>2887209</v>
      </c>
      <c r="J236" s="10">
        <v>31560000000</v>
      </c>
    </row>
    <row r="237" spans="1:10" x14ac:dyDescent="0.25">
      <c r="A237" s="14">
        <v>45726</v>
      </c>
      <c r="B237" s="15" t="s">
        <v>60</v>
      </c>
      <c r="C237" s="15" t="s">
        <v>61</v>
      </c>
      <c r="D237" s="15" t="s">
        <v>62</v>
      </c>
      <c r="E237" s="16">
        <v>3185.81</v>
      </c>
      <c r="F237" s="16">
        <v>3210.34</v>
      </c>
      <c r="G237" s="16">
        <v>3178.61</v>
      </c>
      <c r="H237" s="16">
        <v>3197.63</v>
      </c>
      <c r="I237" s="17">
        <v>364483</v>
      </c>
      <c r="J237" s="16">
        <v>4476682000000</v>
      </c>
    </row>
    <row r="238" spans="1:10" x14ac:dyDescent="0.25">
      <c r="A238" s="8">
        <v>45726</v>
      </c>
      <c r="B238" s="9" t="s">
        <v>65</v>
      </c>
      <c r="C238" s="9" t="s">
        <v>66</v>
      </c>
      <c r="D238" s="9" t="s">
        <v>67</v>
      </c>
      <c r="E238" s="10">
        <v>182.39</v>
      </c>
      <c r="F238" s="10">
        <v>185.76</v>
      </c>
      <c r="G238" s="10">
        <v>182.12</v>
      </c>
      <c r="H238" s="10">
        <v>183.17</v>
      </c>
      <c r="I238" s="11">
        <v>1306501</v>
      </c>
      <c r="J238" s="10">
        <v>45792500000</v>
      </c>
    </row>
    <row r="239" spans="1:10" x14ac:dyDescent="0.25">
      <c r="A239" s="14">
        <v>45726</v>
      </c>
      <c r="B239" s="15" t="s">
        <v>69</v>
      </c>
      <c r="C239" s="15" t="s">
        <v>70</v>
      </c>
      <c r="D239" s="15" t="s">
        <v>71</v>
      </c>
      <c r="E239" s="16">
        <v>597.59</v>
      </c>
      <c r="F239" s="16">
        <v>605.51</v>
      </c>
      <c r="G239" s="16">
        <v>597.21</v>
      </c>
      <c r="H239" s="16">
        <v>598.66999999999996</v>
      </c>
      <c r="I239" s="17">
        <v>3489411</v>
      </c>
      <c r="J239" s="16">
        <v>478936000000</v>
      </c>
    </row>
    <row r="240" spans="1:10" x14ac:dyDescent="0.25">
      <c r="A240" s="8">
        <v>45726</v>
      </c>
      <c r="B240" s="9" t="s">
        <v>73</v>
      </c>
      <c r="C240" s="9" t="s">
        <v>74</v>
      </c>
      <c r="D240" s="9" t="s">
        <v>75</v>
      </c>
      <c r="E240" s="10">
        <v>109.71</v>
      </c>
      <c r="F240" s="10">
        <v>109.84</v>
      </c>
      <c r="G240" s="10">
        <v>108.49</v>
      </c>
      <c r="H240" s="10">
        <v>108.97</v>
      </c>
      <c r="I240" s="11">
        <v>3630874</v>
      </c>
      <c r="J240" s="10">
        <v>23973400000</v>
      </c>
    </row>
    <row r="241" spans="1:10" x14ac:dyDescent="0.25">
      <c r="A241" s="14">
        <v>45726</v>
      </c>
      <c r="B241" s="15" t="s">
        <v>76</v>
      </c>
      <c r="C241" s="15" t="s">
        <v>77</v>
      </c>
      <c r="D241" s="15" t="s">
        <v>75</v>
      </c>
      <c r="E241" s="16">
        <v>156.56</v>
      </c>
      <c r="F241" s="16">
        <v>156.80000000000001</v>
      </c>
      <c r="G241" s="16">
        <v>156.28</v>
      </c>
      <c r="H241" s="16">
        <v>156.29</v>
      </c>
      <c r="I241" s="17">
        <v>953158</v>
      </c>
      <c r="J241" s="16">
        <v>31258000000</v>
      </c>
    </row>
    <row r="242" spans="1:10" x14ac:dyDescent="0.25">
      <c r="A242" s="8">
        <v>45727</v>
      </c>
      <c r="B242" s="9" t="s">
        <v>60</v>
      </c>
      <c r="C242" s="9" t="s">
        <v>61</v>
      </c>
      <c r="D242" s="9" t="s">
        <v>62</v>
      </c>
      <c r="E242" s="10">
        <v>3238.95</v>
      </c>
      <c r="F242" s="10">
        <v>3264.81</v>
      </c>
      <c r="G242" s="10">
        <v>3202.46</v>
      </c>
      <c r="H242" s="10">
        <v>3228.5</v>
      </c>
      <c r="I242" s="11">
        <v>1266144</v>
      </c>
      <c r="J242" s="10">
        <v>4519900000000</v>
      </c>
    </row>
    <row r="243" spans="1:10" x14ac:dyDescent="0.25">
      <c r="A243" s="14">
        <v>45727</v>
      </c>
      <c r="B243" s="15" t="s">
        <v>65</v>
      </c>
      <c r="C243" s="15" t="s">
        <v>66</v>
      </c>
      <c r="D243" s="15" t="s">
        <v>67</v>
      </c>
      <c r="E243" s="16">
        <v>181.28</v>
      </c>
      <c r="F243" s="16">
        <v>184.4</v>
      </c>
      <c r="G243" s="16">
        <v>179.16</v>
      </c>
      <c r="H243" s="16">
        <v>180.06</v>
      </c>
      <c r="I243" s="17">
        <v>4159572</v>
      </c>
      <c r="J243" s="16">
        <v>45015000000</v>
      </c>
    </row>
    <row r="244" spans="1:10" x14ac:dyDescent="0.25">
      <c r="A244" s="8">
        <v>45727</v>
      </c>
      <c r="B244" s="9" t="s">
        <v>69</v>
      </c>
      <c r="C244" s="9" t="s">
        <v>70</v>
      </c>
      <c r="D244" s="9" t="s">
        <v>71</v>
      </c>
      <c r="E244" s="10">
        <v>608.73</v>
      </c>
      <c r="F244" s="10">
        <v>618.25</v>
      </c>
      <c r="G244" s="10">
        <v>600.74</v>
      </c>
      <c r="H244" s="10">
        <v>605</v>
      </c>
      <c r="I244" s="11">
        <v>3659216</v>
      </c>
      <c r="J244" s="10">
        <v>484000000000</v>
      </c>
    </row>
    <row r="245" spans="1:10" x14ac:dyDescent="0.25">
      <c r="A245" s="14">
        <v>45727</v>
      </c>
      <c r="B245" s="15" t="s">
        <v>73</v>
      </c>
      <c r="C245" s="15" t="s">
        <v>74</v>
      </c>
      <c r="D245" s="15" t="s">
        <v>75</v>
      </c>
      <c r="E245" s="16">
        <v>110.65</v>
      </c>
      <c r="F245" s="16">
        <v>111.53</v>
      </c>
      <c r="G245" s="16">
        <v>110.52</v>
      </c>
      <c r="H245" s="16">
        <v>110.83</v>
      </c>
      <c r="I245" s="17">
        <v>3148043</v>
      </c>
      <c r="J245" s="16">
        <v>24382600000</v>
      </c>
    </row>
    <row r="246" spans="1:10" x14ac:dyDescent="0.25">
      <c r="A246" s="8">
        <v>45727</v>
      </c>
      <c r="B246" s="9" t="s">
        <v>76</v>
      </c>
      <c r="C246" s="9" t="s">
        <v>77</v>
      </c>
      <c r="D246" s="9" t="s">
        <v>75</v>
      </c>
      <c r="E246" s="10">
        <v>157.05000000000001</v>
      </c>
      <c r="F246" s="10">
        <v>159.19999999999999</v>
      </c>
      <c r="G246" s="10">
        <v>155.47</v>
      </c>
      <c r="H246" s="10">
        <v>157.44999999999999</v>
      </c>
      <c r="I246" s="11">
        <v>1926582</v>
      </c>
      <c r="J246" s="10">
        <v>31490000000</v>
      </c>
    </row>
    <row r="247" spans="1:10" x14ac:dyDescent="0.25">
      <c r="A247" s="14">
        <v>45728</v>
      </c>
      <c r="B247" s="15" t="s">
        <v>60</v>
      </c>
      <c r="C247" s="15" t="s">
        <v>61</v>
      </c>
      <c r="D247" s="15" t="s">
        <v>62</v>
      </c>
      <c r="E247" s="16">
        <v>3260.81</v>
      </c>
      <c r="F247" s="16">
        <v>3280.89</v>
      </c>
      <c r="G247" s="16">
        <v>3247.33</v>
      </c>
      <c r="H247" s="16">
        <v>3271.74</v>
      </c>
      <c r="I247" s="17">
        <v>1538912</v>
      </c>
      <c r="J247" s="16">
        <v>4580436000000</v>
      </c>
    </row>
    <row r="248" spans="1:10" x14ac:dyDescent="0.25">
      <c r="A248" s="8">
        <v>45728</v>
      </c>
      <c r="B248" s="9" t="s">
        <v>65</v>
      </c>
      <c r="C248" s="9" t="s">
        <v>66</v>
      </c>
      <c r="D248" s="9" t="s">
        <v>67</v>
      </c>
      <c r="E248" s="10">
        <v>180.23</v>
      </c>
      <c r="F248" s="10">
        <v>181.04</v>
      </c>
      <c r="G248" s="10">
        <v>179.59</v>
      </c>
      <c r="H248" s="10">
        <v>180.69</v>
      </c>
      <c r="I248" s="11">
        <v>932109</v>
      </c>
      <c r="J248" s="10">
        <v>45172500000</v>
      </c>
    </row>
    <row r="249" spans="1:10" x14ac:dyDescent="0.25">
      <c r="A249" s="14">
        <v>45728</v>
      </c>
      <c r="B249" s="15" t="s">
        <v>69</v>
      </c>
      <c r="C249" s="15" t="s">
        <v>70</v>
      </c>
      <c r="D249" s="15" t="s">
        <v>71</v>
      </c>
      <c r="E249" s="16">
        <v>616.78</v>
      </c>
      <c r="F249" s="16">
        <v>620.53</v>
      </c>
      <c r="G249" s="16">
        <v>609.16</v>
      </c>
      <c r="H249" s="16">
        <v>614.78</v>
      </c>
      <c r="I249" s="17">
        <v>4065690</v>
      </c>
      <c r="J249" s="16">
        <v>491824000000</v>
      </c>
    </row>
    <row r="250" spans="1:10" x14ac:dyDescent="0.25">
      <c r="A250" s="8">
        <v>45728</v>
      </c>
      <c r="B250" s="9" t="s">
        <v>73</v>
      </c>
      <c r="C250" s="9" t="s">
        <v>74</v>
      </c>
      <c r="D250" s="9" t="s">
        <v>75</v>
      </c>
      <c r="E250" s="10">
        <v>109.41</v>
      </c>
      <c r="F250" s="10">
        <v>111.05</v>
      </c>
      <c r="G250" s="10">
        <v>107.81</v>
      </c>
      <c r="H250" s="10">
        <v>108.86</v>
      </c>
      <c r="I250" s="11">
        <v>2951965</v>
      </c>
      <c r="J250" s="10">
        <v>23949200000</v>
      </c>
    </row>
    <row r="251" spans="1:10" x14ac:dyDescent="0.25">
      <c r="A251" s="14">
        <v>45728</v>
      </c>
      <c r="B251" s="15" t="s">
        <v>76</v>
      </c>
      <c r="C251" s="15" t="s">
        <v>77</v>
      </c>
      <c r="D251" s="15" t="s">
        <v>75</v>
      </c>
      <c r="E251" s="16">
        <v>152.06</v>
      </c>
      <c r="F251" s="16">
        <v>152.33000000000001</v>
      </c>
      <c r="G251" s="16">
        <v>151.69</v>
      </c>
      <c r="H251" s="16">
        <v>151.97</v>
      </c>
      <c r="I251" s="17">
        <v>2840241</v>
      </c>
      <c r="J251" s="16">
        <v>30394000000</v>
      </c>
    </row>
    <row r="252" spans="1:10" x14ac:dyDescent="0.25">
      <c r="A252" s="8">
        <v>45729</v>
      </c>
      <c r="B252" s="9" t="s">
        <v>60</v>
      </c>
      <c r="C252" s="9" t="s">
        <v>61</v>
      </c>
      <c r="D252" s="9" t="s">
        <v>62</v>
      </c>
      <c r="E252" s="10">
        <v>3291.24</v>
      </c>
      <c r="F252" s="10">
        <v>3324.99</v>
      </c>
      <c r="G252" s="10">
        <v>3285.06</v>
      </c>
      <c r="H252" s="10">
        <v>3303.5</v>
      </c>
      <c r="I252" s="11">
        <v>615472</v>
      </c>
      <c r="J252" s="10">
        <v>4624900000000</v>
      </c>
    </row>
    <row r="253" spans="1:10" x14ac:dyDescent="0.25">
      <c r="A253" s="14">
        <v>45729</v>
      </c>
      <c r="B253" s="15" t="s">
        <v>65</v>
      </c>
      <c r="C253" s="15" t="s">
        <v>66</v>
      </c>
      <c r="D253" s="15" t="s">
        <v>67</v>
      </c>
      <c r="E253" s="16">
        <v>181.58</v>
      </c>
      <c r="F253" s="16">
        <v>184.15</v>
      </c>
      <c r="G253" s="16">
        <v>180.62</v>
      </c>
      <c r="H253" s="16">
        <v>180.89</v>
      </c>
      <c r="I253" s="17">
        <v>1057461</v>
      </c>
      <c r="J253" s="16">
        <v>45222500000</v>
      </c>
    </row>
    <row r="254" spans="1:10" x14ac:dyDescent="0.25">
      <c r="A254" s="8">
        <v>45729</v>
      </c>
      <c r="B254" s="9" t="s">
        <v>69</v>
      </c>
      <c r="C254" s="9" t="s">
        <v>70</v>
      </c>
      <c r="D254" s="9" t="s">
        <v>71</v>
      </c>
      <c r="E254" s="10">
        <v>606.67999999999995</v>
      </c>
      <c r="F254" s="10">
        <v>610.5</v>
      </c>
      <c r="G254" s="10">
        <v>600.67999999999995</v>
      </c>
      <c r="H254" s="10">
        <v>608.46</v>
      </c>
      <c r="I254" s="11">
        <v>644123</v>
      </c>
      <c r="J254" s="10">
        <v>486768000000</v>
      </c>
    </row>
    <row r="255" spans="1:10" x14ac:dyDescent="0.25">
      <c r="A255" s="14">
        <v>45729</v>
      </c>
      <c r="B255" s="15" t="s">
        <v>73</v>
      </c>
      <c r="C255" s="15" t="s">
        <v>74</v>
      </c>
      <c r="D255" s="15" t="s">
        <v>75</v>
      </c>
      <c r="E255" s="16">
        <v>109.36</v>
      </c>
      <c r="F255" s="16">
        <v>110.88</v>
      </c>
      <c r="G255" s="16">
        <v>108.86</v>
      </c>
      <c r="H255" s="16">
        <v>110.18</v>
      </c>
      <c r="I255" s="17">
        <v>2997161</v>
      </c>
      <c r="J255" s="16">
        <v>24239600000</v>
      </c>
    </row>
    <row r="256" spans="1:10" x14ac:dyDescent="0.25">
      <c r="A256" s="8">
        <v>45729</v>
      </c>
      <c r="B256" s="9" t="s">
        <v>76</v>
      </c>
      <c r="C256" s="9" t="s">
        <v>77</v>
      </c>
      <c r="D256" s="9" t="s">
        <v>75</v>
      </c>
      <c r="E256" s="10">
        <v>149.88</v>
      </c>
      <c r="F256" s="10">
        <v>150.75</v>
      </c>
      <c r="G256" s="10">
        <v>148.61000000000001</v>
      </c>
      <c r="H256" s="10">
        <v>150.35</v>
      </c>
      <c r="I256" s="11">
        <v>3180964</v>
      </c>
      <c r="J256" s="10">
        <v>30070000000</v>
      </c>
    </row>
    <row r="257" spans="1:10" x14ac:dyDescent="0.25">
      <c r="A257" s="14">
        <v>45730</v>
      </c>
      <c r="B257" s="15" t="s">
        <v>60</v>
      </c>
      <c r="C257" s="15" t="s">
        <v>61</v>
      </c>
      <c r="D257" s="15" t="s">
        <v>62</v>
      </c>
      <c r="E257" s="16">
        <v>3289.92</v>
      </c>
      <c r="F257" s="16">
        <v>3300.9</v>
      </c>
      <c r="G257" s="16">
        <v>3288.7</v>
      </c>
      <c r="H257" s="16">
        <v>3296.58</v>
      </c>
      <c r="I257" s="17">
        <v>628347</v>
      </c>
      <c r="J257" s="16">
        <v>4615212000000</v>
      </c>
    </row>
    <row r="258" spans="1:10" x14ac:dyDescent="0.25">
      <c r="A258" s="8">
        <v>45730</v>
      </c>
      <c r="B258" s="9" t="s">
        <v>65</v>
      </c>
      <c r="C258" s="9" t="s">
        <v>66</v>
      </c>
      <c r="D258" s="9" t="s">
        <v>67</v>
      </c>
      <c r="E258" s="10">
        <v>180.97</v>
      </c>
      <c r="F258" s="10">
        <v>182.52</v>
      </c>
      <c r="G258" s="10">
        <v>179.34</v>
      </c>
      <c r="H258" s="10">
        <v>179.84</v>
      </c>
      <c r="I258" s="11">
        <v>3427709</v>
      </c>
      <c r="J258" s="10">
        <v>44960000000</v>
      </c>
    </row>
    <row r="259" spans="1:10" x14ac:dyDescent="0.25">
      <c r="A259" s="14">
        <v>45730</v>
      </c>
      <c r="B259" s="15" t="s">
        <v>69</v>
      </c>
      <c r="C259" s="15" t="s">
        <v>70</v>
      </c>
      <c r="D259" s="15" t="s">
        <v>71</v>
      </c>
      <c r="E259" s="16">
        <v>612.71</v>
      </c>
      <c r="F259" s="16">
        <v>616.92999999999995</v>
      </c>
      <c r="G259" s="16">
        <v>610.32000000000005</v>
      </c>
      <c r="H259" s="16">
        <v>615.44000000000005</v>
      </c>
      <c r="I259" s="17">
        <v>739273</v>
      </c>
      <c r="J259" s="16">
        <v>492352000000</v>
      </c>
    </row>
    <row r="260" spans="1:10" x14ac:dyDescent="0.25">
      <c r="A260" s="8">
        <v>45730</v>
      </c>
      <c r="B260" s="9" t="s">
        <v>73</v>
      </c>
      <c r="C260" s="9" t="s">
        <v>74</v>
      </c>
      <c r="D260" s="9" t="s">
        <v>75</v>
      </c>
      <c r="E260" s="10">
        <v>110.78</v>
      </c>
      <c r="F260" s="10">
        <v>112.02</v>
      </c>
      <c r="G260" s="10">
        <v>110.42</v>
      </c>
      <c r="H260" s="10">
        <v>111.51</v>
      </c>
      <c r="I260" s="11">
        <v>2683597</v>
      </c>
      <c r="J260" s="10">
        <v>24532200000</v>
      </c>
    </row>
    <row r="261" spans="1:10" x14ac:dyDescent="0.25">
      <c r="A261" s="14">
        <v>45730</v>
      </c>
      <c r="B261" s="15" t="s">
        <v>76</v>
      </c>
      <c r="C261" s="15" t="s">
        <v>77</v>
      </c>
      <c r="D261" s="15" t="s">
        <v>75</v>
      </c>
      <c r="E261" s="16">
        <v>150.78</v>
      </c>
      <c r="F261" s="16">
        <v>150.81</v>
      </c>
      <c r="G261" s="16">
        <v>148.41999999999999</v>
      </c>
      <c r="H261" s="16">
        <v>150.72</v>
      </c>
      <c r="I261" s="17">
        <v>1561422</v>
      </c>
      <c r="J261" s="16">
        <v>30144000000</v>
      </c>
    </row>
    <row r="262" spans="1:10" x14ac:dyDescent="0.25">
      <c r="A262" s="8">
        <v>45733</v>
      </c>
      <c r="B262" s="9" t="s">
        <v>60</v>
      </c>
      <c r="C262" s="9" t="s">
        <v>61</v>
      </c>
      <c r="D262" s="9" t="s">
        <v>62</v>
      </c>
      <c r="E262" s="10">
        <v>3264.54</v>
      </c>
      <c r="F262" s="10">
        <v>3294.44</v>
      </c>
      <c r="G262" s="10">
        <v>3249.26</v>
      </c>
      <c r="H262" s="10">
        <v>3292.98</v>
      </c>
      <c r="I262" s="11">
        <v>3587981</v>
      </c>
      <c r="J262" s="10">
        <v>4610172000000</v>
      </c>
    </row>
    <row r="263" spans="1:10" x14ac:dyDescent="0.25">
      <c r="A263" s="14">
        <v>45733</v>
      </c>
      <c r="B263" s="15" t="s">
        <v>65</v>
      </c>
      <c r="C263" s="15" t="s">
        <v>66</v>
      </c>
      <c r="D263" s="15" t="s">
        <v>67</v>
      </c>
      <c r="E263" s="16">
        <v>181.82</v>
      </c>
      <c r="F263" s="16">
        <v>183.4</v>
      </c>
      <c r="G263" s="16">
        <v>180.16</v>
      </c>
      <c r="H263" s="16">
        <v>180.43</v>
      </c>
      <c r="I263" s="17">
        <v>4988578</v>
      </c>
      <c r="J263" s="16">
        <v>45107500000</v>
      </c>
    </row>
    <row r="264" spans="1:10" x14ac:dyDescent="0.25">
      <c r="A264" s="8">
        <v>45733</v>
      </c>
      <c r="B264" s="9" t="s">
        <v>69</v>
      </c>
      <c r="C264" s="9" t="s">
        <v>70</v>
      </c>
      <c r="D264" s="9" t="s">
        <v>71</v>
      </c>
      <c r="E264" s="10">
        <v>603.88</v>
      </c>
      <c r="F264" s="10">
        <v>609.87</v>
      </c>
      <c r="G264" s="10">
        <v>601.1</v>
      </c>
      <c r="H264" s="10">
        <v>608.37</v>
      </c>
      <c r="I264" s="11">
        <v>4715707</v>
      </c>
      <c r="J264" s="10">
        <v>486696000000</v>
      </c>
    </row>
    <row r="265" spans="1:10" x14ac:dyDescent="0.25">
      <c r="A265" s="14">
        <v>45733</v>
      </c>
      <c r="B265" s="15" t="s">
        <v>73</v>
      </c>
      <c r="C265" s="15" t="s">
        <v>74</v>
      </c>
      <c r="D265" s="15" t="s">
        <v>75</v>
      </c>
      <c r="E265" s="16">
        <v>109.23</v>
      </c>
      <c r="F265" s="16">
        <v>110.31</v>
      </c>
      <c r="G265" s="16">
        <v>108.51</v>
      </c>
      <c r="H265" s="16">
        <v>109.43</v>
      </c>
      <c r="I265" s="17">
        <v>452928</v>
      </c>
      <c r="J265" s="16">
        <v>24074600000</v>
      </c>
    </row>
    <row r="266" spans="1:10" x14ac:dyDescent="0.25">
      <c r="A266" s="8">
        <v>45733</v>
      </c>
      <c r="B266" s="9" t="s">
        <v>76</v>
      </c>
      <c r="C266" s="9" t="s">
        <v>77</v>
      </c>
      <c r="D266" s="9" t="s">
        <v>75</v>
      </c>
      <c r="E266" s="10">
        <v>149.82</v>
      </c>
      <c r="F266" s="10">
        <v>150.38999999999999</v>
      </c>
      <c r="G266" s="10">
        <v>149.16999999999999</v>
      </c>
      <c r="H266" s="10">
        <v>149.76</v>
      </c>
      <c r="I266" s="11">
        <v>2200380</v>
      </c>
      <c r="J266" s="10">
        <v>29952000000</v>
      </c>
    </row>
    <row r="267" spans="1:10" x14ac:dyDescent="0.25">
      <c r="A267" s="14">
        <v>45734</v>
      </c>
      <c r="B267" s="15" t="s">
        <v>60</v>
      </c>
      <c r="C267" s="15" t="s">
        <v>61</v>
      </c>
      <c r="D267" s="15" t="s">
        <v>62</v>
      </c>
      <c r="E267" s="16">
        <v>3410.6</v>
      </c>
      <c r="F267" s="16">
        <v>3426.43</v>
      </c>
      <c r="G267" s="16">
        <v>3410.6</v>
      </c>
      <c r="H267" s="16">
        <v>3415.28</v>
      </c>
      <c r="I267" s="17">
        <v>1148430</v>
      </c>
      <c r="J267" s="16">
        <v>4781392000000</v>
      </c>
    </row>
    <row r="268" spans="1:10" x14ac:dyDescent="0.25">
      <c r="A268" s="8">
        <v>45734</v>
      </c>
      <c r="B268" s="9" t="s">
        <v>65</v>
      </c>
      <c r="C268" s="9" t="s">
        <v>66</v>
      </c>
      <c r="D268" s="9" t="s">
        <v>67</v>
      </c>
      <c r="E268" s="10">
        <v>177.1</v>
      </c>
      <c r="F268" s="10">
        <v>177.19</v>
      </c>
      <c r="G268" s="10">
        <v>176.98</v>
      </c>
      <c r="H268" s="10">
        <v>177.12</v>
      </c>
      <c r="I268" s="11">
        <v>1399319</v>
      </c>
      <c r="J268" s="10">
        <v>44280000000</v>
      </c>
    </row>
    <row r="269" spans="1:10" x14ac:dyDescent="0.25">
      <c r="A269" s="14">
        <v>45734</v>
      </c>
      <c r="B269" s="15" t="s">
        <v>69</v>
      </c>
      <c r="C269" s="15" t="s">
        <v>70</v>
      </c>
      <c r="D269" s="15" t="s">
        <v>71</v>
      </c>
      <c r="E269" s="16">
        <v>597.36</v>
      </c>
      <c r="F269" s="16">
        <v>599.63</v>
      </c>
      <c r="G269" s="16">
        <v>595.77</v>
      </c>
      <c r="H269" s="16">
        <v>596.47</v>
      </c>
      <c r="I269" s="17">
        <v>1688643</v>
      </c>
      <c r="J269" s="16">
        <v>477176000000</v>
      </c>
    </row>
    <row r="270" spans="1:10" x14ac:dyDescent="0.25">
      <c r="A270" s="8">
        <v>45734</v>
      </c>
      <c r="B270" s="9" t="s">
        <v>73</v>
      </c>
      <c r="C270" s="9" t="s">
        <v>74</v>
      </c>
      <c r="D270" s="9" t="s">
        <v>75</v>
      </c>
      <c r="E270" s="10">
        <v>109.36</v>
      </c>
      <c r="F270" s="10">
        <v>109.62</v>
      </c>
      <c r="G270" s="10">
        <v>108.44</v>
      </c>
      <c r="H270" s="10">
        <v>109.58</v>
      </c>
      <c r="I270" s="11">
        <v>2690148</v>
      </c>
      <c r="J270" s="10">
        <v>24107600000</v>
      </c>
    </row>
    <row r="271" spans="1:10" x14ac:dyDescent="0.25">
      <c r="A271" s="14">
        <v>45734</v>
      </c>
      <c r="B271" s="15" t="s">
        <v>76</v>
      </c>
      <c r="C271" s="15" t="s">
        <v>77</v>
      </c>
      <c r="D271" s="15" t="s">
        <v>75</v>
      </c>
      <c r="E271" s="16">
        <v>152.49</v>
      </c>
      <c r="F271" s="16">
        <v>152.52000000000001</v>
      </c>
      <c r="G271" s="16">
        <v>150.36000000000001</v>
      </c>
      <c r="H271" s="16">
        <v>150.87</v>
      </c>
      <c r="I271" s="17">
        <v>2306290</v>
      </c>
      <c r="J271" s="16">
        <v>30174000000</v>
      </c>
    </row>
    <row r="272" spans="1:10" x14ac:dyDescent="0.25">
      <c r="A272" s="8">
        <v>45735</v>
      </c>
      <c r="B272" s="9" t="s">
        <v>60</v>
      </c>
      <c r="C272" s="9" t="s">
        <v>61</v>
      </c>
      <c r="D272" s="9" t="s">
        <v>62</v>
      </c>
      <c r="E272" s="10">
        <v>3381.96</v>
      </c>
      <c r="F272" s="10">
        <v>3427.77</v>
      </c>
      <c r="G272" s="10">
        <v>3331.56</v>
      </c>
      <c r="H272" s="10">
        <v>3366.95</v>
      </c>
      <c r="I272" s="11">
        <v>3995998</v>
      </c>
      <c r="J272" s="10">
        <v>4713730000000</v>
      </c>
    </row>
    <row r="273" spans="1:10" x14ac:dyDescent="0.25">
      <c r="A273" s="14">
        <v>45735</v>
      </c>
      <c r="B273" s="15" t="s">
        <v>65</v>
      </c>
      <c r="C273" s="15" t="s">
        <v>66</v>
      </c>
      <c r="D273" s="15" t="s">
        <v>67</v>
      </c>
      <c r="E273" s="16">
        <v>178.13</v>
      </c>
      <c r="F273" s="16">
        <v>179.26</v>
      </c>
      <c r="G273" s="16">
        <v>177.85</v>
      </c>
      <c r="H273" s="16">
        <v>178.39</v>
      </c>
      <c r="I273" s="17">
        <v>4724653</v>
      </c>
      <c r="J273" s="16">
        <v>44597500000</v>
      </c>
    </row>
    <row r="274" spans="1:10" x14ac:dyDescent="0.25">
      <c r="A274" s="8">
        <v>45735</v>
      </c>
      <c r="B274" s="9" t="s">
        <v>69</v>
      </c>
      <c r="C274" s="9" t="s">
        <v>70</v>
      </c>
      <c r="D274" s="9" t="s">
        <v>71</v>
      </c>
      <c r="E274" s="10">
        <v>591.95000000000005</v>
      </c>
      <c r="F274" s="10">
        <v>593.33000000000004</v>
      </c>
      <c r="G274" s="10">
        <v>589.94000000000005</v>
      </c>
      <c r="H274" s="10">
        <v>592.9</v>
      </c>
      <c r="I274" s="11">
        <v>737715</v>
      </c>
      <c r="J274" s="10">
        <v>474320000000</v>
      </c>
    </row>
    <row r="275" spans="1:10" x14ac:dyDescent="0.25">
      <c r="A275" s="14">
        <v>45735</v>
      </c>
      <c r="B275" s="15" t="s">
        <v>73</v>
      </c>
      <c r="C275" s="15" t="s">
        <v>74</v>
      </c>
      <c r="D275" s="15" t="s">
        <v>75</v>
      </c>
      <c r="E275" s="16">
        <v>111.73</v>
      </c>
      <c r="F275" s="16">
        <v>112.88</v>
      </c>
      <c r="G275" s="16">
        <v>110.32</v>
      </c>
      <c r="H275" s="16">
        <v>111.74</v>
      </c>
      <c r="I275" s="17">
        <v>1160585</v>
      </c>
      <c r="J275" s="16">
        <v>24582800000</v>
      </c>
    </row>
    <row r="276" spans="1:10" x14ac:dyDescent="0.25">
      <c r="A276" s="8">
        <v>45735</v>
      </c>
      <c r="B276" s="9" t="s">
        <v>76</v>
      </c>
      <c r="C276" s="9" t="s">
        <v>77</v>
      </c>
      <c r="D276" s="9" t="s">
        <v>75</v>
      </c>
      <c r="E276" s="10">
        <v>150.25</v>
      </c>
      <c r="F276" s="10">
        <v>151.66</v>
      </c>
      <c r="G276" s="10">
        <v>149.88999999999999</v>
      </c>
      <c r="H276" s="10">
        <v>150.16999999999999</v>
      </c>
      <c r="I276" s="11">
        <v>4069162</v>
      </c>
      <c r="J276" s="10">
        <v>30034000000</v>
      </c>
    </row>
    <row r="277" spans="1:10" x14ac:dyDescent="0.25">
      <c r="A277" s="14">
        <v>45736</v>
      </c>
      <c r="B277" s="15" t="s">
        <v>60</v>
      </c>
      <c r="C277" s="15" t="s">
        <v>61</v>
      </c>
      <c r="D277" s="15" t="s">
        <v>62</v>
      </c>
      <c r="E277" s="16">
        <v>3382.54</v>
      </c>
      <c r="F277" s="16">
        <v>3395.19</v>
      </c>
      <c r="G277" s="16">
        <v>3373.98</v>
      </c>
      <c r="H277" s="16">
        <v>3383.26</v>
      </c>
      <c r="I277" s="17">
        <v>2162589</v>
      </c>
      <c r="J277" s="16">
        <v>4736564000000</v>
      </c>
    </row>
    <row r="278" spans="1:10" x14ac:dyDescent="0.25">
      <c r="A278" s="8">
        <v>45736</v>
      </c>
      <c r="B278" s="9" t="s">
        <v>65</v>
      </c>
      <c r="C278" s="9" t="s">
        <v>66</v>
      </c>
      <c r="D278" s="9" t="s">
        <v>67</v>
      </c>
      <c r="E278" s="10">
        <v>180.69</v>
      </c>
      <c r="F278" s="10">
        <v>183.43</v>
      </c>
      <c r="G278" s="10">
        <v>179.33</v>
      </c>
      <c r="H278" s="10">
        <v>180.96</v>
      </c>
      <c r="I278" s="11">
        <v>3437016</v>
      </c>
      <c r="J278" s="10">
        <v>45240000000</v>
      </c>
    </row>
    <row r="279" spans="1:10" x14ac:dyDescent="0.25">
      <c r="A279" s="14">
        <v>45736</v>
      </c>
      <c r="B279" s="15" t="s">
        <v>69</v>
      </c>
      <c r="C279" s="15" t="s">
        <v>70</v>
      </c>
      <c r="D279" s="15" t="s">
        <v>71</v>
      </c>
      <c r="E279" s="16">
        <v>589.12</v>
      </c>
      <c r="F279" s="16">
        <v>590.48</v>
      </c>
      <c r="G279" s="16">
        <v>573.97</v>
      </c>
      <c r="H279" s="16">
        <v>580.16</v>
      </c>
      <c r="I279" s="17">
        <v>536454</v>
      </c>
      <c r="J279" s="16">
        <v>464128000000</v>
      </c>
    </row>
    <row r="280" spans="1:10" x14ac:dyDescent="0.25">
      <c r="A280" s="8">
        <v>45736</v>
      </c>
      <c r="B280" s="9" t="s">
        <v>73</v>
      </c>
      <c r="C280" s="9" t="s">
        <v>74</v>
      </c>
      <c r="D280" s="9" t="s">
        <v>75</v>
      </c>
      <c r="E280" s="10">
        <v>111.44</v>
      </c>
      <c r="F280" s="10">
        <v>111.81</v>
      </c>
      <c r="G280" s="10">
        <v>111.26</v>
      </c>
      <c r="H280" s="10">
        <v>111.34</v>
      </c>
      <c r="I280" s="11">
        <v>621310</v>
      </c>
      <c r="J280" s="10">
        <v>24494800000</v>
      </c>
    </row>
    <row r="281" spans="1:10" x14ac:dyDescent="0.25">
      <c r="A281" s="14">
        <v>45736</v>
      </c>
      <c r="B281" s="15" t="s">
        <v>76</v>
      </c>
      <c r="C281" s="15" t="s">
        <v>77</v>
      </c>
      <c r="D281" s="15" t="s">
        <v>75</v>
      </c>
      <c r="E281" s="16">
        <v>148.21</v>
      </c>
      <c r="F281" s="16">
        <v>148.72</v>
      </c>
      <c r="G281" s="16">
        <v>146.04</v>
      </c>
      <c r="H281" s="16">
        <v>147.91</v>
      </c>
      <c r="I281" s="17">
        <v>1464277</v>
      </c>
      <c r="J281" s="16">
        <v>29582000000</v>
      </c>
    </row>
    <row r="282" spans="1:10" x14ac:dyDescent="0.25">
      <c r="A282" s="8">
        <v>45737</v>
      </c>
      <c r="B282" s="9" t="s">
        <v>60</v>
      </c>
      <c r="C282" s="9" t="s">
        <v>61</v>
      </c>
      <c r="D282" s="9" t="s">
        <v>62</v>
      </c>
      <c r="E282" s="10">
        <v>3387.11</v>
      </c>
      <c r="F282" s="10">
        <v>3417.56</v>
      </c>
      <c r="G282" s="10">
        <v>3343.01</v>
      </c>
      <c r="H282" s="10">
        <v>3344.43</v>
      </c>
      <c r="I282" s="11">
        <v>2109043</v>
      </c>
      <c r="J282" s="10">
        <v>4682202000000</v>
      </c>
    </row>
    <row r="283" spans="1:10" x14ac:dyDescent="0.25">
      <c r="A283" s="14">
        <v>45737</v>
      </c>
      <c r="B283" s="15" t="s">
        <v>65</v>
      </c>
      <c r="C283" s="15" t="s">
        <v>66</v>
      </c>
      <c r="D283" s="15" t="s">
        <v>67</v>
      </c>
      <c r="E283" s="16">
        <v>177.08</v>
      </c>
      <c r="F283" s="16">
        <v>177.99</v>
      </c>
      <c r="G283" s="16">
        <v>175.54</v>
      </c>
      <c r="H283" s="16">
        <v>177.32</v>
      </c>
      <c r="I283" s="17">
        <v>4727268</v>
      </c>
      <c r="J283" s="16">
        <v>44330000000</v>
      </c>
    </row>
    <row r="284" spans="1:10" x14ac:dyDescent="0.25">
      <c r="A284" s="8">
        <v>45737</v>
      </c>
      <c r="B284" s="9" t="s">
        <v>69</v>
      </c>
      <c r="C284" s="9" t="s">
        <v>70</v>
      </c>
      <c r="D284" s="9" t="s">
        <v>71</v>
      </c>
      <c r="E284" s="10">
        <v>566.94000000000005</v>
      </c>
      <c r="F284" s="10">
        <v>570.58000000000004</v>
      </c>
      <c r="G284" s="10">
        <v>566.76</v>
      </c>
      <c r="H284" s="10">
        <v>567.66999999999996</v>
      </c>
      <c r="I284" s="11">
        <v>4134546</v>
      </c>
      <c r="J284" s="10">
        <v>454136000000</v>
      </c>
    </row>
    <row r="285" spans="1:10" x14ac:dyDescent="0.25">
      <c r="A285" s="14">
        <v>45737</v>
      </c>
      <c r="B285" s="15" t="s">
        <v>73</v>
      </c>
      <c r="C285" s="15" t="s">
        <v>74</v>
      </c>
      <c r="D285" s="15" t="s">
        <v>75</v>
      </c>
      <c r="E285" s="16">
        <v>112.21</v>
      </c>
      <c r="F285" s="16">
        <v>113.79</v>
      </c>
      <c r="G285" s="16">
        <v>111.55</v>
      </c>
      <c r="H285" s="16">
        <v>112.67</v>
      </c>
      <c r="I285" s="17">
        <v>4796745</v>
      </c>
      <c r="J285" s="16">
        <v>24787400000</v>
      </c>
    </row>
    <row r="286" spans="1:10" x14ac:dyDescent="0.25">
      <c r="A286" s="8">
        <v>45737</v>
      </c>
      <c r="B286" s="9" t="s">
        <v>76</v>
      </c>
      <c r="C286" s="9" t="s">
        <v>77</v>
      </c>
      <c r="D286" s="9" t="s">
        <v>75</v>
      </c>
      <c r="E286" s="10">
        <v>150.6</v>
      </c>
      <c r="F286" s="10">
        <v>150.75</v>
      </c>
      <c r="G286" s="10">
        <v>150.57</v>
      </c>
      <c r="H286" s="10">
        <v>150.65</v>
      </c>
      <c r="I286" s="11">
        <v>3259635</v>
      </c>
      <c r="J286" s="10">
        <v>30130000000</v>
      </c>
    </row>
    <row r="287" spans="1:10" x14ac:dyDescent="0.25">
      <c r="A287" s="14">
        <v>45740</v>
      </c>
      <c r="B287" s="15" t="s">
        <v>60</v>
      </c>
      <c r="C287" s="15" t="s">
        <v>61</v>
      </c>
      <c r="D287" s="15" t="s">
        <v>85</v>
      </c>
      <c r="E287" s="16">
        <v>3372.99</v>
      </c>
      <c r="F287" s="16">
        <v>3374.65</v>
      </c>
      <c r="G287" s="16">
        <v>3345.03</v>
      </c>
      <c r="H287" s="16">
        <v>3364.71</v>
      </c>
      <c r="I287" s="17">
        <v>1018181</v>
      </c>
      <c r="J287" s="16">
        <v>4710594000000</v>
      </c>
    </row>
    <row r="288" spans="1:10" x14ac:dyDescent="0.25">
      <c r="A288" s="8">
        <v>45740</v>
      </c>
      <c r="B288" s="9" t="s">
        <v>65</v>
      </c>
      <c r="C288" s="9" t="s">
        <v>66</v>
      </c>
      <c r="D288" s="9" t="s">
        <v>67</v>
      </c>
      <c r="E288" s="10">
        <v>180.32</v>
      </c>
      <c r="F288" s="10">
        <v>181.05</v>
      </c>
      <c r="G288" s="10">
        <v>176.02</v>
      </c>
      <c r="H288" s="10">
        <v>178.81</v>
      </c>
      <c r="I288" s="11">
        <v>3575363</v>
      </c>
      <c r="J288" s="10">
        <v>44702500000</v>
      </c>
    </row>
    <row r="289" spans="1:10" x14ac:dyDescent="0.25">
      <c r="A289" s="14">
        <v>45740</v>
      </c>
      <c r="B289" s="15" t="s">
        <v>69</v>
      </c>
      <c r="C289" s="15" t="s">
        <v>70</v>
      </c>
      <c r="D289" s="15" t="s">
        <v>71</v>
      </c>
      <c r="E289" s="16">
        <v>566.61</v>
      </c>
      <c r="F289" s="16">
        <v>567.55999999999995</v>
      </c>
      <c r="G289" s="16">
        <v>565.64</v>
      </c>
      <c r="H289" s="16">
        <v>566.38</v>
      </c>
      <c r="I289" s="17">
        <v>3431487</v>
      </c>
      <c r="J289" s="16">
        <v>453104000000</v>
      </c>
    </row>
    <row r="290" spans="1:10" x14ac:dyDescent="0.25">
      <c r="A290" s="8">
        <v>45740</v>
      </c>
      <c r="B290" s="9" t="s">
        <v>73</v>
      </c>
      <c r="C290" s="9" t="s">
        <v>74</v>
      </c>
      <c r="D290" s="9" t="s">
        <v>75</v>
      </c>
      <c r="E290" s="10">
        <v>112.69</v>
      </c>
      <c r="F290" s="10">
        <v>112.85</v>
      </c>
      <c r="G290" s="10">
        <v>112.49</v>
      </c>
      <c r="H290" s="10">
        <v>112.75</v>
      </c>
      <c r="I290" s="11">
        <v>1169595</v>
      </c>
      <c r="J290" s="10">
        <v>24805000000</v>
      </c>
    </row>
    <row r="291" spans="1:10" x14ac:dyDescent="0.25">
      <c r="A291" s="14">
        <v>45740</v>
      </c>
      <c r="B291" s="15" t="s">
        <v>76</v>
      </c>
      <c r="C291" s="15" t="s">
        <v>77</v>
      </c>
      <c r="D291" s="15" t="s">
        <v>75</v>
      </c>
      <c r="E291" s="16">
        <v>148.66</v>
      </c>
      <c r="F291" s="16">
        <v>148.91999999999999</v>
      </c>
      <c r="G291" s="16">
        <v>146.74</v>
      </c>
      <c r="H291" s="16">
        <v>147.46</v>
      </c>
      <c r="I291" s="17">
        <v>671914</v>
      </c>
      <c r="J291" s="16">
        <v>29492000000</v>
      </c>
    </row>
    <row r="292" spans="1:10" x14ac:dyDescent="0.25">
      <c r="A292" s="8">
        <v>45741</v>
      </c>
      <c r="B292" s="9" t="s">
        <v>60</v>
      </c>
      <c r="C292" s="9" t="s">
        <v>61</v>
      </c>
      <c r="D292" s="9" t="s">
        <v>62</v>
      </c>
      <c r="E292" s="10">
        <v>3337.88</v>
      </c>
      <c r="F292" s="10">
        <v>3357.31</v>
      </c>
      <c r="G292" s="10">
        <v>3306.5</v>
      </c>
      <c r="H292" s="10">
        <v>3341.29</v>
      </c>
      <c r="I292" s="11">
        <v>4314210</v>
      </c>
      <c r="J292" s="10">
        <v>4677806000000</v>
      </c>
    </row>
    <row r="293" spans="1:10" x14ac:dyDescent="0.25">
      <c r="A293" s="14">
        <v>45741</v>
      </c>
      <c r="B293" s="15" t="s">
        <v>65</v>
      </c>
      <c r="C293" s="15" t="s">
        <v>66</v>
      </c>
      <c r="D293" s="15" t="s">
        <v>67</v>
      </c>
      <c r="E293" s="16">
        <v>174.9</v>
      </c>
      <c r="F293" s="16">
        <v>176.63</v>
      </c>
      <c r="G293" s="16">
        <v>173.02</v>
      </c>
      <c r="H293" s="16">
        <v>173.25</v>
      </c>
      <c r="I293" s="17">
        <v>4139294</v>
      </c>
      <c r="J293" s="16">
        <v>43312500000</v>
      </c>
    </row>
    <row r="294" spans="1:10" x14ac:dyDescent="0.25">
      <c r="A294" s="8">
        <v>45741</v>
      </c>
      <c r="B294" s="9" t="s">
        <v>69</v>
      </c>
      <c r="C294" s="9" t="s">
        <v>70</v>
      </c>
      <c r="D294" s="9" t="s">
        <v>71</v>
      </c>
      <c r="E294" s="10">
        <v>572.04</v>
      </c>
      <c r="F294" s="10">
        <v>572.75</v>
      </c>
      <c r="G294" s="10">
        <v>569.6</v>
      </c>
      <c r="H294" s="10">
        <v>570.59</v>
      </c>
      <c r="I294" s="11">
        <v>2901105</v>
      </c>
      <c r="J294" s="10">
        <v>456472000000</v>
      </c>
    </row>
    <row r="295" spans="1:10" x14ac:dyDescent="0.25">
      <c r="A295" s="14">
        <v>45741</v>
      </c>
      <c r="B295" s="15" t="s">
        <v>73</v>
      </c>
      <c r="C295" s="15" t="s">
        <v>74</v>
      </c>
      <c r="D295" s="15" t="s">
        <v>75</v>
      </c>
      <c r="E295" s="16">
        <v>109.37</v>
      </c>
      <c r="F295" s="16">
        <v>111.99</v>
      </c>
      <c r="G295" s="16">
        <v>109.12</v>
      </c>
      <c r="H295" s="16">
        <v>110.68</v>
      </c>
      <c r="I295" s="17">
        <v>2424949</v>
      </c>
      <c r="J295" s="16">
        <v>24349600000</v>
      </c>
    </row>
    <row r="296" spans="1:10" x14ac:dyDescent="0.25">
      <c r="A296" s="8">
        <v>45741</v>
      </c>
      <c r="B296" s="9" t="s">
        <v>76</v>
      </c>
      <c r="C296" s="9" t="s">
        <v>77</v>
      </c>
      <c r="D296" s="9" t="s">
        <v>75</v>
      </c>
      <c r="E296" s="10">
        <v>150.6</v>
      </c>
      <c r="F296" s="10">
        <v>151</v>
      </c>
      <c r="G296" s="10">
        <v>150.06</v>
      </c>
      <c r="H296" s="10">
        <v>150.1</v>
      </c>
      <c r="I296" s="11">
        <v>3084386</v>
      </c>
      <c r="J296" s="10">
        <v>30020000000</v>
      </c>
    </row>
    <row r="297" spans="1:10" x14ac:dyDescent="0.25">
      <c r="A297" s="14">
        <v>45742</v>
      </c>
      <c r="B297" s="15" t="s">
        <v>60</v>
      </c>
      <c r="C297" s="15" t="s">
        <v>61</v>
      </c>
      <c r="D297" s="15" t="s">
        <v>62</v>
      </c>
      <c r="E297" s="16">
        <v>3439.18</v>
      </c>
      <c r="F297" s="16">
        <v>3446.35</v>
      </c>
      <c r="G297" s="16">
        <v>3390.39</v>
      </c>
      <c r="H297" s="16">
        <v>3414.84</v>
      </c>
      <c r="I297" s="17">
        <v>3655625</v>
      </c>
      <c r="J297" s="16">
        <v>4780776000000</v>
      </c>
    </row>
    <row r="298" spans="1:10" x14ac:dyDescent="0.25">
      <c r="A298" s="8">
        <v>45742</v>
      </c>
      <c r="B298" s="9" t="s">
        <v>65</v>
      </c>
      <c r="C298" s="9" t="s">
        <v>66</v>
      </c>
      <c r="D298" s="9" t="s">
        <v>67</v>
      </c>
      <c r="E298" s="10">
        <v>173.05</v>
      </c>
      <c r="F298" s="10">
        <v>175.98</v>
      </c>
      <c r="G298" s="10">
        <v>170.22</v>
      </c>
      <c r="H298" s="10">
        <v>173.08</v>
      </c>
      <c r="I298" s="11">
        <v>4473528</v>
      </c>
      <c r="J298" s="10">
        <v>43270000000</v>
      </c>
    </row>
    <row r="299" spans="1:10" x14ac:dyDescent="0.25">
      <c r="A299" s="14">
        <v>45742</v>
      </c>
      <c r="B299" s="15" t="s">
        <v>69</v>
      </c>
      <c r="C299" s="15" t="s">
        <v>70</v>
      </c>
      <c r="D299" s="15" t="s">
        <v>71</v>
      </c>
      <c r="E299" s="16">
        <v>585.79</v>
      </c>
      <c r="F299" s="16">
        <v>591.41999999999996</v>
      </c>
      <c r="G299" s="16">
        <v>579.59</v>
      </c>
      <c r="H299" s="16">
        <v>582.75</v>
      </c>
      <c r="I299" s="17">
        <v>992995</v>
      </c>
      <c r="J299" s="16">
        <v>466200000000</v>
      </c>
    </row>
    <row r="300" spans="1:10" x14ac:dyDescent="0.25">
      <c r="A300" s="8">
        <v>45742</v>
      </c>
      <c r="B300" s="9" t="s">
        <v>73</v>
      </c>
      <c r="C300" s="9" t="s">
        <v>74</v>
      </c>
      <c r="D300" s="9" t="s">
        <v>75</v>
      </c>
      <c r="E300" s="10">
        <v>110.61</v>
      </c>
      <c r="F300" s="10">
        <v>110.97</v>
      </c>
      <c r="G300" s="10">
        <v>109.29</v>
      </c>
      <c r="H300" s="10">
        <v>110.21</v>
      </c>
      <c r="I300" s="11">
        <v>2994516</v>
      </c>
      <c r="J300" s="10">
        <v>24246200000</v>
      </c>
    </row>
    <row r="301" spans="1:10" x14ac:dyDescent="0.25">
      <c r="A301" s="14">
        <v>45742</v>
      </c>
      <c r="B301" s="15" t="s">
        <v>76</v>
      </c>
      <c r="C301" s="15" t="s">
        <v>77</v>
      </c>
      <c r="D301" s="15" t="s">
        <v>75</v>
      </c>
      <c r="E301" s="16">
        <v>147.62</v>
      </c>
      <c r="F301" s="16">
        <v>148.46</v>
      </c>
      <c r="G301" s="16">
        <v>146.99</v>
      </c>
      <c r="H301" s="16">
        <v>147.41999999999999</v>
      </c>
      <c r="I301" s="17">
        <v>4040612</v>
      </c>
      <c r="J301" s="16">
        <v>29484000000</v>
      </c>
    </row>
    <row r="302" spans="1:10" x14ac:dyDescent="0.25">
      <c r="A302" s="8">
        <v>45743</v>
      </c>
      <c r="B302" s="9" t="s">
        <v>60</v>
      </c>
      <c r="C302" s="9" t="s">
        <v>61</v>
      </c>
      <c r="D302" s="9" t="s">
        <v>62</v>
      </c>
      <c r="E302" s="10">
        <v>3372.38</v>
      </c>
      <c r="F302" s="10">
        <v>3389.47</v>
      </c>
      <c r="G302" s="10">
        <v>3363.1</v>
      </c>
      <c r="H302" s="10">
        <v>3364.22</v>
      </c>
      <c r="I302" s="11">
        <v>3257481</v>
      </c>
      <c r="J302" s="10">
        <v>4709908000000</v>
      </c>
    </row>
    <row r="303" spans="1:10" x14ac:dyDescent="0.25">
      <c r="A303" s="14">
        <v>45743</v>
      </c>
      <c r="B303" s="15" t="s">
        <v>65</v>
      </c>
      <c r="C303" s="15" t="s">
        <v>66</v>
      </c>
      <c r="D303" s="15" t="s">
        <v>67</v>
      </c>
      <c r="E303" s="16">
        <v>170.87</v>
      </c>
      <c r="F303" s="16">
        <v>171.97</v>
      </c>
      <c r="G303" s="16">
        <v>169.91</v>
      </c>
      <c r="H303" s="16">
        <v>171.23</v>
      </c>
      <c r="I303" s="17">
        <v>781154</v>
      </c>
      <c r="J303" s="16">
        <v>42807500000</v>
      </c>
    </row>
    <row r="304" spans="1:10" x14ac:dyDescent="0.25">
      <c r="A304" s="8">
        <v>45743</v>
      </c>
      <c r="B304" s="9" t="s">
        <v>69</v>
      </c>
      <c r="C304" s="9" t="s">
        <v>70</v>
      </c>
      <c r="D304" s="9" t="s">
        <v>71</v>
      </c>
      <c r="E304" s="10">
        <v>593.96</v>
      </c>
      <c r="F304" s="10">
        <v>597.03</v>
      </c>
      <c r="G304" s="10">
        <v>588.38</v>
      </c>
      <c r="H304" s="10">
        <v>594.26</v>
      </c>
      <c r="I304" s="11">
        <v>561226</v>
      </c>
      <c r="J304" s="10">
        <v>475408000000</v>
      </c>
    </row>
    <row r="305" spans="1:10" x14ac:dyDescent="0.25">
      <c r="A305" s="14">
        <v>45743</v>
      </c>
      <c r="B305" s="15" t="s">
        <v>73</v>
      </c>
      <c r="C305" s="15" t="s">
        <v>74</v>
      </c>
      <c r="D305" s="15" t="s">
        <v>75</v>
      </c>
      <c r="E305" s="16">
        <v>112.48</v>
      </c>
      <c r="F305" s="16">
        <v>113.25</v>
      </c>
      <c r="G305" s="16">
        <v>111.52</v>
      </c>
      <c r="H305" s="16">
        <v>112.87</v>
      </c>
      <c r="I305" s="17">
        <v>591914</v>
      </c>
      <c r="J305" s="16">
        <v>24831400000</v>
      </c>
    </row>
    <row r="306" spans="1:10" x14ac:dyDescent="0.25">
      <c r="A306" s="8">
        <v>45743</v>
      </c>
      <c r="B306" s="9" t="s">
        <v>76</v>
      </c>
      <c r="C306" s="9" t="s">
        <v>77</v>
      </c>
      <c r="D306" s="9" t="s">
        <v>75</v>
      </c>
      <c r="E306" s="10">
        <v>148.59</v>
      </c>
      <c r="F306" s="10">
        <v>149.21</v>
      </c>
      <c r="G306" s="10">
        <v>147.9</v>
      </c>
      <c r="H306" s="10">
        <v>149.13999999999999</v>
      </c>
      <c r="I306" s="11">
        <v>571667</v>
      </c>
      <c r="J306" s="10">
        <v>29828000000</v>
      </c>
    </row>
    <row r="307" spans="1:10" x14ac:dyDescent="0.25">
      <c r="A307" s="14">
        <v>45744</v>
      </c>
      <c r="B307" s="15" t="s">
        <v>60</v>
      </c>
      <c r="C307" s="15" t="s">
        <v>61</v>
      </c>
      <c r="D307" s="15" t="s">
        <v>62</v>
      </c>
      <c r="E307" s="16">
        <v>3327.05</v>
      </c>
      <c r="F307" s="16">
        <v>3358.74</v>
      </c>
      <c r="G307" s="16">
        <v>3302.44</v>
      </c>
      <c r="H307" s="16">
        <v>3355.86</v>
      </c>
      <c r="I307" s="17">
        <v>3420674</v>
      </c>
      <c r="J307" s="16">
        <v>4698204000000</v>
      </c>
    </row>
    <row r="308" spans="1:10" x14ac:dyDescent="0.25">
      <c r="A308" s="8">
        <v>45744</v>
      </c>
      <c r="B308" s="9" t="s">
        <v>65</v>
      </c>
      <c r="C308" s="9" t="s">
        <v>66</v>
      </c>
      <c r="D308" s="9" t="s">
        <v>67</v>
      </c>
      <c r="E308" s="10">
        <v>170.3</v>
      </c>
      <c r="F308" s="10">
        <v>170.49</v>
      </c>
      <c r="G308" s="10">
        <v>169.46</v>
      </c>
      <c r="H308" s="10">
        <v>169.78</v>
      </c>
      <c r="I308" s="11">
        <v>2637819</v>
      </c>
      <c r="J308" s="10">
        <v>42445000000</v>
      </c>
    </row>
    <row r="309" spans="1:10" x14ac:dyDescent="0.25">
      <c r="A309" s="14">
        <v>45744</v>
      </c>
      <c r="B309" s="15" t="s">
        <v>69</v>
      </c>
      <c r="C309" s="15" t="s">
        <v>70</v>
      </c>
      <c r="D309" s="15" t="s">
        <v>71</v>
      </c>
      <c r="E309" s="16">
        <v>600.87</v>
      </c>
      <c r="F309" s="16">
        <v>600.88</v>
      </c>
      <c r="G309" s="16">
        <v>598.51</v>
      </c>
      <c r="H309" s="16">
        <v>600.25</v>
      </c>
      <c r="I309" s="17">
        <v>4486284</v>
      </c>
      <c r="J309" s="16">
        <v>480200000000</v>
      </c>
    </row>
    <row r="310" spans="1:10" x14ac:dyDescent="0.25">
      <c r="A310" s="8">
        <v>45744</v>
      </c>
      <c r="B310" s="9" t="s">
        <v>73</v>
      </c>
      <c r="C310" s="9" t="s">
        <v>74</v>
      </c>
      <c r="D310" s="9" t="s">
        <v>75</v>
      </c>
      <c r="E310" s="10">
        <v>109.17</v>
      </c>
      <c r="F310" s="10">
        <v>109.39</v>
      </c>
      <c r="G310" s="10">
        <v>108.06</v>
      </c>
      <c r="H310" s="10">
        <v>109</v>
      </c>
      <c r="I310" s="11">
        <v>2099947</v>
      </c>
      <c r="J310" s="10">
        <v>23980000000</v>
      </c>
    </row>
    <row r="311" spans="1:10" x14ac:dyDescent="0.25">
      <c r="A311" s="14">
        <v>45744</v>
      </c>
      <c r="B311" s="15" t="s">
        <v>76</v>
      </c>
      <c r="C311" s="15" t="s">
        <v>77</v>
      </c>
      <c r="D311" s="15" t="s">
        <v>75</v>
      </c>
      <c r="E311" s="16">
        <v>151.77000000000001</v>
      </c>
      <c r="F311" s="16">
        <v>152.77000000000001</v>
      </c>
      <c r="G311" s="16">
        <v>151.75</v>
      </c>
      <c r="H311" s="16">
        <v>152.68</v>
      </c>
      <c r="I311" s="17">
        <v>4420485</v>
      </c>
      <c r="J311" s="16">
        <v>30536000000</v>
      </c>
    </row>
    <row r="312" spans="1:10" x14ac:dyDescent="0.25">
      <c r="A312" s="8">
        <v>45747</v>
      </c>
      <c r="B312" s="9" t="s">
        <v>60</v>
      </c>
      <c r="C312" s="9" t="s">
        <v>61</v>
      </c>
      <c r="D312" s="9" t="s">
        <v>62</v>
      </c>
      <c r="E312" s="10">
        <v>3364.9</v>
      </c>
      <c r="F312" s="10">
        <v>3378.73</v>
      </c>
      <c r="G312" s="10">
        <v>3350.09</v>
      </c>
      <c r="H312" s="10">
        <v>3370.52</v>
      </c>
      <c r="I312" s="11">
        <v>1036442</v>
      </c>
      <c r="J312" s="10">
        <v>4718728000000</v>
      </c>
    </row>
    <row r="313" spans="1:10" x14ac:dyDescent="0.25">
      <c r="A313" s="14">
        <v>45747</v>
      </c>
      <c r="B313" s="15" t="s">
        <v>65</v>
      </c>
      <c r="C313" s="15" t="s">
        <v>66</v>
      </c>
      <c r="D313" s="15" t="s">
        <v>67</v>
      </c>
      <c r="E313" s="16">
        <v>170.52</v>
      </c>
      <c r="F313" s="16">
        <v>171.85</v>
      </c>
      <c r="G313" s="16">
        <v>167.2</v>
      </c>
      <c r="H313" s="16">
        <v>171.79</v>
      </c>
      <c r="I313" s="17">
        <v>3214414</v>
      </c>
      <c r="J313" s="16">
        <v>42947500000</v>
      </c>
    </row>
    <row r="314" spans="1:10" x14ac:dyDescent="0.25">
      <c r="A314" s="8">
        <v>45747</v>
      </c>
      <c r="B314" s="9" t="s">
        <v>69</v>
      </c>
      <c r="C314" s="9" t="s">
        <v>70</v>
      </c>
      <c r="D314" s="9" t="s">
        <v>71</v>
      </c>
      <c r="E314" s="10">
        <v>597.51</v>
      </c>
      <c r="F314" s="10">
        <v>603.36</v>
      </c>
      <c r="G314" s="10">
        <v>596.5</v>
      </c>
      <c r="H314" s="10">
        <v>597.58000000000004</v>
      </c>
      <c r="I314" s="11">
        <v>1760381</v>
      </c>
      <c r="J314" s="10">
        <v>478064000000</v>
      </c>
    </row>
    <row r="315" spans="1:10" x14ac:dyDescent="0.25">
      <c r="A315" s="14">
        <v>45747</v>
      </c>
      <c r="B315" s="15" t="s">
        <v>73</v>
      </c>
      <c r="C315" s="15" t="s">
        <v>74</v>
      </c>
      <c r="D315" s="15" t="s">
        <v>75</v>
      </c>
      <c r="E315" s="16">
        <v>110.36</v>
      </c>
      <c r="F315" s="16">
        <v>110.65</v>
      </c>
      <c r="G315" s="16">
        <v>109.35</v>
      </c>
      <c r="H315" s="16">
        <v>109.51</v>
      </c>
      <c r="I315" s="17">
        <v>1985945</v>
      </c>
      <c r="J315" s="16">
        <v>24092200000</v>
      </c>
    </row>
    <row r="316" spans="1:10" x14ac:dyDescent="0.25">
      <c r="A316" s="8">
        <v>45747</v>
      </c>
      <c r="B316" s="9" t="s">
        <v>76</v>
      </c>
      <c r="C316" s="9" t="s">
        <v>77</v>
      </c>
      <c r="D316" s="9" t="s">
        <v>75</v>
      </c>
      <c r="E316" s="10">
        <v>153.15</v>
      </c>
      <c r="F316" s="10">
        <v>154.02000000000001</v>
      </c>
      <c r="G316" s="10">
        <v>151.99</v>
      </c>
      <c r="H316" s="10">
        <v>153.15</v>
      </c>
      <c r="I316" s="11">
        <v>4220884</v>
      </c>
      <c r="J316" s="10">
        <v>30630000000</v>
      </c>
    </row>
    <row r="317" spans="1:10" x14ac:dyDescent="0.25">
      <c r="A317" s="14">
        <v>45748</v>
      </c>
      <c r="B317" s="15" t="s">
        <v>60</v>
      </c>
      <c r="C317" s="15" t="s">
        <v>61</v>
      </c>
      <c r="D317" s="15" t="s">
        <v>62</v>
      </c>
      <c r="E317" s="16">
        <v>3372.99</v>
      </c>
      <c r="F317" s="16">
        <v>3384.3</v>
      </c>
      <c r="G317" s="16">
        <v>3340.74</v>
      </c>
      <c r="H317" s="16">
        <v>3367.4</v>
      </c>
      <c r="I317" s="17">
        <v>1023227</v>
      </c>
      <c r="J317" s="16">
        <v>4714360000000</v>
      </c>
    </row>
    <row r="318" spans="1:10" x14ac:dyDescent="0.25">
      <c r="A318" s="8">
        <v>45748</v>
      </c>
      <c r="B318" s="9" t="s">
        <v>65</v>
      </c>
      <c r="C318" s="9" t="s">
        <v>66</v>
      </c>
      <c r="D318" s="9" t="s">
        <v>67</v>
      </c>
      <c r="E318" s="10">
        <v>174.2</v>
      </c>
      <c r="F318" s="10">
        <v>174.76</v>
      </c>
      <c r="G318" s="10">
        <v>173.87</v>
      </c>
      <c r="H318" s="10">
        <v>174.24</v>
      </c>
      <c r="I318" s="11">
        <v>3734577</v>
      </c>
      <c r="J318" s="10">
        <v>43560000000</v>
      </c>
    </row>
    <row r="319" spans="1:10" x14ac:dyDescent="0.25">
      <c r="A319" s="14">
        <v>45748</v>
      </c>
      <c r="B319" s="15" t="s">
        <v>69</v>
      </c>
      <c r="C319" s="15" t="s">
        <v>70</v>
      </c>
      <c r="D319" s="15" t="s">
        <v>71</v>
      </c>
      <c r="E319" s="16">
        <v>587.69000000000005</v>
      </c>
      <c r="F319" s="16">
        <v>588.51</v>
      </c>
      <c r="G319" s="16">
        <v>586.04</v>
      </c>
      <c r="H319" s="16">
        <v>588.44000000000005</v>
      </c>
      <c r="I319" s="17">
        <v>922141</v>
      </c>
      <c r="J319" s="16">
        <v>470752000000</v>
      </c>
    </row>
    <row r="320" spans="1:10" x14ac:dyDescent="0.25">
      <c r="A320" s="8">
        <v>45748</v>
      </c>
      <c r="B320" s="9" t="s">
        <v>73</v>
      </c>
      <c r="C320" s="9" t="s">
        <v>74</v>
      </c>
      <c r="D320" s="9" t="s">
        <v>75</v>
      </c>
      <c r="E320" s="10">
        <v>107.17</v>
      </c>
      <c r="F320" s="10">
        <v>107.57</v>
      </c>
      <c r="G320" s="10">
        <v>106.19</v>
      </c>
      <c r="H320" s="10">
        <v>107.27</v>
      </c>
      <c r="I320" s="11">
        <v>1826417</v>
      </c>
      <c r="J320" s="10">
        <v>23599400000</v>
      </c>
    </row>
    <row r="321" spans="1:10" x14ac:dyDescent="0.25">
      <c r="A321" s="14">
        <v>45748</v>
      </c>
      <c r="B321" s="15" t="s">
        <v>76</v>
      </c>
      <c r="C321" s="15" t="s">
        <v>77</v>
      </c>
      <c r="D321" s="15" t="s">
        <v>75</v>
      </c>
      <c r="E321" s="16">
        <v>157.09</v>
      </c>
      <c r="F321" s="16">
        <v>157.16</v>
      </c>
      <c r="G321" s="16">
        <v>156.43</v>
      </c>
      <c r="H321" s="16">
        <v>156.80000000000001</v>
      </c>
      <c r="I321" s="17">
        <v>764836</v>
      </c>
      <c r="J321" s="16">
        <v>31360000000</v>
      </c>
    </row>
    <row r="322" spans="1:10" x14ac:dyDescent="0.25">
      <c r="A322" s="8">
        <v>45749</v>
      </c>
      <c r="B322" s="9" t="s">
        <v>60</v>
      </c>
      <c r="C322" s="9" t="s">
        <v>61</v>
      </c>
      <c r="D322" s="9" t="s">
        <v>62</v>
      </c>
      <c r="E322" s="10">
        <v>3397.94</v>
      </c>
      <c r="F322" s="10">
        <v>3426.58</v>
      </c>
      <c r="G322" s="10">
        <v>3392.55</v>
      </c>
      <c r="H322" s="10">
        <v>3424.36</v>
      </c>
      <c r="I322" s="11">
        <v>2191381</v>
      </c>
      <c r="J322" s="10">
        <v>4794104000000</v>
      </c>
    </row>
    <row r="323" spans="1:10" x14ac:dyDescent="0.25">
      <c r="A323" s="14">
        <v>45749</v>
      </c>
      <c r="B323" s="15" t="s">
        <v>65</v>
      </c>
      <c r="C323" s="15" t="s">
        <v>66</v>
      </c>
      <c r="D323" s="15" t="s">
        <v>67</v>
      </c>
      <c r="E323" s="16">
        <v>175.74</v>
      </c>
      <c r="F323" s="16">
        <v>177.64</v>
      </c>
      <c r="G323" s="16">
        <v>172.99</v>
      </c>
      <c r="H323" s="16">
        <v>177.15</v>
      </c>
      <c r="I323" s="17">
        <v>961524</v>
      </c>
      <c r="J323" s="16">
        <v>44287500000</v>
      </c>
    </row>
    <row r="324" spans="1:10" x14ac:dyDescent="0.25">
      <c r="A324" s="8">
        <v>45749</v>
      </c>
      <c r="B324" s="9" t="s">
        <v>69</v>
      </c>
      <c r="C324" s="9" t="s">
        <v>70</v>
      </c>
      <c r="D324" s="9" t="s">
        <v>71</v>
      </c>
      <c r="E324" s="10">
        <v>588.51</v>
      </c>
      <c r="F324" s="10">
        <v>595.19000000000005</v>
      </c>
      <c r="G324" s="10">
        <v>586.20000000000005</v>
      </c>
      <c r="H324" s="10">
        <v>588.91999999999996</v>
      </c>
      <c r="I324" s="11">
        <v>4775138</v>
      </c>
      <c r="J324" s="10">
        <v>471136000000</v>
      </c>
    </row>
    <row r="325" spans="1:10" x14ac:dyDescent="0.25">
      <c r="A325" s="14">
        <v>45749</v>
      </c>
      <c r="B325" s="15" t="s">
        <v>73</v>
      </c>
      <c r="C325" s="15" t="s">
        <v>74</v>
      </c>
      <c r="D325" s="15" t="s">
        <v>75</v>
      </c>
      <c r="E325" s="16">
        <v>107.03</v>
      </c>
      <c r="F325" s="16">
        <v>108.05</v>
      </c>
      <c r="G325" s="16">
        <v>106.35</v>
      </c>
      <c r="H325" s="16">
        <v>107.36</v>
      </c>
      <c r="I325" s="17">
        <v>1593475</v>
      </c>
      <c r="J325" s="16">
        <v>23619200000</v>
      </c>
    </row>
    <row r="326" spans="1:10" x14ac:dyDescent="0.25">
      <c r="A326" s="8">
        <v>45749</v>
      </c>
      <c r="B326" s="9" t="s">
        <v>76</v>
      </c>
      <c r="C326" s="9" t="s">
        <v>77</v>
      </c>
      <c r="D326" s="9" t="s">
        <v>75</v>
      </c>
      <c r="E326" s="10">
        <v>158.4</v>
      </c>
      <c r="F326" s="10">
        <v>159.96</v>
      </c>
      <c r="G326" s="10">
        <v>157.46</v>
      </c>
      <c r="H326" s="10">
        <v>159.77000000000001</v>
      </c>
      <c r="I326" s="11">
        <v>645562</v>
      </c>
      <c r="J326" s="10">
        <v>31954000000</v>
      </c>
    </row>
    <row r="327" spans="1:10" x14ac:dyDescent="0.25">
      <c r="A327" s="14">
        <v>45750</v>
      </c>
      <c r="B327" s="15" t="s">
        <v>60</v>
      </c>
      <c r="C327" s="15" t="s">
        <v>61</v>
      </c>
      <c r="D327" s="15" t="s">
        <v>62</v>
      </c>
      <c r="E327" s="16">
        <v>3398.12</v>
      </c>
      <c r="F327" s="16">
        <v>3401.09</v>
      </c>
      <c r="G327" s="16">
        <v>3392.31</v>
      </c>
      <c r="H327" s="16">
        <v>3392.71</v>
      </c>
      <c r="I327" s="17">
        <v>2520094</v>
      </c>
      <c r="J327" s="16">
        <v>4749794000000</v>
      </c>
    </row>
    <row r="328" spans="1:10" x14ac:dyDescent="0.25">
      <c r="A328" s="8">
        <v>45750</v>
      </c>
      <c r="B328" s="9" t="s">
        <v>65</v>
      </c>
      <c r="C328" s="9" t="s">
        <v>66</v>
      </c>
      <c r="D328" s="9" t="s">
        <v>67</v>
      </c>
      <c r="E328" s="10">
        <v>174.55</v>
      </c>
      <c r="F328" s="10">
        <v>176.49</v>
      </c>
      <c r="G328" s="10">
        <v>172.82</v>
      </c>
      <c r="H328" s="10">
        <v>174.65</v>
      </c>
      <c r="I328" s="11">
        <v>4876635</v>
      </c>
      <c r="J328" s="10">
        <v>43662500000</v>
      </c>
    </row>
    <row r="329" spans="1:10" x14ac:dyDescent="0.25">
      <c r="A329" s="14">
        <v>45750</v>
      </c>
      <c r="B329" s="15" t="s">
        <v>69</v>
      </c>
      <c r="C329" s="15" t="s">
        <v>70</v>
      </c>
      <c r="D329" s="15" t="s">
        <v>71</v>
      </c>
      <c r="E329" s="16">
        <v>595.35</v>
      </c>
      <c r="F329" s="16">
        <v>598.29</v>
      </c>
      <c r="G329" s="16">
        <v>583.79</v>
      </c>
      <c r="H329" s="16">
        <v>590.79</v>
      </c>
      <c r="I329" s="17">
        <v>3706551</v>
      </c>
      <c r="J329" s="16">
        <v>472632000000</v>
      </c>
    </row>
    <row r="330" spans="1:10" x14ac:dyDescent="0.25">
      <c r="A330" s="8">
        <v>45750</v>
      </c>
      <c r="B330" s="9" t="s">
        <v>73</v>
      </c>
      <c r="C330" s="9" t="s">
        <v>74</v>
      </c>
      <c r="D330" s="9" t="s">
        <v>75</v>
      </c>
      <c r="E330" s="10">
        <v>107.2</v>
      </c>
      <c r="F330" s="10">
        <v>107.52</v>
      </c>
      <c r="G330" s="10">
        <v>106.34</v>
      </c>
      <c r="H330" s="10">
        <v>106.91</v>
      </c>
      <c r="I330" s="11">
        <v>2011469</v>
      </c>
      <c r="J330" s="10">
        <v>23520200000</v>
      </c>
    </row>
    <row r="331" spans="1:10" x14ac:dyDescent="0.25">
      <c r="A331" s="14">
        <v>45750</v>
      </c>
      <c r="B331" s="15" t="s">
        <v>76</v>
      </c>
      <c r="C331" s="15" t="s">
        <v>77</v>
      </c>
      <c r="D331" s="15" t="s">
        <v>75</v>
      </c>
      <c r="E331" s="16">
        <v>160.75</v>
      </c>
      <c r="F331" s="16">
        <v>161.13</v>
      </c>
      <c r="G331" s="16">
        <v>160.15</v>
      </c>
      <c r="H331" s="16">
        <v>160.99</v>
      </c>
      <c r="I331" s="17">
        <v>2978620</v>
      </c>
      <c r="J331" s="16">
        <v>32198000000</v>
      </c>
    </row>
    <row r="332" spans="1:10" x14ac:dyDescent="0.25">
      <c r="A332" s="8">
        <v>45751</v>
      </c>
      <c r="B332" s="9" t="s">
        <v>60</v>
      </c>
      <c r="C332" s="9" t="s">
        <v>61</v>
      </c>
      <c r="D332" s="9" t="s">
        <v>62</v>
      </c>
      <c r="E332" s="10">
        <v>3383.37</v>
      </c>
      <c r="F332" s="10">
        <v>3436.85</v>
      </c>
      <c r="G332" s="10">
        <v>3369.21</v>
      </c>
      <c r="H332" s="10">
        <v>3394.27</v>
      </c>
      <c r="I332" s="11">
        <v>1190735</v>
      </c>
      <c r="J332" s="10">
        <v>4751978000000</v>
      </c>
    </row>
    <row r="333" spans="1:10" x14ac:dyDescent="0.25">
      <c r="A333" s="14">
        <v>45751</v>
      </c>
      <c r="B333" s="15" t="s">
        <v>65</v>
      </c>
      <c r="C333" s="15" t="s">
        <v>66</v>
      </c>
      <c r="D333" s="15" t="s">
        <v>67</v>
      </c>
      <c r="E333" s="16">
        <v>174.47</v>
      </c>
      <c r="F333" s="16">
        <v>175.13</v>
      </c>
      <c r="G333" s="16">
        <v>173.05</v>
      </c>
      <c r="H333" s="16">
        <v>173.61</v>
      </c>
      <c r="I333" s="17">
        <v>2379694</v>
      </c>
      <c r="J333" s="16">
        <v>43402500000</v>
      </c>
    </row>
    <row r="334" spans="1:10" x14ac:dyDescent="0.25">
      <c r="A334" s="8">
        <v>45751</v>
      </c>
      <c r="B334" s="9" t="s">
        <v>69</v>
      </c>
      <c r="C334" s="9" t="s">
        <v>70</v>
      </c>
      <c r="D334" s="9" t="s">
        <v>71</v>
      </c>
      <c r="E334" s="10">
        <v>592.72</v>
      </c>
      <c r="F334" s="10">
        <v>593.9</v>
      </c>
      <c r="G334" s="10">
        <v>583.79999999999995</v>
      </c>
      <c r="H334" s="10">
        <v>588.02</v>
      </c>
      <c r="I334" s="11">
        <v>1639657</v>
      </c>
      <c r="J334" s="10">
        <v>470416000000</v>
      </c>
    </row>
    <row r="335" spans="1:10" x14ac:dyDescent="0.25">
      <c r="A335" s="14">
        <v>45751</v>
      </c>
      <c r="B335" s="15" t="s">
        <v>73</v>
      </c>
      <c r="C335" s="15" t="s">
        <v>74</v>
      </c>
      <c r="D335" s="15" t="s">
        <v>75</v>
      </c>
      <c r="E335" s="16">
        <v>105.85</v>
      </c>
      <c r="F335" s="16">
        <v>106.62</v>
      </c>
      <c r="G335" s="16">
        <v>104.03</v>
      </c>
      <c r="H335" s="16">
        <v>105.9</v>
      </c>
      <c r="I335" s="17">
        <v>1892443</v>
      </c>
      <c r="J335" s="16">
        <v>23298000000</v>
      </c>
    </row>
    <row r="336" spans="1:10" x14ac:dyDescent="0.25">
      <c r="A336" s="8">
        <v>45751</v>
      </c>
      <c r="B336" s="9" t="s">
        <v>76</v>
      </c>
      <c r="C336" s="9" t="s">
        <v>77</v>
      </c>
      <c r="D336" s="9" t="s">
        <v>75</v>
      </c>
      <c r="E336" s="10">
        <v>161.26</v>
      </c>
      <c r="F336" s="10">
        <v>162.77000000000001</v>
      </c>
      <c r="G336" s="10">
        <v>159.75</v>
      </c>
      <c r="H336" s="10">
        <v>160.68</v>
      </c>
      <c r="I336" s="11">
        <v>494416</v>
      </c>
      <c r="J336" s="10">
        <v>32136000000</v>
      </c>
    </row>
    <row r="337" spans="1:10" x14ac:dyDescent="0.25">
      <c r="A337" s="14">
        <v>45754</v>
      </c>
      <c r="B337" s="15" t="s">
        <v>60</v>
      </c>
      <c r="C337" s="15" t="s">
        <v>61</v>
      </c>
      <c r="D337" s="15" t="s">
        <v>62</v>
      </c>
      <c r="E337" s="16">
        <v>3389.42</v>
      </c>
      <c r="F337" s="16">
        <v>3412.3</v>
      </c>
      <c r="G337" s="16">
        <v>3374.89</v>
      </c>
      <c r="H337" s="16">
        <v>3391.99</v>
      </c>
      <c r="I337" s="17">
        <v>2319378</v>
      </c>
      <c r="J337" s="16">
        <v>4748786000000</v>
      </c>
    </row>
    <row r="338" spans="1:10" x14ac:dyDescent="0.25">
      <c r="A338" s="8">
        <v>45754</v>
      </c>
      <c r="B338" s="9" t="s">
        <v>65</v>
      </c>
      <c r="C338" s="9" t="s">
        <v>66</v>
      </c>
      <c r="D338" s="9" t="s">
        <v>67</v>
      </c>
      <c r="E338" s="10">
        <v>174.17</v>
      </c>
      <c r="F338" s="10">
        <v>175.44</v>
      </c>
      <c r="G338" s="10">
        <v>172.62</v>
      </c>
      <c r="H338" s="10">
        <v>175.11</v>
      </c>
      <c r="I338" s="11">
        <v>4247568</v>
      </c>
      <c r="J338" s="10">
        <v>43777500000</v>
      </c>
    </row>
    <row r="339" spans="1:10" x14ac:dyDescent="0.25">
      <c r="A339" s="14">
        <v>45754</v>
      </c>
      <c r="B339" s="15" t="s">
        <v>69</v>
      </c>
      <c r="C339" s="15" t="s">
        <v>70</v>
      </c>
      <c r="D339" s="15" t="s">
        <v>71</v>
      </c>
      <c r="E339" s="16">
        <v>591.36</v>
      </c>
      <c r="F339" s="16">
        <v>591.5</v>
      </c>
      <c r="G339" s="16">
        <v>590.77</v>
      </c>
      <c r="H339" s="16">
        <v>590.85</v>
      </c>
      <c r="I339" s="17">
        <v>1423527</v>
      </c>
      <c r="J339" s="16">
        <v>472680000000</v>
      </c>
    </row>
    <row r="340" spans="1:10" x14ac:dyDescent="0.25">
      <c r="A340" s="8">
        <v>45754</v>
      </c>
      <c r="B340" s="9" t="s">
        <v>73</v>
      </c>
      <c r="C340" s="9" t="s">
        <v>74</v>
      </c>
      <c r="D340" s="9" t="s">
        <v>75</v>
      </c>
      <c r="E340" s="10">
        <v>107.82</v>
      </c>
      <c r="F340" s="10">
        <v>108.76</v>
      </c>
      <c r="G340" s="10">
        <v>107.75</v>
      </c>
      <c r="H340" s="10">
        <v>108.15</v>
      </c>
      <c r="I340" s="11">
        <v>1932887</v>
      </c>
      <c r="J340" s="10">
        <v>23793000000</v>
      </c>
    </row>
    <row r="341" spans="1:10" x14ac:dyDescent="0.25">
      <c r="A341" s="14">
        <v>45754</v>
      </c>
      <c r="B341" s="15" t="s">
        <v>76</v>
      </c>
      <c r="C341" s="15" t="s">
        <v>77</v>
      </c>
      <c r="D341" s="15" t="s">
        <v>75</v>
      </c>
      <c r="E341" s="16">
        <v>158.41999999999999</v>
      </c>
      <c r="F341" s="16">
        <v>159.1</v>
      </c>
      <c r="G341" s="16">
        <v>157.62</v>
      </c>
      <c r="H341" s="16">
        <v>158.19</v>
      </c>
      <c r="I341" s="17">
        <v>4077846</v>
      </c>
      <c r="J341" s="16">
        <v>31638000000</v>
      </c>
    </row>
    <row r="342" spans="1:10" x14ac:dyDescent="0.25">
      <c r="A342" s="8">
        <v>45755</v>
      </c>
      <c r="B342" s="9" t="s">
        <v>60</v>
      </c>
      <c r="C342" s="9" t="s">
        <v>61</v>
      </c>
      <c r="D342" s="9" t="s">
        <v>62</v>
      </c>
      <c r="E342" s="10">
        <v>3396.39</v>
      </c>
      <c r="F342" s="10">
        <v>3418.31</v>
      </c>
      <c r="G342" s="10">
        <v>3355.45</v>
      </c>
      <c r="H342" s="10">
        <v>3362.92</v>
      </c>
      <c r="I342" s="11">
        <v>1111023</v>
      </c>
      <c r="J342" s="10">
        <v>4708088000000</v>
      </c>
    </row>
    <row r="343" spans="1:10" x14ac:dyDescent="0.25">
      <c r="A343" s="14">
        <v>45755</v>
      </c>
      <c r="B343" s="15" t="s">
        <v>65</v>
      </c>
      <c r="C343" s="15" t="s">
        <v>66</v>
      </c>
      <c r="D343" s="15" t="s">
        <v>67</v>
      </c>
      <c r="E343" s="16">
        <v>174.87</v>
      </c>
      <c r="F343" s="16">
        <v>176.83</v>
      </c>
      <c r="G343" s="16">
        <v>173.33</v>
      </c>
      <c r="H343" s="16">
        <v>174.52</v>
      </c>
      <c r="I343" s="17">
        <v>3366928</v>
      </c>
      <c r="J343" s="16">
        <v>43630000000</v>
      </c>
    </row>
    <row r="344" spans="1:10" x14ac:dyDescent="0.25">
      <c r="A344" s="8">
        <v>45755</v>
      </c>
      <c r="B344" s="9" t="s">
        <v>69</v>
      </c>
      <c r="C344" s="9" t="s">
        <v>70</v>
      </c>
      <c r="D344" s="9" t="s">
        <v>71</v>
      </c>
      <c r="E344" s="10">
        <v>591.15</v>
      </c>
      <c r="F344" s="10">
        <v>594.29999999999995</v>
      </c>
      <c r="G344" s="10">
        <v>585.59</v>
      </c>
      <c r="H344" s="10">
        <v>585.98</v>
      </c>
      <c r="I344" s="11">
        <v>1449544</v>
      </c>
      <c r="J344" s="10">
        <v>468784000000</v>
      </c>
    </row>
    <row r="345" spans="1:10" x14ac:dyDescent="0.25">
      <c r="A345" s="14">
        <v>45755</v>
      </c>
      <c r="B345" s="15" t="s">
        <v>73</v>
      </c>
      <c r="C345" s="15" t="s">
        <v>74</v>
      </c>
      <c r="D345" s="15" t="s">
        <v>75</v>
      </c>
      <c r="E345" s="16">
        <v>108.06</v>
      </c>
      <c r="F345" s="16">
        <v>108.41</v>
      </c>
      <c r="G345" s="16">
        <v>106.54</v>
      </c>
      <c r="H345" s="16">
        <v>107.51</v>
      </c>
      <c r="I345" s="17">
        <v>1549404</v>
      </c>
      <c r="J345" s="16">
        <v>23652200000</v>
      </c>
    </row>
    <row r="346" spans="1:10" x14ac:dyDescent="0.25">
      <c r="A346" s="8">
        <v>45755</v>
      </c>
      <c r="B346" s="9" t="s">
        <v>76</v>
      </c>
      <c r="C346" s="9" t="s">
        <v>77</v>
      </c>
      <c r="D346" s="9" t="s">
        <v>75</v>
      </c>
      <c r="E346" s="10">
        <v>155.97999999999999</v>
      </c>
      <c r="F346" s="10">
        <v>156.91</v>
      </c>
      <c r="G346" s="10">
        <v>155.16999999999999</v>
      </c>
      <c r="H346" s="10">
        <v>155.44999999999999</v>
      </c>
      <c r="I346" s="11">
        <v>2810159</v>
      </c>
      <c r="J346" s="10">
        <v>31090000000</v>
      </c>
    </row>
    <row r="347" spans="1:10" x14ac:dyDescent="0.25">
      <c r="A347" s="14">
        <v>45756</v>
      </c>
      <c r="B347" s="15" t="s">
        <v>60</v>
      </c>
      <c r="C347" s="15" t="s">
        <v>61</v>
      </c>
      <c r="D347" s="15" t="s">
        <v>62</v>
      </c>
      <c r="E347" s="16">
        <v>3424.93</v>
      </c>
      <c r="F347" s="16">
        <v>3452.04</v>
      </c>
      <c r="G347" s="16">
        <v>3406.82</v>
      </c>
      <c r="H347" s="16">
        <v>3429.87</v>
      </c>
      <c r="I347" s="17">
        <v>4409131</v>
      </c>
      <c r="J347" s="16">
        <v>4801818000000</v>
      </c>
    </row>
    <row r="348" spans="1:10" x14ac:dyDescent="0.25">
      <c r="A348" s="8">
        <v>45756</v>
      </c>
      <c r="B348" s="9" t="s">
        <v>65</v>
      </c>
      <c r="C348" s="9" t="s">
        <v>66</v>
      </c>
      <c r="D348" s="9" t="s">
        <v>67</v>
      </c>
      <c r="E348" s="10">
        <v>173.99</v>
      </c>
      <c r="F348" s="10">
        <v>175.13</v>
      </c>
      <c r="G348" s="10">
        <v>173.45</v>
      </c>
      <c r="H348" s="10">
        <v>174.58</v>
      </c>
      <c r="I348" s="11">
        <v>3794193</v>
      </c>
      <c r="J348" s="10">
        <v>43645000000</v>
      </c>
    </row>
    <row r="349" spans="1:10" x14ac:dyDescent="0.25">
      <c r="A349" s="14">
        <v>45756</v>
      </c>
      <c r="B349" s="15" t="s">
        <v>69</v>
      </c>
      <c r="C349" s="15" t="s">
        <v>70</v>
      </c>
      <c r="D349" s="15" t="s">
        <v>71</v>
      </c>
      <c r="E349" s="16">
        <v>578.38</v>
      </c>
      <c r="F349" s="16">
        <v>585.52</v>
      </c>
      <c r="G349" s="16">
        <v>574.23</v>
      </c>
      <c r="H349" s="16">
        <v>582.41999999999996</v>
      </c>
      <c r="I349" s="17">
        <v>523532</v>
      </c>
      <c r="J349" s="16">
        <v>465936000000</v>
      </c>
    </row>
    <row r="350" spans="1:10" x14ac:dyDescent="0.25">
      <c r="A350" s="8">
        <v>45756</v>
      </c>
      <c r="B350" s="9" t="s">
        <v>73</v>
      </c>
      <c r="C350" s="9" t="s">
        <v>74</v>
      </c>
      <c r="D350" s="9" t="s">
        <v>75</v>
      </c>
      <c r="E350" s="10">
        <v>106.49</v>
      </c>
      <c r="F350" s="10">
        <v>106.87</v>
      </c>
      <c r="G350" s="10">
        <v>105.22</v>
      </c>
      <c r="H350" s="10">
        <v>106.17</v>
      </c>
      <c r="I350" s="11">
        <v>2208770</v>
      </c>
      <c r="J350" s="10">
        <v>23357400000</v>
      </c>
    </row>
    <row r="351" spans="1:10" x14ac:dyDescent="0.25">
      <c r="A351" s="14">
        <v>45756</v>
      </c>
      <c r="B351" s="15" t="s">
        <v>76</v>
      </c>
      <c r="C351" s="15" t="s">
        <v>77</v>
      </c>
      <c r="D351" s="15" t="s">
        <v>75</v>
      </c>
      <c r="E351" s="16">
        <v>150.31</v>
      </c>
      <c r="F351" s="16">
        <v>150.59</v>
      </c>
      <c r="G351" s="16">
        <v>148.74</v>
      </c>
      <c r="H351" s="16">
        <v>149.06</v>
      </c>
      <c r="I351" s="17">
        <v>3489267</v>
      </c>
      <c r="J351" s="16">
        <v>29812000000</v>
      </c>
    </row>
    <row r="352" spans="1:10" x14ac:dyDescent="0.25">
      <c r="A352" s="8">
        <v>45757</v>
      </c>
      <c r="B352" s="9" t="s">
        <v>60</v>
      </c>
      <c r="C352" s="9" t="s">
        <v>61</v>
      </c>
      <c r="D352" s="9" t="s">
        <v>62</v>
      </c>
      <c r="E352" s="10">
        <v>3477.13</v>
      </c>
      <c r="F352" s="10">
        <v>3510.79</v>
      </c>
      <c r="G352" s="10">
        <v>3410.77</v>
      </c>
      <c r="H352" s="10">
        <v>3421.76</v>
      </c>
      <c r="I352" s="11">
        <v>458858</v>
      </c>
      <c r="J352" s="10">
        <v>4790464000000</v>
      </c>
    </row>
    <row r="353" spans="1:10" x14ac:dyDescent="0.25">
      <c r="A353" s="14">
        <v>45757</v>
      </c>
      <c r="B353" s="15" t="s">
        <v>65</v>
      </c>
      <c r="C353" s="15" t="s">
        <v>66</v>
      </c>
      <c r="D353" s="15" t="s">
        <v>67</v>
      </c>
      <c r="E353" s="16">
        <v>175.87</v>
      </c>
      <c r="F353" s="16">
        <v>177.24</v>
      </c>
      <c r="G353" s="16">
        <v>175.34</v>
      </c>
      <c r="H353" s="16">
        <v>176.12</v>
      </c>
      <c r="I353" s="17">
        <v>2010367</v>
      </c>
      <c r="J353" s="16">
        <v>44030000000</v>
      </c>
    </row>
    <row r="354" spans="1:10" x14ac:dyDescent="0.25">
      <c r="A354" s="8">
        <v>45757</v>
      </c>
      <c r="B354" s="9" t="s">
        <v>69</v>
      </c>
      <c r="C354" s="9" t="s">
        <v>70</v>
      </c>
      <c r="D354" s="9" t="s">
        <v>71</v>
      </c>
      <c r="E354" s="10">
        <v>569.78</v>
      </c>
      <c r="F354" s="10">
        <v>573.98</v>
      </c>
      <c r="G354" s="10">
        <v>561.65</v>
      </c>
      <c r="H354" s="10">
        <v>570.72</v>
      </c>
      <c r="I354" s="11">
        <v>822453</v>
      </c>
      <c r="J354" s="10">
        <v>456576000000</v>
      </c>
    </row>
    <row r="355" spans="1:10" x14ac:dyDescent="0.25">
      <c r="A355" s="14">
        <v>45757</v>
      </c>
      <c r="B355" s="15" t="s">
        <v>73</v>
      </c>
      <c r="C355" s="15" t="s">
        <v>74</v>
      </c>
      <c r="D355" s="15" t="s">
        <v>75</v>
      </c>
      <c r="E355" s="16">
        <v>104.64</v>
      </c>
      <c r="F355" s="16">
        <v>104.92</v>
      </c>
      <c r="G355" s="16">
        <v>103.67</v>
      </c>
      <c r="H355" s="16">
        <v>104.37</v>
      </c>
      <c r="I355" s="17">
        <v>4312866</v>
      </c>
      <c r="J355" s="16">
        <v>22961400000</v>
      </c>
    </row>
    <row r="356" spans="1:10" x14ac:dyDescent="0.25">
      <c r="A356" s="8">
        <v>45757</v>
      </c>
      <c r="B356" s="9" t="s">
        <v>76</v>
      </c>
      <c r="C356" s="9" t="s">
        <v>77</v>
      </c>
      <c r="D356" s="9" t="s">
        <v>75</v>
      </c>
      <c r="E356" s="10">
        <v>147.16999999999999</v>
      </c>
      <c r="F356" s="10">
        <v>147.33000000000001</v>
      </c>
      <c r="G356" s="10">
        <v>145.96</v>
      </c>
      <c r="H356" s="10">
        <v>146.43</v>
      </c>
      <c r="I356" s="11">
        <v>3271974</v>
      </c>
      <c r="J356" s="10">
        <v>29286000000</v>
      </c>
    </row>
    <row r="357" spans="1:10" x14ac:dyDescent="0.25">
      <c r="A357" s="14">
        <v>45758</v>
      </c>
      <c r="B357" s="15" t="s">
        <v>60</v>
      </c>
      <c r="C357" s="15" t="s">
        <v>61</v>
      </c>
      <c r="D357" s="15" t="s">
        <v>62</v>
      </c>
      <c r="E357" s="16">
        <v>3522.71</v>
      </c>
      <c r="F357" s="16">
        <v>3548.16</v>
      </c>
      <c r="G357" s="16">
        <v>3472.07</v>
      </c>
      <c r="H357" s="16">
        <v>3523.87</v>
      </c>
      <c r="I357" s="17">
        <v>2517630</v>
      </c>
      <c r="J357" s="16">
        <v>4933418000000</v>
      </c>
    </row>
    <row r="358" spans="1:10" x14ac:dyDescent="0.25">
      <c r="A358" s="8">
        <v>45758</v>
      </c>
      <c r="B358" s="9" t="s">
        <v>65</v>
      </c>
      <c r="C358" s="9" t="s">
        <v>66</v>
      </c>
      <c r="D358" s="9" t="s">
        <v>67</v>
      </c>
      <c r="E358" s="10">
        <v>174.83</v>
      </c>
      <c r="F358" s="10">
        <v>175.41</v>
      </c>
      <c r="G358" s="10">
        <v>174.79</v>
      </c>
      <c r="H358" s="10">
        <v>174.93</v>
      </c>
      <c r="I358" s="11">
        <v>2796571</v>
      </c>
      <c r="J358" s="10">
        <v>43732500000</v>
      </c>
    </row>
    <row r="359" spans="1:10" x14ac:dyDescent="0.25">
      <c r="A359" s="14">
        <v>45758</v>
      </c>
      <c r="B359" s="15" t="s">
        <v>69</v>
      </c>
      <c r="C359" s="15" t="s">
        <v>70</v>
      </c>
      <c r="D359" s="15" t="s">
        <v>71</v>
      </c>
      <c r="E359" s="16">
        <v>581.77</v>
      </c>
      <c r="F359" s="16">
        <v>582.73</v>
      </c>
      <c r="G359" s="16">
        <v>574.55999999999995</v>
      </c>
      <c r="H359" s="16">
        <v>580.20000000000005</v>
      </c>
      <c r="I359" s="17">
        <v>4402055</v>
      </c>
      <c r="J359" s="16">
        <v>464160000000</v>
      </c>
    </row>
    <row r="360" spans="1:10" x14ac:dyDescent="0.25">
      <c r="A360" s="8">
        <v>45758</v>
      </c>
      <c r="B360" s="9" t="s">
        <v>73</v>
      </c>
      <c r="C360" s="9" t="s">
        <v>74</v>
      </c>
      <c r="D360" s="9" t="s">
        <v>75</v>
      </c>
      <c r="E360" s="10">
        <v>103.8</v>
      </c>
      <c r="F360" s="10">
        <v>104.5</v>
      </c>
      <c r="G360" s="10">
        <v>102.45</v>
      </c>
      <c r="H360" s="10">
        <v>103.01</v>
      </c>
      <c r="I360" s="11">
        <v>1322354</v>
      </c>
      <c r="J360" s="10">
        <v>22662200000</v>
      </c>
    </row>
    <row r="361" spans="1:10" x14ac:dyDescent="0.25">
      <c r="A361" s="14">
        <v>45758</v>
      </c>
      <c r="B361" s="15" t="s">
        <v>76</v>
      </c>
      <c r="C361" s="15" t="s">
        <v>77</v>
      </c>
      <c r="D361" s="15" t="s">
        <v>75</v>
      </c>
      <c r="E361" s="16">
        <v>144.88</v>
      </c>
      <c r="F361" s="16">
        <v>146.18</v>
      </c>
      <c r="G361" s="16">
        <v>144.22999999999999</v>
      </c>
      <c r="H361" s="16">
        <v>145.97999999999999</v>
      </c>
      <c r="I361" s="17">
        <v>3609578</v>
      </c>
      <c r="J361" s="16">
        <v>29196000000</v>
      </c>
    </row>
    <row r="362" spans="1:10" x14ac:dyDescent="0.25">
      <c r="A362" s="8">
        <v>45761</v>
      </c>
      <c r="B362" s="9" t="s">
        <v>60</v>
      </c>
      <c r="C362" s="9" t="s">
        <v>61</v>
      </c>
      <c r="D362" s="9" t="s">
        <v>62</v>
      </c>
      <c r="E362" s="10">
        <v>3579.33</v>
      </c>
      <c r="F362" s="10">
        <v>3644.07</v>
      </c>
      <c r="G362" s="10">
        <v>3571.35</v>
      </c>
      <c r="H362" s="10">
        <v>3592.27</v>
      </c>
      <c r="I362" s="11">
        <v>962946</v>
      </c>
      <c r="J362" s="10">
        <v>5029178000000</v>
      </c>
    </row>
    <row r="363" spans="1:10" x14ac:dyDescent="0.25">
      <c r="A363" s="14">
        <v>45761</v>
      </c>
      <c r="B363" s="15" t="s">
        <v>65</v>
      </c>
      <c r="C363" s="15" t="s">
        <v>66</v>
      </c>
      <c r="D363" s="15" t="s">
        <v>67</v>
      </c>
      <c r="E363" s="16">
        <v>172.92</v>
      </c>
      <c r="F363" s="16">
        <v>173.77</v>
      </c>
      <c r="G363" s="16">
        <v>171.69</v>
      </c>
      <c r="H363" s="16">
        <v>172.22</v>
      </c>
      <c r="I363" s="17">
        <v>4318808</v>
      </c>
      <c r="J363" s="16">
        <v>43055000000</v>
      </c>
    </row>
    <row r="364" spans="1:10" x14ac:dyDescent="0.25">
      <c r="A364" s="8">
        <v>45761</v>
      </c>
      <c r="B364" s="9" t="s">
        <v>69</v>
      </c>
      <c r="C364" s="9" t="s">
        <v>70</v>
      </c>
      <c r="D364" s="9" t="s">
        <v>71</v>
      </c>
      <c r="E364" s="10">
        <v>583.98</v>
      </c>
      <c r="F364" s="10">
        <v>592.52</v>
      </c>
      <c r="G364" s="10">
        <v>583.19000000000005</v>
      </c>
      <c r="H364" s="10">
        <v>585.72</v>
      </c>
      <c r="I364" s="11">
        <v>1216258</v>
      </c>
      <c r="J364" s="10">
        <v>468576000000</v>
      </c>
    </row>
    <row r="365" spans="1:10" x14ac:dyDescent="0.25">
      <c r="A365" s="14">
        <v>45761</v>
      </c>
      <c r="B365" s="15" t="s">
        <v>73</v>
      </c>
      <c r="C365" s="15" t="s">
        <v>74</v>
      </c>
      <c r="D365" s="15" t="s">
        <v>75</v>
      </c>
      <c r="E365" s="16">
        <v>105</v>
      </c>
      <c r="F365" s="16">
        <v>105.83</v>
      </c>
      <c r="G365" s="16">
        <v>104.26</v>
      </c>
      <c r="H365" s="16">
        <v>104.64</v>
      </c>
      <c r="I365" s="17">
        <v>4754698</v>
      </c>
      <c r="J365" s="16">
        <v>23020800000</v>
      </c>
    </row>
    <row r="366" spans="1:10" x14ac:dyDescent="0.25">
      <c r="A366" s="8">
        <v>45761</v>
      </c>
      <c r="B366" s="9" t="s">
        <v>76</v>
      </c>
      <c r="C366" s="9" t="s">
        <v>77</v>
      </c>
      <c r="D366" s="9" t="s">
        <v>75</v>
      </c>
      <c r="E366" s="10">
        <v>146.25</v>
      </c>
      <c r="F366" s="10">
        <v>147.09</v>
      </c>
      <c r="G366" s="10">
        <v>145.4</v>
      </c>
      <c r="H366" s="10">
        <v>146.19999999999999</v>
      </c>
      <c r="I366" s="11">
        <v>1453157</v>
      </c>
      <c r="J366" s="10">
        <v>29240000000</v>
      </c>
    </row>
    <row r="367" spans="1:10" x14ac:dyDescent="0.25">
      <c r="A367" s="14">
        <v>45762</v>
      </c>
      <c r="B367" s="15" t="s">
        <v>60</v>
      </c>
      <c r="C367" s="15" t="s">
        <v>61</v>
      </c>
      <c r="D367" s="15" t="s">
        <v>62</v>
      </c>
      <c r="E367" s="16">
        <v>3621.4</v>
      </c>
      <c r="F367" s="16">
        <v>3658.01</v>
      </c>
      <c r="G367" s="16">
        <v>3620.21</v>
      </c>
      <c r="H367" s="16">
        <v>3655.33</v>
      </c>
      <c r="I367" s="17">
        <v>3713387</v>
      </c>
      <c r="J367" s="16">
        <v>5117462000000</v>
      </c>
    </row>
    <row r="368" spans="1:10" x14ac:dyDescent="0.25">
      <c r="A368" s="8">
        <v>45762</v>
      </c>
      <c r="B368" s="9" t="s">
        <v>65</v>
      </c>
      <c r="C368" s="9" t="s">
        <v>66</v>
      </c>
      <c r="D368" s="9" t="s">
        <v>67</v>
      </c>
      <c r="E368" s="10">
        <v>169.2</v>
      </c>
      <c r="F368" s="10">
        <v>171.49</v>
      </c>
      <c r="G368" s="10">
        <v>167.26</v>
      </c>
      <c r="H368" s="10">
        <v>170.46</v>
      </c>
      <c r="I368" s="11">
        <v>2709586</v>
      </c>
      <c r="J368" s="10">
        <v>42615000000</v>
      </c>
    </row>
    <row r="369" spans="1:10" x14ac:dyDescent="0.25">
      <c r="A369" s="14">
        <v>45762</v>
      </c>
      <c r="B369" s="15" t="s">
        <v>69</v>
      </c>
      <c r="C369" s="15" t="s">
        <v>70</v>
      </c>
      <c r="D369" s="15" t="s">
        <v>71</v>
      </c>
      <c r="E369" s="16">
        <v>587.77</v>
      </c>
      <c r="F369" s="16">
        <v>590.70000000000005</v>
      </c>
      <c r="G369" s="16">
        <v>581.66</v>
      </c>
      <c r="H369" s="16">
        <v>589.87</v>
      </c>
      <c r="I369" s="17">
        <v>1050450</v>
      </c>
      <c r="J369" s="16">
        <v>471896000000</v>
      </c>
    </row>
    <row r="370" spans="1:10" x14ac:dyDescent="0.25">
      <c r="A370" s="8">
        <v>45762</v>
      </c>
      <c r="B370" s="9" t="s">
        <v>73</v>
      </c>
      <c r="C370" s="9" t="s">
        <v>74</v>
      </c>
      <c r="D370" s="9" t="s">
        <v>75</v>
      </c>
      <c r="E370" s="10">
        <v>104</v>
      </c>
      <c r="F370" s="10">
        <v>104.49</v>
      </c>
      <c r="G370" s="10">
        <v>103.88</v>
      </c>
      <c r="H370" s="10">
        <v>103.9</v>
      </c>
      <c r="I370" s="11">
        <v>1768549</v>
      </c>
      <c r="J370" s="10">
        <v>22858000000</v>
      </c>
    </row>
    <row r="371" spans="1:10" x14ac:dyDescent="0.25">
      <c r="A371" s="14">
        <v>45762</v>
      </c>
      <c r="B371" s="15" t="s">
        <v>76</v>
      </c>
      <c r="C371" s="15" t="s">
        <v>77</v>
      </c>
      <c r="D371" s="15" t="s">
        <v>75</v>
      </c>
      <c r="E371" s="16">
        <v>141.97</v>
      </c>
      <c r="F371" s="16">
        <v>143.85</v>
      </c>
      <c r="G371" s="16">
        <v>140.9</v>
      </c>
      <c r="H371" s="16">
        <v>143.66</v>
      </c>
      <c r="I371" s="17">
        <v>604840</v>
      </c>
      <c r="J371" s="16">
        <v>28732000000</v>
      </c>
    </row>
    <row r="372" spans="1:10" x14ac:dyDescent="0.25">
      <c r="A372" s="8">
        <v>45763</v>
      </c>
      <c r="B372" s="9" t="s">
        <v>60</v>
      </c>
      <c r="C372" s="9" t="s">
        <v>61</v>
      </c>
      <c r="D372" s="9" t="s">
        <v>62</v>
      </c>
      <c r="E372" s="10">
        <v>3711.2</v>
      </c>
      <c r="F372" s="10">
        <v>3711.73</v>
      </c>
      <c r="G372" s="10">
        <v>3641.49</v>
      </c>
      <c r="H372" s="10">
        <v>3709.07</v>
      </c>
      <c r="I372" s="11">
        <v>2728224</v>
      </c>
      <c r="J372" s="10">
        <v>5192698000000</v>
      </c>
    </row>
    <row r="373" spans="1:10" x14ac:dyDescent="0.25">
      <c r="A373" s="14">
        <v>45763</v>
      </c>
      <c r="B373" s="15" t="s">
        <v>65</v>
      </c>
      <c r="C373" s="15" t="s">
        <v>66</v>
      </c>
      <c r="D373" s="15" t="s">
        <v>67</v>
      </c>
      <c r="E373" s="16">
        <v>170.67</v>
      </c>
      <c r="F373" s="16">
        <v>170.8</v>
      </c>
      <c r="G373" s="16">
        <v>170.54</v>
      </c>
      <c r="H373" s="16">
        <v>170.69</v>
      </c>
      <c r="I373" s="17">
        <v>1200103</v>
      </c>
      <c r="J373" s="16">
        <v>42672500000</v>
      </c>
    </row>
    <row r="374" spans="1:10" x14ac:dyDescent="0.25">
      <c r="A374" s="8">
        <v>45763</v>
      </c>
      <c r="B374" s="9" t="s">
        <v>69</v>
      </c>
      <c r="C374" s="9" t="s">
        <v>70</v>
      </c>
      <c r="D374" s="9" t="s">
        <v>71</v>
      </c>
      <c r="E374" s="10">
        <v>597.19000000000005</v>
      </c>
      <c r="F374" s="10">
        <v>599.07000000000005</v>
      </c>
      <c r="G374" s="10">
        <v>590.63</v>
      </c>
      <c r="H374" s="10">
        <v>595.05999999999995</v>
      </c>
      <c r="I374" s="11">
        <v>1425750</v>
      </c>
      <c r="J374" s="10">
        <v>476048000000</v>
      </c>
    </row>
    <row r="375" spans="1:10" x14ac:dyDescent="0.25">
      <c r="A375" s="14">
        <v>45763</v>
      </c>
      <c r="B375" s="15" t="s">
        <v>73</v>
      </c>
      <c r="C375" s="15" t="s">
        <v>74</v>
      </c>
      <c r="D375" s="15" t="s">
        <v>75</v>
      </c>
      <c r="E375" s="16">
        <v>104.55</v>
      </c>
      <c r="F375" s="16">
        <v>105.11</v>
      </c>
      <c r="G375" s="16">
        <v>103.79</v>
      </c>
      <c r="H375" s="16">
        <v>104.04</v>
      </c>
      <c r="I375" s="17">
        <v>1244949</v>
      </c>
      <c r="J375" s="16">
        <v>22888800000</v>
      </c>
    </row>
    <row r="376" spans="1:10" x14ac:dyDescent="0.25">
      <c r="A376" s="8">
        <v>45763</v>
      </c>
      <c r="B376" s="9" t="s">
        <v>76</v>
      </c>
      <c r="C376" s="9" t="s">
        <v>77</v>
      </c>
      <c r="D376" s="9" t="s">
        <v>75</v>
      </c>
      <c r="E376" s="10">
        <v>141.99</v>
      </c>
      <c r="F376" s="10">
        <v>143.6</v>
      </c>
      <c r="G376" s="10">
        <v>140.91</v>
      </c>
      <c r="H376" s="10">
        <v>140.94999999999999</v>
      </c>
      <c r="I376" s="11">
        <v>3127901</v>
      </c>
      <c r="J376" s="10">
        <v>28190000000</v>
      </c>
    </row>
    <row r="377" spans="1:10" x14ac:dyDescent="0.25">
      <c r="A377" s="14">
        <v>45764</v>
      </c>
      <c r="B377" s="15" t="s">
        <v>60</v>
      </c>
      <c r="C377" s="15" t="s">
        <v>61</v>
      </c>
      <c r="D377" s="15" t="s">
        <v>62</v>
      </c>
      <c r="E377" s="16">
        <v>3638.7</v>
      </c>
      <c r="F377" s="16">
        <v>3648.25</v>
      </c>
      <c r="G377" s="16">
        <v>3602.23</v>
      </c>
      <c r="H377" s="16">
        <v>3637.08</v>
      </c>
      <c r="I377" s="17">
        <v>1772158</v>
      </c>
      <c r="J377" s="16">
        <v>5091912000000</v>
      </c>
    </row>
    <row r="378" spans="1:10" x14ac:dyDescent="0.25">
      <c r="A378" s="8">
        <v>45764</v>
      </c>
      <c r="B378" s="9" t="s">
        <v>65</v>
      </c>
      <c r="C378" s="9" t="s">
        <v>66</v>
      </c>
      <c r="D378" s="9" t="s">
        <v>67</v>
      </c>
      <c r="E378" s="10">
        <v>167.92</v>
      </c>
      <c r="F378" s="10">
        <v>169.15</v>
      </c>
      <c r="G378" s="10">
        <v>166.74</v>
      </c>
      <c r="H378" s="10">
        <v>167.53</v>
      </c>
      <c r="I378" s="11">
        <v>3662432</v>
      </c>
      <c r="J378" s="10">
        <v>41882500000</v>
      </c>
    </row>
    <row r="379" spans="1:10" x14ac:dyDescent="0.25">
      <c r="A379" s="14">
        <v>45764</v>
      </c>
      <c r="B379" s="15" t="s">
        <v>69</v>
      </c>
      <c r="C379" s="15" t="s">
        <v>70</v>
      </c>
      <c r="D379" s="15" t="s">
        <v>71</v>
      </c>
      <c r="E379" s="16">
        <v>600.46</v>
      </c>
      <c r="F379" s="16">
        <v>601.95000000000005</v>
      </c>
      <c r="G379" s="16">
        <v>597.78</v>
      </c>
      <c r="H379" s="16">
        <v>598.37</v>
      </c>
      <c r="I379" s="17">
        <v>3014567</v>
      </c>
      <c r="J379" s="16">
        <v>478696000000</v>
      </c>
    </row>
    <row r="380" spans="1:10" x14ac:dyDescent="0.25">
      <c r="A380" s="8">
        <v>45764</v>
      </c>
      <c r="B380" s="9" t="s">
        <v>73</v>
      </c>
      <c r="C380" s="9" t="s">
        <v>74</v>
      </c>
      <c r="D380" s="9" t="s">
        <v>75</v>
      </c>
      <c r="E380" s="10">
        <v>104.23</v>
      </c>
      <c r="F380" s="10">
        <v>104.27</v>
      </c>
      <c r="G380" s="10">
        <v>103.55</v>
      </c>
      <c r="H380" s="10">
        <v>103.74</v>
      </c>
      <c r="I380" s="11">
        <v>3065097</v>
      </c>
      <c r="J380" s="10">
        <v>22822800000</v>
      </c>
    </row>
    <row r="381" spans="1:10" x14ac:dyDescent="0.25">
      <c r="A381" s="14">
        <v>45764</v>
      </c>
      <c r="B381" s="15" t="s">
        <v>76</v>
      </c>
      <c r="C381" s="15" t="s">
        <v>77</v>
      </c>
      <c r="D381" s="15" t="s">
        <v>75</v>
      </c>
      <c r="E381" s="16">
        <v>142.51</v>
      </c>
      <c r="F381" s="16">
        <v>143.1</v>
      </c>
      <c r="G381" s="16">
        <v>140.78</v>
      </c>
      <c r="H381" s="16">
        <v>140.81</v>
      </c>
      <c r="I381" s="17">
        <v>3316141</v>
      </c>
      <c r="J381" s="16">
        <v>28162000000</v>
      </c>
    </row>
    <row r="382" spans="1:10" x14ac:dyDescent="0.25">
      <c r="A382" s="8">
        <v>45765</v>
      </c>
      <c r="B382" s="9" t="s">
        <v>60</v>
      </c>
      <c r="C382" s="9" t="s">
        <v>61</v>
      </c>
      <c r="D382" s="9" t="s">
        <v>62</v>
      </c>
      <c r="E382" s="10">
        <v>3630.93</v>
      </c>
      <c r="F382" s="10">
        <v>3640.67</v>
      </c>
      <c r="G382" s="10">
        <v>3612.61</v>
      </c>
      <c r="H382" s="10">
        <v>3623.99</v>
      </c>
      <c r="I382" s="11">
        <v>4515447</v>
      </c>
      <c r="J382" s="10">
        <v>5073586000000</v>
      </c>
    </row>
    <row r="383" spans="1:10" x14ac:dyDescent="0.25">
      <c r="A383" s="14">
        <v>45765</v>
      </c>
      <c r="B383" s="15" t="s">
        <v>65</v>
      </c>
      <c r="C383" s="15" t="s">
        <v>66</v>
      </c>
      <c r="D383" s="15" t="s">
        <v>67</v>
      </c>
      <c r="E383" s="16">
        <v>169.02</v>
      </c>
      <c r="F383" s="16">
        <v>171.52</v>
      </c>
      <c r="G383" s="16">
        <v>167.71</v>
      </c>
      <c r="H383" s="16">
        <v>170.64</v>
      </c>
      <c r="I383" s="17">
        <v>1284954</v>
      </c>
      <c r="J383" s="16">
        <v>42660000000</v>
      </c>
    </row>
    <row r="384" spans="1:10" x14ac:dyDescent="0.25">
      <c r="A384" s="8">
        <v>45765</v>
      </c>
      <c r="B384" s="9" t="s">
        <v>69</v>
      </c>
      <c r="C384" s="9" t="s">
        <v>70</v>
      </c>
      <c r="D384" s="9" t="s">
        <v>71</v>
      </c>
      <c r="E384" s="10">
        <v>584.76</v>
      </c>
      <c r="F384" s="10">
        <v>593.27</v>
      </c>
      <c r="G384" s="10">
        <v>582.54</v>
      </c>
      <c r="H384" s="10">
        <v>592.80999999999995</v>
      </c>
      <c r="I384" s="11">
        <v>4311280</v>
      </c>
      <c r="J384" s="10">
        <v>474248000000</v>
      </c>
    </row>
    <row r="385" spans="1:10" x14ac:dyDescent="0.25">
      <c r="A385" s="14">
        <v>45765</v>
      </c>
      <c r="B385" s="15" t="s">
        <v>73</v>
      </c>
      <c r="C385" s="15" t="s">
        <v>74</v>
      </c>
      <c r="D385" s="15" t="s">
        <v>75</v>
      </c>
      <c r="E385" s="16">
        <v>104.57</v>
      </c>
      <c r="F385" s="16">
        <v>105.36</v>
      </c>
      <c r="G385" s="16">
        <v>103.43</v>
      </c>
      <c r="H385" s="16">
        <v>104.6</v>
      </c>
      <c r="I385" s="17">
        <v>3788365</v>
      </c>
      <c r="J385" s="16">
        <v>23012000000</v>
      </c>
    </row>
    <row r="386" spans="1:10" x14ac:dyDescent="0.25">
      <c r="A386" s="8">
        <v>45765</v>
      </c>
      <c r="B386" s="9" t="s">
        <v>76</v>
      </c>
      <c r="C386" s="9" t="s">
        <v>77</v>
      </c>
      <c r="D386" s="9" t="s">
        <v>75</v>
      </c>
      <c r="E386" s="10">
        <v>139.44999999999999</v>
      </c>
      <c r="F386" s="10">
        <v>141.80000000000001</v>
      </c>
      <c r="G386" s="10">
        <v>139.36000000000001</v>
      </c>
      <c r="H386" s="10">
        <v>141.37</v>
      </c>
      <c r="I386" s="11">
        <v>2375890</v>
      </c>
      <c r="J386" s="10">
        <v>28274000000</v>
      </c>
    </row>
    <row r="387" spans="1:10" x14ac:dyDescent="0.25">
      <c r="A387" s="14">
        <v>45768</v>
      </c>
      <c r="B387" s="15" t="s">
        <v>60</v>
      </c>
      <c r="C387" s="15" t="s">
        <v>61</v>
      </c>
      <c r="D387" s="15" t="s">
        <v>62</v>
      </c>
      <c r="E387" s="16">
        <v>3526.99</v>
      </c>
      <c r="F387" s="16">
        <v>3543.09</v>
      </c>
      <c r="G387" s="16">
        <v>3492.59</v>
      </c>
      <c r="H387" s="16">
        <v>3532.35</v>
      </c>
      <c r="I387" s="17">
        <v>4708269</v>
      </c>
      <c r="J387" s="16">
        <v>4945290000000</v>
      </c>
    </row>
    <row r="388" spans="1:10" x14ac:dyDescent="0.25">
      <c r="A388" s="8">
        <v>45768</v>
      </c>
      <c r="B388" s="9" t="s">
        <v>65</v>
      </c>
      <c r="C388" s="9" t="s">
        <v>66</v>
      </c>
      <c r="D388" s="9" t="s">
        <v>67</v>
      </c>
      <c r="E388" s="10">
        <v>166.9</v>
      </c>
      <c r="F388" s="10">
        <v>167.58</v>
      </c>
      <c r="G388" s="10">
        <v>165.38</v>
      </c>
      <c r="H388" s="10">
        <v>165.52</v>
      </c>
      <c r="I388" s="11">
        <v>4894014</v>
      </c>
      <c r="J388" s="10">
        <v>41380000000</v>
      </c>
    </row>
    <row r="389" spans="1:10" x14ac:dyDescent="0.25">
      <c r="A389" s="14">
        <v>45768</v>
      </c>
      <c r="B389" s="15" t="s">
        <v>69</v>
      </c>
      <c r="C389" s="15" t="s">
        <v>70</v>
      </c>
      <c r="D389" s="15" t="s">
        <v>71</v>
      </c>
      <c r="E389" s="16">
        <v>598.33000000000004</v>
      </c>
      <c r="F389" s="16">
        <v>600.97</v>
      </c>
      <c r="G389" s="16">
        <v>596.49</v>
      </c>
      <c r="H389" s="16">
        <v>598.89</v>
      </c>
      <c r="I389" s="17">
        <v>1680237</v>
      </c>
      <c r="J389" s="16">
        <v>479112000000</v>
      </c>
    </row>
    <row r="390" spans="1:10" x14ac:dyDescent="0.25">
      <c r="A390" s="8">
        <v>45768</v>
      </c>
      <c r="B390" s="9" t="s">
        <v>73</v>
      </c>
      <c r="C390" s="9" t="s">
        <v>74</v>
      </c>
      <c r="D390" s="9" t="s">
        <v>75</v>
      </c>
      <c r="E390" s="10">
        <v>103.72</v>
      </c>
      <c r="F390" s="10">
        <v>104.61</v>
      </c>
      <c r="G390" s="10">
        <v>103.3</v>
      </c>
      <c r="H390" s="10">
        <v>104.06</v>
      </c>
      <c r="I390" s="11">
        <v>1062873</v>
      </c>
      <c r="J390" s="10">
        <v>22893200000</v>
      </c>
    </row>
    <row r="391" spans="1:10" x14ac:dyDescent="0.25">
      <c r="A391" s="14">
        <v>45768</v>
      </c>
      <c r="B391" s="15" t="s">
        <v>76</v>
      </c>
      <c r="C391" s="15" t="s">
        <v>77</v>
      </c>
      <c r="D391" s="15" t="s">
        <v>75</v>
      </c>
      <c r="E391" s="16">
        <v>142.36000000000001</v>
      </c>
      <c r="F391" s="16">
        <v>143.36000000000001</v>
      </c>
      <c r="G391" s="16">
        <v>141.63</v>
      </c>
      <c r="H391" s="16">
        <v>141.72999999999999</v>
      </c>
      <c r="I391" s="17">
        <v>1406829</v>
      </c>
      <c r="J391" s="16">
        <v>28346000000</v>
      </c>
    </row>
    <row r="392" spans="1:10" x14ac:dyDescent="0.25">
      <c r="A392" s="8">
        <v>45769</v>
      </c>
      <c r="B392" s="9" t="s">
        <v>60</v>
      </c>
      <c r="C392" s="9" t="s">
        <v>61</v>
      </c>
      <c r="D392" s="9" t="s">
        <v>62</v>
      </c>
      <c r="E392" s="10">
        <v>3474.72</v>
      </c>
      <c r="F392" s="10">
        <v>3477.27</v>
      </c>
      <c r="G392" s="10">
        <v>3445.77</v>
      </c>
      <c r="H392" s="10">
        <v>3471.19</v>
      </c>
      <c r="I392" s="11">
        <v>482623</v>
      </c>
      <c r="J392" s="10">
        <v>4859666000000</v>
      </c>
    </row>
    <row r="393" spans="1:10" x14ac:dyDescent="0.25">
      <c r="A393" s="14">
        <v>45769</v>
      </c>
      <c r="B393" s="15" t="s">
        <v>65</v>
      </c>
      <c r="C393" s="15" t="s">
        <v>66</v>
      </c>
      <c r="D393" s="15" t="s">
        <v>67</v>
      </c>
      <c r="E393" s="16">
        <v>166.53</v>
      </c>
      <c r="F393" s="16">
        <v>168.48</v>
      </c>
      <c r="G393" s="16">
        <v>165.04</v>
      </c>
      <c r="H393" s="16">
        <v>167.61</v>
      </c>
      <c r="I393" s="17">
        <v>912616</v>
      </c>
      <c r="J393" s="16">
        <v>41902500000</v>
      </c>
    </row>
    <row r="394" spans="1:10" x14ac:dyDescent="0.25">
      <c r="A394" s="8">
        <v>45769</v>
      </c>
      <c r="B394" s="9" t="s">
        <v>69</v>
      </c>
      <c r="C394" s="9" t="s">
        <v>70</v>
      </c>
      <c r="D394" s="9" t="s">
        <v>71</v>
      </c>
      <c r="E394" s="10">
        <v>606.92999999999995</v>
      </c>
      <c r="F394" s="10">
        <v>608.17999999999995</v>
      </c>
      <c r="G394" s="10">
        <v>592.6</v>
      </c>
      <c r="H394" s="10">
        <v>607.16</v>
      </c>
      <c r="I394" s="11">
        <v>878974</v>
      </c>
      <c r="J394" s="10">
        <v>485728000000</v>
      </c>
    </row>
    <row r="395" spans="1:10" x14ac:dyDescent="0.25">
      <c r="A395" s="14">
        <v>45769</v>
      </c>
      <c r="B395" s="15" t="s">
        <v>73</v>
      </c>
      <c r="C395" s="15" t="s">
        <v>74</v>
      </c>
      <c r="D395" s="15" t="s">
        <v>75</v>
      </c>
      <c r="E395" s="16">
        <v>106.03</v>
      </c>
      <c r="F395" s="16">
        <v>106.99</v>
      </c>
      <c r="G395" s="16">
        <v>105.95</v>
      </c>
      <c r="H395" s="16">
        <v>106.25</v>
      </c>
      <c r="I395" s="17">
        <v>1809792</v>
      </c>
      <c r="J395" s="16">
        <v>23375000000</v>
      </c>
    </row>
    <row r="396" spans="1:10" x14ac:dyDescent="0.25">
      <c r="A396" s="8">
        <v>45769</v>
      </c>
      <c r="B396" s="9" t="s">
        <v>76</v>
      </c>
      <c r="C396" s="9" t="s">
        <v>77</v>
      </c>
      <c r="D396" s="9" t="s">
        <v>75</v>
      </c>
      <c r="E396" s="10">
        <v>142.19</v>
      </c>
      <c r="F396" s="10">
        <v>144.11000000000001</v>
      </c>
      <c r="G396" s="10">
        <v>140.57</v>
      </c>
      <c r="H396" s="10">
        <v>142.06</v>
      </c>
      <c r="I396" s="11">
        <v>3508471</v>
      </c>
      <c r="J396" s="10">
        <v>28412000000</v>
      </c>
    </row>
    <row r="397" spans="1:10" x14ac:dyDescent="0.25">
      <c r="A397" s="14">
        <v>45770</v>
      </c>
      <c r="B397" s="15" t="s">
        <v>60</v>
      </c>
      <c r="C397" s="15" t="s">
        <v>61</v>
      </c>
      <c r="D397" s="15" t="s">
        <v>62</v>
      </c>
      <c r="E397" s="16">
        <v>3461.7</v>
      </c>
      <c r="F397" s="16">
        <v>3520.3</v>
      </c>
      <c r="G397" s="16">
        <v>3442.06</v>
      </c>
      <c r="H397" s="16">
        <v>3471.6</v>
      </c>
      <c r="I397" s="17">
        <v>973185</v>
      </c>
      <c r="J397" s="16">
        <v>4860240000000</v>
      </c>
    </row>
    <row r="398" spans="1:10" x14ac:dyDescent="0.25">
      <c r="A398" s="8">
        <v>45770</v>
      </c>
      <c r="B398" s="9" t="s">
        <v>65</v>
      </c>
      <c r="C398" s="9" t="s">
        <v>66</v>
      </c>
      <c r="D398" s="9" t="s">
        <v>67</v>
      </c>
      <c r="E398" s="10">
        <v>166.12</v>
      </c>
      <c r="F398" s="10">
        <v>167.9</v>
      </c>
      <c r="G398" s="10">
        <v>164.24</v>
      </c>
      <c r="H398" s="10">
        <v>165.51</v>
      </c>
      <c r="I398" s="11">
        <v>1797145</v>
      </c>
      <c r="J398" s="10">
        <v>41377500000</v>
      </c>
    </row>
    <row r="399" spans="1:10" x14ac:dyDescent="0.25">
      <c r="A399" s="14">
        <v>45770</v>
      </c>
      <c r="B399" s="15" t="s">
        <v>69</v>
      </c>
      <c r="C399" s="15" t="s">
        <v>70</v>
      </c>
      <c r="D399" s="15" t="s">
        <v>71</v>
      </c>
      <c r="E399" s="16">
        <v>604.04</v>
      </c>
      <c r="F399" s="16">
        <v>608.86</v>
      </c>
      <c r="G399" s="16">
        <v>603.82000000000005</v>
      </c>
      <c r="H399" s="16">
        <v>604.46</v>
      </c>
      <c r="I399" s="17">
        <v>2168060</v>
      </c>
      <c r="J399" s="16">
        <v>483568000000</v>
      </c>
    </row>
    <row r="400" spans="1:10" x14ac:dyDescent="0.25">
      <c r="A400" s="8">
        <v>45770</v>
      </c>
      <c r="B400" s="9" t="s">
        <v>73</v>
      </c>
      <c r="C400" s="9" t="s">
        <v>74</v>
      </c>
      <c r="D400" s="9" t="s">
        <v>75</v>
      </c>
      <c r="E400" s="10">
        <v>107.63</v>
      </c>
      <c r="F400" s="10">
        <v>108.88</v>
      </c>
      <c r="G400" s="10">
        <v>106.68</v>
      </c>
      <c r="H400" s="10">
        <v>108.26</v>
      </c>
      <c r="I400" s="11">
        <v>3857843</v>
      </c>
      <c r="J400" s="10">
        <v>23817200000</v>
      </c>
    </row>
    <row r="401" spans="1:10" x14ac:dyDescent="0.25">
      <c r="A401" s="14">
        <v>45770</v>
      </c>
      <c r="B401" s="15" t="s">
        <v>76</v>
      </c>
      <c r="C401" s="15" t="s">
        <v>77</v>
      </c>
      <c r="D401" s="15" t="s">
        <v>75</v>
      </c>
      <c r="E401" s="16">
        <v>141.77000000000001</v>
      </c>
      <c r="F401" s="16">
        <v>143.84</v>
      </c>
      <c r="G401" s="16">
        <v>141.35</v>
      </c>
      <c r="H401" s="16">
        <v>141.97</v>
      </c>
      <c r="I401" s="17">
        <v>3203798</v>
      </c>
      <c r="J401" s="16">
        <v>28394000000</v>
      </c>
    </row>
    <row r="402" spans="1:10" x14ac:dyDescent="0.25">
      <c r="A402" s="8">
        <v>45771</v>
      </c>
      <c r="B402" s="9" t="s">
        <v>60</v>
      </c>
      <c r="C402" s="9" t="s">
        <v>61</v>
      </c>
      <c r="D402" s="9" t="s">
        <v>62</v>
      </c>
      <c r="E402" s="10">
        <v>3491.19</v>
      </c>
      <c r="F402" s="10">
        <v>3506.13</v>
      </c>
      <c r="G402" s="10">
        <v>3457.51</v>
      </c>
      <c r="H402" s="10">
        <v>3459.08</v>
      </c>
      <c r="I402" s="11">
        <v>3816845</v>
      </c>
      <c r="J402" s="10">
        <v>4842712000000</v>
      </c>
    </row>
    <row r="403" spans="1:10" x14ac:dyDescent="0.25">
      <c r="A403" s="14">
        <v>45771</v>
      </c>
      <c r="B403" s="15" t="s">
        <v>65</v>
      </c>
      <c r="C403" s="15" t="s">
        <v>66</v>
      </c>
      <c r="D403" s="15" t="s">
        <v>67</v>
      </c>
      <c r="E403" s="16">
        <v>162.56</v>
      </c>
      <c r="F403" s="16">
        <v>164.85</v>
      </c>
      <c r="G403" s="16">
        <v>160.54</v>
      </c>
      <c r="H403" s="16">
        <v>164.37</v>
      </c>
      <c r="I403" s="17">
        <v>2318855</v>
      </c>
      <c r="J403" s="16">
        <v>41092500000</v>
      </c>
    </row>
    <row r="404" spans="1:10" x14ac:dyDescent="0.25">
      <c r="A404" s="8">
        <v>45771</v>
      </c>
      <c r="B404" s="9" t="s">
        <v>69</v>
      </c>
      <c r="C404" s="9" t="s">
        <v>70</v>
      </c>
      <c r="D404" s="9" t="s">
        <v>71</v>
      </c>
      <c r="E404" s="10">
        <v>605.72</v>
      </c>
      <c r="F404" s="10">
        <v>607.87</v>
      </c>
      <c r="G404" s="10">
        <v>599.32000000000005</v>
      </c>
      <c r="H404" s="10">
        <v>605.33000000000004</v>
      </c>
      <c r="I404" s="11">
        <v>708326</v>
      </c>
      <c r="J404" s="10">
        <v>484264000000</v>
      </c>
    </row>
    <row r="405" spans="1:10" x14ac:dyDescent="0.25">
      <c r="A405" s="14">
        <v>45771</v>
      </c>
      <c r="B405" s="15" t="s">
        <v>73</v>
      </c>
      <c r="C405" s="15" t="s">
        <v>74</v>
      </c>
      <c r="D405" s="15" t="s">
        <v>75</v>
      </c>
      <c r="E405" s="16">
        <v>108.74</v>
      </c>
      <c r="F405" s="16">
        <v>108.75</v>
      </c>
      <c r="G405" s="16">
        <v>108.48</v>
      </c>
      <c r="H405" s="16">
        <v>108.6</v>
      </c>
      <c r="I405" s="17">
        <v>4827833</v>
      </c>
      <c r="J405" s="16">
        <v>23892000000</v>
      </c>
    </row>
    <row r="406" spans="1:10" x14ac:dyDescent="0.25">
      <c r="A406" s="8">
        <v>45771</v>
      </c>
      <c r="B406" s="9" t="s">
        <v>76</v>
      </c>
      <c r="C406" s="9" t="s">
        <v>77</v>
      </c>
      <c r="D406" s="9" t="s">
        <v>75</v>
      </c>
      <c r="E406" s="10">
        <v>142.87</v>
      </c>
      <c r="F406" s="10">
        <v>145.1</v>
      </c>
      <c r="G406" s="10">
        <v>141.6</v>
      </c>
      <c r="H406" s="10">
        <v>142.61000000000001</v>
      </c>
      <c r="I406" s="11">
        <v>2975158</v>
      </c>
      <c r="J406" s="10">
        <v>28522000000</v>
      </c>
    </row>
    <row r="407" spans="1:10" x14ac:dyDescent="0.25">
      <c r="A407" s="14">
        <v>45772</v>
      </c>
      <c r="B407" s="15" t="s">
        <v>60</v>
      </c>
      <c r="C407" s="15" t="s">
        <v>61</v>
      </c>
      <c r="D407" s="15" t="s">
        <v>62</v>
      </c>
      <c r="E407" s="16">
        <v>3481.11</v>
      </c>
      <c r="F407" s="16">
        <v>3523.47</v>
      </c>
      <c r="G407" s="16">
        <v>3458.69</v>
      </c>
      <c r="H407" s="16">
        <v>3511.7</v>
      </c>
      <c r="I407" s="17">
        <v>2287295</v>
      </c>
      <c r="J407" s="16">
        <v>4916380000000</v>
      </c>
    </row>
    <row r="408" spans="1:10" x14ac:dyDescent="0.25">
      <c r="A408" s="8">
        <v>45772</v>
      </c>
      <c r="B408" s="9" t="s">
        <v>65</v>
      </c>
      <c r="C408" s="9" t="s">
        <v>66</v>
      </c>
      <c r="D408" s="9" t="s">
        <v>67</v>
      </c>
      <c r="E408" s="10">
        <v>163.96</v>
      </c>
      <c r="F408" s="10">
        <v>164.65</v>
      </c>
      <c r="G408" s="10">
        <v>163.46</v>
      </c>
      <c r="H408" s="10">
        <v>163.82</v>
      </c>
      <c r="I408" s="11">
        <v>811349</v>
      </c>
      <c r="J408" s="10">
        <v>40955000000</v>
      </c>
    </row>
    <row r="409" spans="1:10" x14ac:dyDescent="0.25">
      <c r="A409" s="14">
        <v>45772</v>
      </c>
      <c r="B409" s="15" t="s">
        <v>69</v>
      </c>
      <c r="C409" s="15" t="s">
        <v>70</v>
      </c>
      <c r="D409" s="15" t="s">
        <v>71</v>
      </c>
      <c r="E409" s="16">
        <v>600.03</v>
      </c>
      <c r="F409" s="16">
        <v>606.04999999999995</v>
      </c>
      <c r="G409" s="16">
        <v>597.79</v>
      </c>
      <c r="H409" s="16">
        <v>603.86</v>
      </c>
      <c r="I409" s="17">
        <v>1769123</v>
      </c>
      <c r="J409" s="16">
        <v>483088000000</v>
      </c>
    </row>
    <row r="410" spans="1:10" x14ac:dyDescent="0.25">
      <c r="A410" s="8">
        <v>45772</v>
      </c>
      <c r="B410" s="9" t="s">
        <v>73</v>
      </c>
      <c r="C410" s="9" t="s">
        <v>74</v>
      </c>
      <c r="D410" s="9" t="s">
        <v>75</v>
      </c>
      <c r="E410" s="10">
        <v>107.41</v>
      </c>
      <c r="F410" s="10">
        <v>108.06</v>
      </c>
      <c r="G410" s="10">
        <v>105.11</v>
      </c>
      <c r="H410" s="10">
        <v>107.89</v>
      </c>
      <c r="I410" s="11">
        <v>3497356</v>
      </c>
      <c r="J410" s="10">
        <v>23735800000</v>
      </c>
    </row>
    <row r="411" spans="1:10" x14ac:dyDescent="0.25">
      <c r="A411" s="14">
        <v>45772</v>
      </c>
      <c r="B411" s="15" t="s">
        <v>76</v>
      </c>
      <c r="C411" s="15" t="s">
        <v>77</v>
      </c>
      <c r="D411" s="15" t="s">
        <v>75</v>
      </c>
      <c r="E411" s="16">
        <v>142.80000000000001</v>
      </c>
      <c r="F411" s="16">
        <v>143.02000000000001</v>
      </c>
      <c r="G411" s="16">
        <v>141.82</v>
      </c>
      <c r="H411" s="16">
        <v>142.32</v>
      </c>
      <c r="I411" s="17">
        <v>1551728</v>
      </c>
      <c r="J411" s="16">
        <v>28464000000</v>
      </c>
    </row>
    <row r="412" spans="1:10" x14ac:dyDescent="0.25">
      <c r="A412" s="8">
        <v>45775</v>
      </c>
      <c r="B412" s="9" t="s">
        <v>60</v>
      </c>
      <c r="C412" s="9" t="s">
        <v>61</v>
      </c>
      <c r="D412" s="9" t="s">
        <v>62</v>
      </c>
      <c r="E412" s="10">
        <v>3502.05</v>
      </c>
      <c r="F412" s="10">
        <v>3519.04</v>
      </c>
      <c r="G412" s="10">
        <v>3481.83</v>
      </c>
      <c r="H412" s="10">
        <v>3490.22</v>
      </c>
      <c r="I412" s="11">
        <v>1510910</v>
      </c>
      <c r="J412" s="10">
        <v>4886308000000</v>
      </c>
    </row>
    <row r="413" spans="1:10" x14ac:dyDescent="0.25">
      <c r="A413" s="14">
        <v>45775</v>
      </c>
      <c r="B413" s="15" t="s">
        <v>65</v>
      </c>
      <c r="C413" s="15" t="s">
        <v>66</v>
      </c>
      <c r="D413" s="15" t="s">
        <v>67</v>
      </c>
      <c r="E413" s="16">
        <v>163.41999999999999</v>
      </c>
      <c r="F413" s="16">
        <v>164.42</v>
      </c>
      <c r="G413" s="16">
        <v>160.69999999999999</v>
      </c>
      <c r="H413" s="16">
        <v>162.79</v>
      </c>
      <c r="I413" s="17">
        <v>3793921</v>
      </c>
      <c r="J413" s="16">
        <v>40697500000</v>
      </c>
    </row>
    <row r="414" spans="1:10" x14ac:dyDescent="0.25">
      <c r="A414" s="8">
        <v>45775</v>
      </c>
      <c r="B414" s="9" t="s">
        <v>69</v>
      </c>
      <c r="C414" s="9" t="s">
        <v>70</v>
      </c>
      <c r="D414" s="9" t="s">
        <v>71</v>
      </c>
      <c r="E414" s="10">
        <v>599.42999999999995</v>
      </c>
      <c r="F414" s="10">
        <v>600.34</v>
      </c>
      <c r="G414" s="10">
        <v>599.28</v>
      </c>
      <c r="H414" s="10">
        <v>599.97</v>
      </c>
      <c r="I414" s="11">
        <v>4073085</v>
      </c>
      <c r="J414" s="10">
        <v>479976000000</v>
      </c>
    </row>
    <row r="415" spans="1:10" x14ac:dyDescent="0.25">
      <c r="A415" s="14">
        <v>45775</v>
      </c>
      <c r="B415" s="15" t="s">
        <v>73</v>
      </c>
      <c r="C415" s="15" t="s">
        <v>74</v>
      </c>
      <c r="D415" s="15" t="s">
        <v>75</v>
      </c>
      <c r="E415" s="16">
        <v>109</v>
      </c>
      <c r="F415" s="16">
        <v>109.22</v>
      </c>
      <c r="G415" s="16">
        <v>108.69</v>
      </c>
      <c r="H415" s="16">
        <v>109.07</v>
      </c>
      <c r="I415" s="17">
        <v>1897875</v>
      </c>
      <c r="J415" s="16">
        <v>23995400000</v>
      </c>
    </row>
    <row r="416" spans="1:10" x14ac:dyDescent="0.25">
      <c r="A416" s="8">
        <v>45775</v>
      </c>
      <c r="B416" s="9" t="s">
        <v>76</v>
      </c>
      <c r="C416" s="9" t="s">
        <v>77</v>
      </c>
      <c r="D416" s="9" t="s">
        <v>75</v>
      </c>
      <c r="E416" s="10">
        <v>144.32</v>
      </c>
      <c r="F416" s="10">
        <v>144.68</v>
      </c>
      <c r="G416" s="10">
        <v>144.06</v>
      </c>
      <c r="H416" s="10">
        <v>144.11000000000001</v>
      </c>
      <c r="I416" s="11">
        <v>4987977</v>
      </c>
      <c r="J416" s="10">
        <v>28822000000</v>
      </c>
    </row>
    <row r="417" spans="1:10" x14ac:dyDescent="0.25">
      <c r="A417" s="14">
        <v>45776</v>
      </c>
      <c r="B417" s="15" t="s">
        <v>60</v>
      </c>
      <c r="C417" s="15" t="s">
        <v>61</v>
      </c>
      <c r="D417" s="15" t="s">
        <v>62</v>
      </c>
      <c r="E417" s="16">
        <v>3481.8</v>
      </c>
      <c r="F417" s="16">
        <v>3485.72</v>
      </c>
      <c r="G417" s="16">
        <v>3463.14</v>
      </c>
      <c r="H417" s="16">
        <v>3483.62</v>
      </c>
      <c r="I417" s="17">
        <v>2843325</v>
      </c>
      <c r="J417" s="16">
        <v>4877068000000</v>
      </c>
    </row>
    <row r="418" spans="1:10" x14ac:dyDescent="0.25">
      <c r="A418" s="8">
        <v>45776</v>
      </c>
      <c r="B418" s="9" t="s">
        <v>65</v>
      </c>
      <c r="C418" s="9" t="s">
        <v>66</v>
      </c>
      <c r="D418" s="9" t="s">
        <v>67</v>
      </c>
      <c r="E418" s="10">
        <v>163.24</v>
      </c>
      <c r="F418" s="10">
        <v>163.30000000000001</v>
      </c>
      <c r="G418" s="10">
        <v>160.16</v>
      </c>
      <c r="H418" s="10">
        <v>160.53</v>
      </c>
      <c r="I418" s="11">
        <v>4317479</v>
      </c>
      <c r="J418" s="10">
        <v>40132500000</v>
      </c>
    </row>
    <row r="419" spans="1:10" x14ac:dyDescent="0.25">
      <c r="A419" s="14">
        <v>45776</v>
      </c>
      <c r="B419" s="15" t="s">
        <v>69</v>
      </c>
      <c r="C419" s="15" t="s">
        <v>70</v>
      </c>
      <c r="D419" s="15" t="s">
        <v>71</v>
      </c>
      <c r="E419" s="16">
        <v>591.23</v>
      </c>
      <c r="F419" s="16">
        <v>597.5</v>
      </c>
      <c r="G419" s="16">
        <v>587.49</v>
      </c>
      <c r="H419" s="16">
        <v>594.53</v>
      </c>
      <c r="I419" s="17">
        <v>3627190</v>
      </c>
      <c r="J419" s="16">
        <v>475624000000</v>
      </c>
    </row>
    <row r="420" spans="1:10" x14ac:dyDescent="0.25">
      <c r="A420" s="8">
        <v>45776</v>
      </c>
      <c r="B420" s="9" t="s">
        <v>73</v>
      </c>
      <c r="C420" s="9" t="s">
        <v>74</v>
      </c>
      <c r="D420" s="9" t="s">
        <v>75</v>
      </c>
      <c r="E420" s="10">
        <v>110.88</v>
      </c>
      <c r="F420" s="10">
        <v>111.45</v>
      </c>
      <c r="G420" s="10">
        <v>110.74</v>
      </c>
      <c r="H420" s="10">
        <v>111.12</v>
      </c>
      <c r="I420" s="11">
        <v>3313687</v>
      </c>
      <c r="J420" s="10">
        <v>24446400000</v>
      </c>
    </row>
    <row r="421" spans="1:10" x14ac:dyDescent="0.25">
      <c r="A421" s="14">
        <v>45776</v>
      </c>
      <c r="B421" s="15" t="s">
        <v>76</v>
      </c>
      <c r="C421" s="15" t="s">
        <v>77</v>
      </c>
      <c r="D421" s="15" t="s">
        <v>75</v>
      </c>
      <c r="E421" s="16">
        <v>142.05000000000001</v>
      </c>
      <c r="F421" s="16">
        <v>142.44</v>
      </c>
      <c r="G421" s="16">
        <v>141.05000000000001</v>
      </c>
      <c r="H421" s="16">
        <v>142.28</v>
      </c>
      <c r="I421" s="17">
        <v>4209125</v>
      </c>
      <c r="J421" s="16">
        <v>28456000000</v>
      </c>
    </row>
    <row r="422" spans="1:10" x14ac:dyDescent="0.25">
      <c r="A422" s="8">
        <v>45777</v>
      </c>
      <c r="B422" s="9" t="s">
        <v>60</v>
      </c>
      <c r="C422" s="9" t="s">
        <v>61</v>
      </c>
      <c r="D422" s="9" t="s">
        <v>62</v>
      </c>
      <c r="E422" s="10">
        <v>3604.34</v>
      </c>
      <c r="F422" s="10">
        <v>3651.58</v>
      </c>
      <c r="G422" s="10">
        <v>3550.17</v>
      </c>
      <c r="H422" s="10">
        <v>3642.89</v>
      </c>
      <c r="I422" s="11">
        <v>3409698</v>
      </c>
      <c r="J422" s="10">
        <v>5100046000000</v>
      </c>
    </row>
    <row r="423" spans="1:10" x14ac:dyDescent="0.25">
      <c r="A423" s="14">
        <v>45777</v>
      </c>
      <c r="B423" s="15" t="s">
        <v>65</v>
      </c>
      <c r="C423" s="15" t="s">
        <v>66</v>
      </c>
      <c r="D423" s="15" t="s">
        <v>67</v>
      </c>
      <c r="E423" s="16">
        <v>161.44</v>
      </c>
      <c r="F423" s="16">
        <v>161.59</v>
      </c>
      <c r="G423" s="16">
        <v>161.08000000000001</v>
      </c>
      <c r="H423" s="16">
        <v>161.52000000000001</v>
      </c>
      <c r="I423" s="17">
        <v>1524088</v>
      </c>
      <c r="J423" s="16">
        <v>40380000000</v>
      </c>
    </row>
    <row r="424" spans="1:10" x14ac:dyDescent="0.25">
      <c r="A424" s="8">
        <v>45777</v>
      </c>
      <c r="B424" s="9" t="s">
        <v>69</v>
      </c>
      <c r="C424" s="9" t="s">
        <v>70</v>
      </c>
      <c r="D424" s="9" t="s">
        <v>71</v>
      </c>
      <c r="E424" s="10">
        <v>605.91</v>
      </c>
      <c r="F424" s="10">
        <v>606.54</v>
      </c>
      <c r="G424" s="10">
        <v>599.23</v>
      </c>
      <c r="H424" s="10">
        <v>601.39</v>
      </c>
      <c r="I424" s="11">
        <v>1945775</v>
      </c>
      <c r="J424" s="10">
        <v>481112000000</v>
      </c>
    </row>
    <row r="425" spans="1:10" x14ac:dyDescent="0.25">
      <c r="A425" s="14">
        <v>45777</v>
      </c>
      <c r="B425" s="15" t="s">
        <v>73</v>
      </c>
      <c r="C425" s="15" t="s">
        <v>74</v>
      </c>
      <c r="D425" s="15" t="s">
        <v>75</v>
      </c>
      <c r="E425" s="16">
        <v>109.8</v>
      </c>
      <c r="F425" s="16">
        <v>110.21</v>
      </c>
      <c r="G425" s="16">
        <v>109.05</v>
      </c>
      <c r="H425" s="16">
        <v>110.02</v>
      </c>
      <c r="I425" s="17">
        <v>4488444</v>
      </c>
      <c r="J425" s="16">
        <v>24204400000</v>
      </c>
    </row>
    <row r="426" spans="1:10" x14ac:dyDescent="0.25">
      <c r="A426" s="8">
        <v>45777</v>
      </c>
      <c r="B426" s="9" t="s">
        <v>76</v>
      </c>
      <c r="C426" s="9" t="s">
        <v>77</v>
      </c>
      <c r="D426" s="9" t="s">
        <v>75</v>
      </c>
      <c r="E426" s="10">
        <v>137.44999999999999</v>
      </c>
      <c r="F426" s="10">
        <v>138.27000000000001</v>
      </c>
      <c r="G426" s="10">
        <v>136.47</v>
      </c>
      <c r="H426" s="10">
        <v>137.35</v>
      </c>
      <c r="I426" s="11">
        <v>4415414</v>
      </c>
      <c r="J426" s="10">
        <v>27470000000</v>
      </c>
    </row>
    <row r="427" spans="1:10" x14ac:dyDescent="0.25">
      <c r="A427" s="14">
        <v>45778</v>
      </c>
      <c r="B427" s="15" t="s">
        <v>60</v>
      </c>
      <c r="C427" s="15" t="s">
        <v>61</v>
      </c>
      <c r="D427" s="15" t="s">
        <v>62</v>
      </c>
      <c r="E427" s="16">
        <v>3722.7</v>
      </c>
      <c r="F427" s="16">
        <v>3769.63</v>
      </c>
      <c r="G427" s="16">
        <v>3710.91</v>
      </c>
      <c r="H427" s="16">
        <v>3731.59</v>
      </c>
      <c r="I427" s="17">
        <v>1474057</v>
      </c>
      <c r="J427" s="16">
        <v>5224226000000</v>
      </c>
    </row>
    <row r="428" spans="1:10" x14ac:dyDescent="0.25">
      <c r="A428" s="8">
        <v>45778</v>
      </c>
      <c r="B428" s="9" t="s">
        <v>65</v>
      </c>
      <c r="C428" s="9" t="s">
        <v>66</v>
      </c>
      <c r="D428" s="9" t="s">
        <v>67</v>
      </c>
      <c r="E428" s="10">
        <v>161.03</v>
      </c>
      <c r="F428" s="10">
        <v>162.5</v>
      </c>
      <c r="G428" s="10">
        <v>159.63</v>
      </c>
      <c r="H428" s="10">
        <v>161.47</v>
      </c>
      <c r="I428" s="11">
        <v>792680</v>
      </c>
      <c r="J428" s="10">
        <v>40367500000</v>
      </c>
    </row>
    <row r="429" spans="1:10" x14ac:dyDescent="0.25">
      <c r="A429" s="14">
        <v>45778</v>
      </c>
      <c r="B429" s="15" t="s">
        <v>69</v>
      </c>
      <c r="C429" s="15" t="s">
        <v>70</v>
      </c>
      <c r="D429" s="15" t="s">
        <v>71</v>
      </c>
      <c r="E429" s="16">
        <v>595.89</v>
      </c>
      <c r="F429" s="16">
        <v>604.9</v>
      </c>
      <c r="G429" s="16">
        <v>594.52</v>
      </c>
      <c r="H429" s="16">
        <v>595.29</v>
      </c>
      <c r="I429" s="17">
        <v>706968</v>
      </c>
      <c r="J429" s="16">
        <v>476232000000</v>
      </c>
    </row>
    <row r="430" spans="1:10" x14ac:dyDescent="0.25">
      <c r="A430" s="8">
        <v>45778</v>
      </c>
      <c r="B430" s="9" t="s">
        <v>73</v>
      </c>
      <c r="C430" s="9" t="s">
        <v>74</v>
      </c>
      <c r="D430" s="9" t="s">
        <v>75</v>
      </c>
      <c r="E430" s="10">
        <v>110.2</v>
      </c>
      <c r="F430" s="10">
        <v>111.11</v>
      </c>
      <c r="G430" s="10">
        <v>109.85</v>
      </c>
      <c r="H430" s="10">
        <v>110.74</v>
      </c>
      <c r="I430" s="11">
        <v>376684</v>
      </c>
      <c r="J430" s="10">
        <v>24362800000</v>
      </c>
    </row>
    <row r="431" spans="1:10" x14ac:dyDescent="0.25">
      <c r="A431" s="14">
        <v>45778</v>
      </c>
      <c r="B431" s="15" t="s">
        <v>76</v>
      </c>
      <c r="C431" s="15" t="s">
        <v>77</v>
      </c>
      <c r="D431" s="15" t="s">
        <v>75</v>
      </c>
      <c r="E431" s="16">
        <v>136.13</v>
      </c>
      <c r="F431" s="16">
        <v>136.36000000000001</v>
      </c>
      <c r="G431" s="16">
        <v>134.94999999999999</v>
      </c>
      <c r="H431" s="16">
        <v>135.04</v>
      </c>
      <c r="I431" s="17">
        <v>4353410</v>
      </c>
      <c r="J431" s="16">
        <v>27008000000</v>
      </c>
    </row>
    <row r="432" spans="1:10" x14ac:dyDescent="0.25">
      <c r="A432" s="8">
        <v>45779</v>
      </c>
      <c r="B432" s="9" t="s">
        <v>60</v>
      </c>
      <c r="C432" s="9" t="s">
        <v>61</v>
      </c>
      <c r="D432" s="9" t="s">
        <v>62</v>
      </c>
      <c r="E432" s="10">
        <v>3726.96</v>
      </c>
      <c r="F432" s="10">
        <v>3731.43</v>
      </c>
      <c r="G432" s="10">
        <v>3696.89</v>
      </c>
      <c r="H432" s="10">
        <v>3697.47</v>
      </c>
      <c r="I432" s="11">
        <v>2604692</v>
      </c>
      <c r="J432" s="10">
        <v>5176458000000</v>
      </c>
    </row>
    <row r="433" spans="1:10" x14ac:dyDescent="0.25">
      <c r="A433" s="14">
        <v>45779</v>
      </c>
      <c r="B433" s="15" t="s">
        <v>65</v>
      </c>
      <c r="C433" s="15" t="s">
        <v>66</v>
      </c>
      <c r="D433" s="15" t="s">
        <v>67</v>
      </c>
      <c r="E433" s="16">
        <v>161</v>
      </c>
      <c r="F433" s="16">
        <v>162.03</v>
      </c>
      <c r="G433" s="16">
        <v>160.76</v>
      </c>
      <c r="H433" s="16">
        <v>161.4</v>
      </c>
      <c r="I433" s="17">
        <v>3911909</v>
      </c>
      <c r="J433" s="16">
        <v>40350000000</v>
      </c>
    </row>
    <row r="434" spans="1:10" x14ac:dyDescent="0.25">
      <c r="A434" s="8">
        <v>45779</v>
      </c>
      <c r="B434" s="9" t="s">
        <v>69</v>
      </c>
      <c r="C434" s="9" t="s">
        <v>70</v>
      </c>
      <c r="D434" s="9" t="s">
        <v>71</v>
      </c>
      <c r="E434" s="10">
        <v>602.17999999999995</v>
      </c>
      <c r="F434" s="10">
        <v>612.1</v>
      </c>
      <c r="G434" s="10">
        <v>600.48</v>
      </c>
      <c r="H434" s="10">
        <v>602.21</v>
      </c>
      <c r="I434" s="11">
        <v>1910042</v>
      </c>
      <c r="J434" s="10">
        <v>481768000000</v>
      </c>
    </row>
    <row r="435" spans="1:10" x14ac:dyDescent="0.25">
      <c r="A435" s="14">
        <v>45779</v>
      </c>
      <c r="B435" s="15" t="s">
        <v>73</v>
      </c>
      <c r="C435" s="15" t="s">
        <v>74</v>
      </c>
      <c r="D435" s="15" t="s">
        <v>75</v>
      </c>
      <c r="E435" s="16">
        <v>111.23</v>
      </c>
      <c r="F435" s="16">
        <v>111.73</v>
      </c>
      <c r="G435" s="16">
        <v>110.77</v>
      </c>
      <c r="H435" s="16">
        <v>111.11</v>
      </c>
      <c r="I435" s="17">
        <v>3629408</v>
      </c>
      <c r="J435" s="16">
        <v>24444200000</v>
      </c>
    </row>
    <row r="436" spans="1:10" x14ac:dyDescent="0.25">
      <c r="A436" s="8">
        <v>45779</v>
      </c>
      <c r="B436" s="9" t="s">
        <v>76</v>
      </c>
      <c r="C436" s="9" t="s">
        <v>77</v>
      </c>
      <c r="D436" s="9" t="s">
        <v>75</v>
      </c>
      <c r="E436" s="10">
        <v>139.57</v>
      </c>
      <c r="F436" s="10">
        <v>140.91999999999999</v>
      </c>
      <c r="G436" s="10">
        <v>138.76</v>
      </c>
      <c r="H436" s="10">
        <v>140.27000000000001</v>
      </c>
      <c r="I436" s="11">
        <v>2816369</v>
      </c>
      <c r="J436" s="10">
        <v>28054000000</v>
      </c>
    </row>
    <row r="437" spans="1:10" x14ac:dyDescent="0.25">
      <c r="A437" s="14">
        <v>45782</v>
      </c>
      <c r="B437" s="15" t="s">
        <v>60</v>
      </c>
      <c r="C437" s="15" t="s">
        <v>61</v>
      </c>
      <c r="D437" s="15" t="s">
        <v>62</v>
      </c>
      <c r="E437" s="16">
        <v>3708.76</v>
      </c>
      <c r="F437" s="16">
        <v>3731.94</v>
      </c>
      <c r="G437" s="16">
        <v>3656.06</v>
      </c>
      <c r="H437" s="16">
        <v>3705.67</v>
      </c>
      <c r="I437" s="17">
        <v>565788</v>
      </c>
      <c r="J437" s="16">
        <v>5187938000000</v>
      </c>
    </row>
    <row r="438" spans="1:10" x14ac:dyDescent="0.25">
      <c r="A438" s="8">
        <v>45782</v>
      </c>
      <c r="B438" s="9" t="s">
        <v>65</v>
      </c>
      <c r="C438" s="9" t="s">
        <v>66</v>
      </c>
      <c r="D438" s="9" t="s">
        <v>67</v>
      </c>
      <c r="E438" s="10">
        <v>163.4</v>
      </c>
      <c r="F438" s="10">
        <v>164.11</v>
      </c>
      <c r="G438" s="10">
        <v>162.97999999999999</v>
      </c>
      <c r="H438" s="10">
        <v>162.99</v>
      </c>
      <c r="I438" s="11">
        <v>1737669</v>
      </c>
      <c r="J438" s="10">
        <v>40747500000</v>
      </c>
    </row>
    <row r="439" spans="1:10" x14ac:dyDescent="0.25">
      <c r="A439" s="14">
        <v>45782</v>
      </c>
      <c r="B439" s="15" t="s">
        <v>69</v>
      </c>
      <c r="C439" s="15" t="s">
        <v>70</v>
      </c>
      <c r="D439" s="15" t="s">
        <v>71</v>
      </c>
      <c r="E439" s="16">
        <v>601.33000000000004</v>
      </c>
      <c r="F439" s="16">
        <v>609.4</v>
      </c>
      <c r="G439" s="16">
        <v>596.72</v>
      </c>
      <c r="H439" s="16">
        <v>604.9</v>
      </c>
      <c r="I439" s="17">
        <v>3078899</v>
      </c>
      <c r="J439" s="16">
        <v>483920000000</v>
      </c>
    </row>
    <row r="440" spans="1:10" x14ac:dyDescent="0.25">
      <c r="A440" s="8">
        <v>45782</v>
      </c>
      <c r="B440" s="9" t="s">
        <v>73</v>
      </c>
      <c r="C440" s="9" t="s">
        <v>74</v>
      </c>
      <c r="D440" s="9" t="s">
        <v>75</v>
      </c>
      <c r="E440" s="10">
        <v>108.12</v>
      </c>
      <c r="F440" s="10">
        <v>108.81</v>
      </c>
      <c r="G440" s="10">
        <v>107.24</v>
      </c>
      <c r="H440" s="10">
        <v>107.31</v>
      </c>
      <c r="I440" s="11">
        <v>2073494</v>
      </c>
      <c r="J440" s="10">
        <v>23608200000</v>
      </c>
    </row>
    <row r="441" spans="1:10" x14ac:dyDescent="0.25">
      <c r="A441" s="14">
        <v>45782</v>
      </c>
      <c r="B441" s="15" t="s">
        <v>76</v>
      </c>
      <c r="C441" s="15" t="s">
        <v>77</v>
      </c>
      <c r="D441" s="15" t="s">
        <v>75</v>
      </c>
      <c r="E441" s="16">
        <v>141.75</v>
      </c>
      <c r="F441" s="16">
        <v>143.16999999999999</v>
      </c>
      <c r="G441" s="16">
        <v>140.74</v>
      </c>
      <c r="H441" s="16">
        <v>142.12</v>
      </c>
      <c r="I441" s="17">
        <v>2574110</v>
      </c>
      <c r="J441" s="16">
        <v>28424000000</v>
      </c>
    </row>
    <row r="442" spans="1:10" x14ac:dyDescent="0.25">
      <c r="A442" s="8">
        <v>45783</v>
      </c>
      <c r="B442" s="9" t="s">
        <v>60</v>
      </c>
      <c r="C442" s="9" t="s">
        <v>61</v>
      </c>
      <c r="D442" s="9" t="s">
        <v>62</v>
      </c>
      <c r="E442" s="10">
        <v>3727.33</v>
      </c>
      <c r="F442" s="10">
        <v>3730.71</v>
      </c>
      <c r="G442" s="10">
        <v>3670.29</v>
      </c>
      <c r="H442" s="10">
        <v>3704.34</v>
      </c>
      <c r="I442" s="11">
        <v>576000</v>
      </c>
      <c r="J442" s="10">
        <v>5186076000000</v>
      </c>
    </row>
    <row r="443" spans="1:10" x14ac:dyDescent="0.25">
      <c r="A443" s="14">
        <v>45783</v>
      </c>
      <c r="B443" s="15" t="s">
        <v>65</v>
      </c>
      <c r="C443" s="15" t="s">
        <v>66</v>
      </c>
      <c r="D443" s="15" t="s">
        <v>67</v>
      </c>
      <c r="E443" s="16">
        <v>160.66</v>
      </c>
      <c r="F443" s="16">
        <v>161.74</v>
      </c>
      <c r="G443" s="16">
        <v>158.4</v>
      </c>
      <c r="H443" s="16">
        <v>158.44999999999999</v>
      </c>
      <c r="I443" s="17">
        <v>2037768</v>
      </c>
      <c r="J443" s="16">
        <v>39612500000</v>
      </c>
    </row>
    <row r="444" spans="1:10" x14ac:dyDescent="0.25">
      <c r="A444" s="8">
        <v>45783</v>
      </c>
      <c r="B444" s="9" t="s">
        <v>69</v>
      </c>
      <c r="C444" s="9" t="s">
        <v>70</v>
      </c>
      <c r="D444" s="9" t="s">
        <v>71</v>
      </c>
      <c r="E444" s="10">
        <v>592.07000000000005</v>
      </c>
      <c r="F444" s="10">
        <v>596.17999999999995</v>
      </c>
      <c r="G444" s="10">
        <v>590.96</v>
      </c>
      <c r="H444" s="10">
        <v>591.36</v>
      </c>
      <c r="I444" s="11">
        <v>1662731</v>
      </c>
      <c r="J444" s="10">
        <v>473088000000</v>
      </c>
    </row>
    <row r="445" spans="1:10" x14ac:dyDescent="0.25">
      <c r="A445" s="14">
        <v>45783</v>
      </c>
      <c r="B445" s="15" t="s">
        <v>73</v>
      </c>
      <c r="C445" s="15" t="s">
        <v>74</v>
      </c>
      <c r="D445" s="15" t="s">
        <v>75</v>
      </c>
      <c r="E445" s="16">
        <v>105.75</v>
      </c>
      <c r="F445" s="16">
        <v>106.76</v>
      </c>
      <c r="G445" s="16">
        <v>105.32</v>
      </c>
      <c r="H445" s="16">
        <v>106.54</v>
      </c>
      <c r="I445" s="17">
        <v>4834566</v>
      </c>
      <c r="J445" s="16">
        <v>23438800000</v>
      </c>
    </row>
    <row r="446" spans="1:10" x14ac:dyDescent="0.25">
      <c r="A446" s="8">
        <v>45783</v>
      </c>
      <c r="B446" s="9" t="s">
        <v>76</v>
      </c>
      <c r="C446" s="9" t="s">
        <v>77</v>
      </c>
      <c r="D446" s="9" t="s">
        <v>75</v>
      </c>
      <c r="E446" s="10">
        <v>140.38999999999999</v>
      </c>
      <c r="F446" s="10">
        <v>142.03</v>
      </c>
      <c r="G446" s="10">
        <v>138.25</v>
      </c>
      <c r="H446" s="10">
        <v>140.99</v>
      </c>
      <c r="I446" s="11">
        <v>4500954</v>
      </c>
      <c r="J446" s="10">
        <v>28198000000</v>
      </c>
    </row>
    <row r="447" spans="1:10" x14ac:dyDescent="0.25">
      <c r="A447" s="14">
        <v>45784</v>
      </c>
      <c r="B447" s="15" t="s">
        <v>60</v>
      </c>
      <c r="C447" s="15" t="s">
        <v>61</v>
      </c>
      <c r="D447" s="15" t="s">
        <v>62</v>
      </c>
      <c r="E447" s="16">
        <v>3832.97</v>
      </c>
      <c r="F447" s="16">
        <v>3833.78</v>
      </c>
      <c r="G447" s="16">
        <v>3804.73</v>
      </c>
      <c r="H447" s="16">
        <v>3807.57</v>
      </c>
      <c r="I447" s="17">
        <v>2247365</v>
      </c>
      <c r="J447" s="16">
        <v>5330598000000</v>
      </c>
    </row>
    <row r="448" spans="1:10" x14ac:dyDescent="0.25">
      <c r="A448" s="8">
        <v>45784</v>
      </c>
      <c r="B448" s="9" t="s">
        <v>65</v>
      </c>
      <c r="C448" s="9" t="s">
        <v>66</v>
      </c>
      <c r="D448" s="9" t="s">
        <v>67</v>
      </c>
      <c r="E448" s="10">
        <v>159.63</v>
      </c>
      <c r="F448" s="10">
        <v>160.62</v>
      </c>
      <c r="G448" s="10">
        <v>159.25</v>
      </c>
      <c r="H448" s="10">
        <v>159.79</v>
      </c>
      <c r="I448" s="11">
        <v>3037845</v>
      </c>
      <c r="J448" s="10">
        <v>39947500000</v>
      </c>
    </row>
    <row r="449" spans="1:10" x14ac:dyDescent="0.25">
      <c r="A449" s="14">
        <v>45784</v>
      </c>
      <c r="B449" s="15" t="s">
        <v>69</v>
      </c>
      <c r="C449" s="15" t="s">
        <v>70</v>
      </c>
      <c r="D449" s="15" t="s">
        <v>71</v>
      </c>
      <c r="E449" s="16">
        <v>569.55999999999995</v>
      </c>
      <c r="F449" s="16">
        <v>573.14</v>
      </c>
      <c r="G449" s="16">
        <v>568.89</v>
      </c>
      <c r="H449" s="16">
        <v>573.11</v>
      </c>
      <c r="I449" s="17">
        <v>4415480</v>
      </c>
      <c r="J449" s="16">
        <v>458488000000</v>
      </c>
    </row>
    <row r="450" spans="1:10" x14ac:dyDescent="0.25">
      <c r="A450" s="8">
        <v>45784</v>
      </c>
      <c r="B450" s="9" t="s">
        <v>73</v>
      </c>
      <c r="C450" s="9" t="s">
        <v>74</v>
      </c>
      <c r="D450" s="9" t="s">
        <v>75</v>
      </c>
      <c r="E450" s="10">
        <v>106.84</v>
      </c>
      <c r="F450" s="10">
        <v>107.91</v>
      </c>
      <c r="G450" s="10">
        <v>106.45</v>
      </c>
      <c r="H450" s="10">
        <v>107.31</v>
      </c>
      <c r="I450" s="11">
        <v>3488281</v>
      </c>
      <c r="J450" s="10">
        <v>23608200000</v>
      </c>
    </row>
    <row r="451" spans="1:10" x14ac:dyDescent="0.25">
      <c r="A451" s="14">
        <v>45784</v>
      </c>
      <c r="B451" s="15" t="s">
        <v>76</v>
      </c>
      <c r="C451" s="15" t="s">
        <v>77</v>
      </c>
      <c r="D451" s="15" t="s">
        <v>75</v>
      </c>
      <c r="E451" s="16">
        <v>141.97</v>
      </c>
      <c r="F451" s="16">
        <v>143.32</v>
      </c>
      <c r="G451" s="16">
        <v>141.16</v>
      </c>
      <c r="H451" s="16">
        <v>142.88</v>
      </c>
      <c r="I451" s="17">
        <v>916618</v>
      </c>
      <c r="J451" s="16">
        <v>28576000000</v>
      </c>
    </row>
    <row r="452" spans="1:10" x14ac:dyDescent="0.25">
      <c r="A452" s="8">
        <v>45785</v>
      </c>
      <c r="B452" s="9" t="s">
        <v>60</v>
      </c>
      <c r="C452" s="9" t="s">
        <v>61</v>
      </c>
      <c r="D452" s="9" t="s">
        <v>62</v>
      </c>
      <c r="E452" s="10">
        <v>3837.09</v>
      </c>
      <c r="F452" s="10">
        <v>3845.85</v>
      </c>
      <c r="G452" s="10">
        <v>3826.71</v>
      </c>
      <c r="H452" s="10">
        <v>3840.87</v>
      </c>
      <c r="I452" s="11">
        <v>2956489</v>
      </c>
      <c r="J452" s="10">
        <v>5377218000000</v>
      </c>
    </row>
    <row r="453" spans="1:10" x14ac:dyDescent="0.25">
      <c r="A453" s="14">
        <v>45785</v>
      </c>
      <c r="B453" s="15" t="s">
        <v>65</v>
      </c>
      <c r="C453" s="15" t="s">
        <v>66</v>
      </c>
      <c r="D453" s="15" t="s">
        <v>67</v>
      </c>
      <c r="E453" s="16">
        <v>156.52000000000001</v>
      </c>
      <c r="F453" s="16">
        <v>156.87</v>
      </c>
      <c r="G453" s="16">
        <v>156.1</v>
      </c>
      <c r="H453" s="16">
        <v>156.83000000000001</v>
      </c>
      <c r="I453" s="17">
        <v>4030714</v>
      </c>
      <c r="J453" s="16">
        <v>39207500000</v>
      </c>
    </row>
    <row r="454" spans="1:10" x14ac:dyDescent="0.25">
      <c r="A454" s="8">
        <v>45785</v>
      </c>
      <c r="B454" s="9" t="s">
        <v>69</v>
      </c>
      <c r="C454" s="9" t="s">
        <v>70</v>
      </c>
      <c r="D454" s="9" t="s">
        <v>71</v>
      </c>
      <c r="E454" s="10">
        <v>568.88</v>
      </c>
      <c r="F454" s="10">
        <v>571.66</v>
      </c>
      <c r="G454" s="10">
        <v>566.91</v>
      </c>
      <c r="H454" s="10">
        <v>569.04</v>
      </c>
      <c r="I454" s="11">
        <v>4953496</v>
      </c>
      <c r="J454" s="10">
        <v>455232000000</v>
      </c>
    </row>
    <row r="455" spans="1:10" x14ac:dyDescent="0.25">
      <c r="A455" s="14">
        <v>45785</v>
      </c>
      <c r="B455" s="15" t="s">
        <v>73</v>
      </c>
      <c r="C455" s="15" t="s">
        <v>74</v>
      </c>
      <c r="D455" s="15" t="s">
        <v>75</v>
      </c>
      <c r="E455" s="16">
        <v>108.1</v>
      </c>
      <c r="F455" s="16">
        <v>108.5</v>
      </c>
      <c r="G455" s="16">
        <v>108.07</v>
      </c>
      <c r="H455" s="16">
        <v>108.11</v>
      </c>
      <c r="I455" s="17">
        <v>4949132</v>
      </c>
      <c r="J455" s="16">
        <v>23784200000</v>
      </c>
    </row>
    <row r="456" spans="1:10" x14ac:dyDescent="0.25">
      <c r="A456" s="8">
        <v>45785</v>
      </c>
      <c r="B456" s="9" t="s">
        <v>76</v>
      </c>
      <c r="C456" s="9" t="s">
        <v>77</v>
      </c>
      <c r="D456" s="9" t="s">
        <v>75</v>
      </c>
      <c r="E456" s="10">
        <v>145.32</v>
      </c>
      <c r="F456" s="10">
        <v>146.19</v>
      </c>
      <c r="G456" s="10">
        <v>144.80000000000001</v>
      </c>
      <c r="H456" s="10">
        <v>145.21</v>
      </c>
      <c r="I456" s="11">
        <v>3553098</v>
      </c>
      <c r="J456" s="10">
        <v>29042000000</v>
      </c>
    </row>
    <row r="457" spans="1:10" x14ac:dyDescent="0.25">
      <c r="A457" s="14">
        <v>45786</v>
      </c>
      <c r="B457" s="15" t="s">
        <v>60</v>
      </c>
      <c r="C457" s="15" t="s">
        <v>61</v>
      </c>
      <c r="D457" s="15" t="s">
        <v>62</v>
      </c>
      <c r="E457" s="16">
        <v>3892.37</v>
      </c>
      <c r="F457" s="16">
        <v>3901.49</v>
      </c>
      <c r="G457" s="16">
        <v>3843.18</v>
      </c>
      <c r="H457" s="16">
        <v>3875.81</v>
      </c>
      <c r="I457" s="17">
        <v>2336271</v>
      </c>
      <c r="J457" s="16">
        <v>5426134000000</v>
      </c>
    </row>
    <row r="458" spans="1:10" x14ac:dyDescent="0.25">
      <c r="A458" s="8">
        <v>45786</v>
      </c>
      <c r="B458" s="9" t="s">
        <v>65</v>
      </c>
      <c r="C458" s="9" t="s">
        <v>66</v>
      </c>
      <c r="D458" s="9" t="s">
        <v>67</v>
      </c>
      <c r="E458" s="10">
        <v>155.57</v>
      </c>
      <c r="F458" s="10">
        <v>155.9</v>
      </c>
      <c r="G458" s="10">
        <v>155.07</v>
      </c>
      <c r="H458" s="10">
        <v>155.32</v>
      </c>
      <c r="I458" s="11">
        <v>4436623</v>
      </c>
      <c r="J458" s="10">
        <v>38830000000</v>
      </c>
    </row>
    <row r="459" spans="1:10" x14ac:dyDescent="0.25">
      <c r="A459" s="14">
        <v>45786</v>
      </c>
      <c r="B459" s="15" t="s">
        <v>69</v>
      </c>
      <c r="C459" s="15" t="s">
        <v>70</v>
      </c>
      <c r="D459" s="15" t="s">
        <v>71</v>
      </c>
      <c r="E459" s="16">
        <v>572.33000000000004</v>
      </c>
      <c r="F459" s="16">
        <v>574.01</v>
      </c>
      <c r="G459" s="16">
        <v>570.13</v>
      </c>
      <c r="H459" s="16">
        <v>571.20000000000005</v>
      </c>
      <c r="I459" s="17">
        <v>2814504</v>
      </c>
      <c r="J459" s="16">
        <v>456960000000</v>
      </c>
    </row>
    <row r="460" spans="1:10" x14ac:dyDescent="0.25">
      <c r="A460" s="8">
        <v>45786</v>
      </c>
      <c r="B460" s="9" t="s">
        <v>73</v>
      </c>
      <c r="C460" s="9" t="s">
        <v>74</v>
      </c>
      <c r="D460" s="9" t="s">
        <v>75</v>
      </c>
      <c r="E460" s="10">
        <v>108.44</v>
      </c>
      <c r="F460" s="10">
        <v>109.24</v>
      </c>
      <c r="G460" s="10">
        <v>107.14</v>
      </c>
      <c r="H460" s="10">
        <v>108.18</v>
      </c>
      <c r="I460" s="11">
        <v>1940377</v>
      </c>
      <c r="J460" s="10">
        <v>23799600000</v>
      </c>
    </row>
    <row r="461" spans="1:10" x14ac:dyDescent="0.25">
      <c r="A461" s="14">
        <v>45786</v>
      </c>
      <c r="B461" s="15" t="s">
        <v>76</v>
      </c>
      <c r="C461" s="15" t="s">
        <v>77</v>
      </c>
      <c r="D461" s="15" t="s">
        <v>75</v>
      </c>
      <c r="E461" s="16">
        <v>144.04</v>
      </c>
      <c r="F461" s="16">
        <v>144.63999999999999</v>
      </c>
      <c r="G461" s="16">
        <v>143.88</v>
      </c>
      <c r="H461" s="16">
        <v>143.88999999999999</v>
      </c>
      <c r="I461" s="17">
        <v>3619304</v>
      </c>
      <c r="J461" s="16">
        <v>28778000000</v>
      </c>
    </row>
    <row r="462" spans="1:10" x14ac:dyDescent="0.25">
      <c r="A462" s="8">
        <v>45789</v>
      </c>
      <c r="B462" s="9" t="s">
        <v>60</v>
      </c>
      <c r="C462" s="9" t="s">
        <v>61</v>
      </c>
      <c r="D462" s="9" t="s">
        <v>62</v>
      </c>
      <c r="E462" s="10">
        <v>3836.63</v>
      </c>
      <c r="F462" s="10">
        <v>3873.77</v>
      </c>
      <c r="G462" s="10">
        <v>3827.48</v>
      </c>
      <c r="H462" s="10">
        <v>3842.97</v>
      </c>
      <c r="I462" s="11">
        <v>1441894</v>
      </c>
      <c r="J462" s="10">
        <v>5380158000000</v>
      </c>
    </row>
    <row r="463" spans="1:10" x14ac:dyDescent="0.25">
      <c r="A463" s="14">
        <v>45789</v>
      </c>
      <c r="B463" s="15" t="s">
        <v>65</v>
      </c>
      <c r="C463" s="15" t="s">
        <v>66</v>
      </c>
      <c r="D463" s="15" t="s">
        <v>67</v>
      </c>
      <c r="E463" s="16">
        <v>153.38999999999999</v>
      </c>
      <c r="F463" s="16">
        <v>153.91</v>
      </c>
      <c r="G463" s="16">
        <v>151.80000000000001</v>
      </c>
      <c r="H463" s="16">
        <v>153.27000000000001</v>
      </c>
      <c r="I463" s="17">
        <v>4318224</v>
      </c>
      <c r="J463" s="16">
        <v>38317500000</v>
      </c>
    </row>
    <row r="464" spans="1:10" x14ac:dyDescent="0.25">
      <c r="A464" s="8">
        <v>45789</v>
      </c>
      <c r="B464" s="9" t="s">
        <v>69</v>
      </c>
      <c r="C464" s="9" t="s">
        <v>70</v>
      </c>
      <c r="D464" s="9" t="s">
        <v>71</v>
      </c>
      <c r="E464" s="10">
        <v>562.62</v>
      </c>
      <c r="F464" s="10">
        <v>573.32000000000005</v>
      </c>
      <c r="G464" s="10">
        <v>558.96</v>
      </c>
      <c r="H464" s="10">
        <v>568.94000000000005</v>
      </c>
      <c r="I464" s="11">
        <v>4418867</v>
      </c>
      <c r="J464" s="10">
        <v>455152000000</v>
      </c>
    </row>
    <row r="465" spans="1:10" x14ac:dyDescent="0.25">
      <c r="A465" s="14">
        <v>45789</v>
      </c>
      <c r="B465" s="15" t="s">
        <v>73</v>
      </c>
      <c r="C465" s="15" t="s">
        <v>74</v>
      </c>
      <c r="D465" s="15" t="s">
        <v>75</v>
      </c>
      <c r="E465" s="16">
        <v>107.94</v>
      </c>
      <c r="F465" s="16">
        <v>109.42</v>
      </c>
      <c r="G465" s="16">
        <v>107.64</v>
      </c>
      <c r="H465" s="16">
        <v>108.22</v>
      </c>
      <c r="I465" s="17">
        <v>2651328</v>
      </c>
      <c r="J465" s="16">
        <v>23808400000</v>
      </c>
    </row>
    <row r="466" spans="1:10" x14ac:dyDescent="0.25">
      <c r="A466" s="8">
        <v>45789</v>
      </c>
      <c r="B466" s="9" t="s">
        <v>76</v>
      </c>
      <c r="C466" s="9" t="s">
        <v>77</v>
      </c>
      <c r="D466" s="9" t="s">
        <v>75</v>
      </c>
      <c r="E466" s="10">
        <v>144.79</v>
      </c>
      <c r="F466" s="10">
        <v>145.85</v>
      </c>
      <c r="G466" s="10">
        <v>143.66</v>
      </c>
      <c r="H466" s="10">
        <v>144.96</v>
      </c>
      <c r="I466" s="11">
        <v>4877068</v>
      </c>
      <c r="J466" s="10">
        <v>28992000000</v>
      </c>
    </row>
    <row r="467" spans="1:10" x14ac:dyDescent="0.25">
      <c r="A467" s="14">
        <v>45790</v>
      </c>
      <c r="B467" s="15" t="s">
        <v>60</v>
      </c>
      <c r="C467" s="15" t="s">
        <v>61</v>
      </c>
      <c r="D467" s="15" t="s">
        <v>62</v>
      </c>
      <c r="E467" s="16">
        <v>3892.46</v>
      </c>
      <c r="F467" s="16">
        <v>3915.13</v>
      </c>
      <c r="G467" s="16">
        <v>3844.33</v>
      </c>
      <c r="H467" s="16">
        <v>3846.24</v>
      </c>
      <c r="I467" s="17">
        <v>4172367</v>
      </c>
      <c r="J467" s="16">
        <v>5384736000000</v>
      </c>
    </row>
    <row r="468" spans="1:10" x14ac:dyDescent="0.25">
      <c r="A468" s="8">
        <v>45790</v>
      </c>
      <c r="B468" s="9" t="s">
        <v>65</v>
      </c>
      <c r="C468" s="9" t="s">
        <v>66</v>
      </c>
      <c r="D468" s="9" t="s">
        <v>67</v>
      </c>
      <c r="E468" s="10">
        <v>154.78</v>
      </c>
      <c r="F468" s="10">
        <v>155.08000000000001</v>
      </c>
      <c r="G468" s="10">
        <v>154.09</v>
      </c>
      <c r="H468" s="10">
        <v>154.16</v>
      </c>
      <c r="I468" s="11">
        <v>3732128</v>
      </c>
      <c r="J468" s="10">
        <v>38540000000</v>
      </c>
    </row>
    <row r="469" spans="1:10" x14ac:dyDescent="0.25">
      <c r="A469" s="14">
        <v>45790</v>
      </c>
      <c r="B469" s="15" t="s">
        <v>69</v>
      </c>
      <c r="C469" s="15" t="s">
        <v>70</v>
      </c>
      <c r="D469" s="15" t="s">
        <v>71</v>
      </c>
      <c r="E469" s="16">
        <v>553.66999999999996</v>
      </c>
      <c r="F469" s="16">
        <v>554.79999999999995</v>
      </c>
      <c r="G469" s="16">
        <v>551.52</v>
      </c>
      <c r="H469" s="16">
        <v>552.51</v>
      </c>
      <c r="I469" s="17">
        <v>2419647</v>
      </c>
      <c r="J469" s="16">
        <v>442008000000</v>
      </c>
    </row>
    <row r="470" spans="1:10" x14ac:dyDescent="0.25">
      <c r="A470" s="8">
        <v>45790</v>
      </c>
      <c r="B470" s="9" t="s">
        <v>73</v>
      </c>
      <c r="C470" s="9" t="s">
        <v>74</v>
      </c>
      <c r="D470" s="9" t="s">
        <v>75</v>
      </c>
      <c r="E470" s="10">
        <v>106.84</v>
      </c>
      <c r="F470" s="10">
        <v>107.98</v>
      </c>
      <c r="G470" s="10">
        <v>106.76</v>
      </c>
      <c r="H470" s="10">
        <v>107.97</v>
      </c>
      <c r="I470" s="11">
        <v>4320112</v>
      </c>
      <c r="J470" s="10">
        <v>23753400000</v>
      </c>
    </row>
    <row r="471" spans="1:10" x14ac:dyDescent="0.25">
      <c r="A471" s="14">
        <v>45790</v>
      </c>
      <c r="B471" s="15" t="s">
        <v>76</v>
      </c>
      <c r="C471" s="15" t="s">
        <v>77</v>
      </c>
      <c r="D471" s="15" t="s">
        <v>75</v>
      </c>
      <c r="E471" s="16">
        <v>144.16</v>
      </c>
      <c r="F471" s="16">
        <v>145.4</v>
      </c>
      <c r="G471" s="16">
        <v>143.46</v>
      </c>
      <c r="H471" s="16">
        <v>145.25</v>
      </c>
      <c r="I471" s="17">
        <v>3808960</v>
      </c>
      <c r="J471" s="16">
        <v>29050000000</v>
      </c>
    </row>
    <row r="472" spans="1:10" x14ac:dyDescent="0.25">
      <c r="A472" s="8">
        <v>45791</v>
      </c>
      <c r="B472" s="9" t="s">
        <v>60</v>
      </c>
      <c r="C472" s="9" t="s">
        <v>61</v>
      </c>
      <c r="D472" s="9" t="s">
        <v>62</v>
      </c>
      <c r="E472" s="10">
        <v>3748.78</v>
      </c>
      <c r="F472" s="10">
        <v>3763.14</v>
      </c>
      <c r="G472" s="10">
        <v>3708.3</v>
      </c>
      <c r="H472" s="10">
        <v>3737.74</v>
      </c>
      <c r="I472" s="11">
        <v>1012880</v>
      </c>
      <c r="J472" s="10">
        <v>5232836000000</v>
      </c>
    </row>
    <row r="473" spans="1:10" x14ac:dyDescent="0.25">
      <c r="A473" s="14">
        <v>45791</v>
      </c>
      <c r="B473" s="15" t="s">
        <v>65</v>
      </c>
      <c r="C473" s="15" t="s">
        <v>66</v>
      </c>
      <c r="D473" s="15" t="s">
        <v>67</v>
      </c>
      <c r="E473" s="16">
        <v>157.99</v>
      </c>
      <c r="F473" s="16">
        <v>158.72999999999999</v>
      </c>
      <c r="G473" s="16">
        <v>157.38</v>
      </c>
      <c r="H473" s="16">
        <v>158.28</v>
      </c>
      <c r="I473" s="17">
        <v>1695348</v>
      </c>
      <c r="J473" s="16">
        <v>39570000000</v>
      </c>
    </row>
    <row r="474" spans="1:10" x14ac:dyDescent="0.25">
      <c r="A474" s="8">
        <v>45791</v>
      </c>
      <c r="B474" s="9" t="s">
        <v>69</v>
      </c>
      <c r="C474" s="9" t="s">
        <v>70</v>
      </c>
      <c r="D474" s="9" t="s">
        <v>71</v>
      </c>
      <c r="E474" s="10">
        <v>551.12</v>
      </c>
      <c r="F474" s="10">
        <v>552.17999999999995</v>
      </c>
      <c r="G474" s="10">
        <v>544.52</v>
      </c>
      <c r="H474" s="10">
        <v>547.58000000000004</v>
      </c>
      <c r="I474" s="11">
        <v>3081634</v>
      </c>
      <c r="J474" s="10">
        <v>438064000000</v>
      </c>
    </row>
    <row r="475" spans="1:10" x14ac:dyDescent="0.25">
      <c r="A475" s="14">
        <v>45791</v>
      </c>
      <c r="B475" s="15" t="s">
        <v>73</v>
      </c>
      <c r="C475" s="15" t="s">
        <v>74</v>
      </c>
      <c r="D475" s="15" t="s">
        <v>75</v>
      </c>
      <c r="E475" s="16">
        <v>107.74</v>
      </c>
      <c r="F475" s="16">
        <v>108.63</v>
      </c>
      <c r="G475" s="16">
        <v>107.54</v>
      </c>
      <c r="H475" s="16">
        <v>107.55</v>
      </c>
      <c r="I475" s="17">
        <v>2470454</v>
      </c>
      <c r="J475" s="16">
        <v>23661000000</v>
      </c>
    </row>
    <row r="476" spans="1:10" x14ac:dyDescent="0.25">
      <c r="A476" s="8">
        <v>45791</v>
      </c>
      <c r="B476" s="9" t="s">
        <v>76</v>
      </c>
      <c r="C476" s="9" t="s">
        <v>77</v>
      </c>
      <c r="D476" s="9" t="s">
        <v>75</v>
      </c>
      <c r="E476" s="10">
        <v>145.91</v>
      </c>
      <c r="F476" s="10">
        <v>147.81</v>
      </c>
      <c r="G476" s="10">
        <v>144.25</v>
      </c>
      <c r="H476" s="10">
        <v>145.04</v>
      </c>
      <c r="I476" s="11">
        <v>3438342</v>
      </c>
      <c r="J476" s="10">
        <v>29008000000</v>
      </c>
    </row>
    <row r="477" spans="1:10" x14ac:dyDescent="0.25">
      <c r="A477" s="14">
        <v>45792</v>
      </c>
      <c r="B477" s="15" t="s">
        <v>60</v>
      </c>
      <c r="C477" s="15" t="s">
        <v>61</v>
      </c>
      <c r="D477" s="15" t="s">
        <v>62</v>
      </c>
      <c r="E477" s="16">
        <v>3708.01</v>
      </c>
      <c r="F477" s="16">
        <v>3747.56</v>
      </c>
      <c r="G477" s="16">
        <v>3675.76</v>
      </c>
      <c r="H477" s="16">
        <v>3718.02</v>
      </c>
      <c r="I477" s="17">
        <v>4498211</v>
      </c>
      <c r="J477" s="16">
        <v>5205228000000</v>
      </c>
    </row>
    <row r="478" spans="1:10" x14ac:dyDescent="0.25">
      <c r="A478" s="8">
        <v>45792</v>
      </c>
      <c r="B478" s="9" t="s">
        <v>65</v>
      </c>
      <c r="C478" s="9" t="s">
        <v>66</v>
      </c>
      <c r="D478" s="9" t="s">
        <v>67</v>
      </c>
      <c r="E478" s="10">
        <v>163.15</v>
      </c>
      <c r="F478" s="10">
        <v>166.84</v>
      </c>
      <c r="G478" s="10">
        <v>162.06</v>
      </c>
      <c r="H478" s="10">
        <v>166.46</v>
      </c>
      <c r="I478" s="11">
        <v>1020202</v>
      </c>
      <c r="J478" s="10">
        <v>41615000000</v>
      </c>
    </row>
    <row r="479" spans="1:10" x14ac:dyDescent="0.25">
      <c r="A479" s="14">
        <v>45792</v>
      </c>
      <c r="B479" s="15" t="s">
        <v>69</v>
      </c>
      <c r="C479" s="15" t="s">
        <v>70</v>
      </c>
      <c r="D479" s="15" t="s">
        <v>71</v>
      </c>
      <c r="E479" s="16">
        <v>548.42999999999995</v>
      </c>
      <c r="F479" s="16">
        <v>556.21</v>
      </c>
      <c r="G479" s="16">
        <v>541.48</v>
      </c>
      <c r="H479" s="16">
        <v>543.57000000000005</v>
      </c>
      <c r="I479" s="17">
        <v>2916325</v>
      </c>
      <c r="J479" s="16">
        <v>434856000000</v>
      </c>
    </row>
    <row r="480" spans="1:10" x14ac:dyDescent="0.25">
      <c r="A480" s="8">
        <v>45792</v>
      </c>
      <c r="B480" s="9" t="s">
        <v>73</v>
      </c>
      <c r="C480" s="9" t="s">
        <v>74</v>
      </c>
      <c r="D480" s="9" t="s">
        <v>75</v>
      </c>
      <c r="E480" s="10">
        <v>106.01</v>
      </c>
      <c r="F480" s="10">
        <v>107.25</v>
      </c>
      <c r="G480" s="10">
        <v>105.23</v>
      </c>
      <c r="H480" s="10">
        <v>105.43</v>
      </c>
      <c r="I480" s="11">
        <v>4095402</v>
      </c>
      <c r="J480" s="10">
        <v>23194600000</v>
      </c>
    </row>
    <row r="481" spans="1:10" x14ac:dyDescent="0.25">
      <c r="A481" s="14">
        <v>45792</v>
      </c>
      <c r="B481" s="15" t="s">
        <v>76</v>
      </c>
      <c r="C481" s="15" t="s">
        <v>77</v>
      </c>
      <c r="D481" s="15" t="s">
        <v>75</v>
      </c>
      <c r="E481" s="16">
        <v>144.80000000000001</v>
      </c>
      <c r="F481" s="16">
        <v>145.21</v>
      </c>
      <c r="G481" s="16">
        <v>143.91</v>
      </c>
      <c r="H481" s="16">
        <v>144.96</v>
      </c>
      <c r="I481" s="17">
        <v>1265405</v>
      </c>
      <c r="J481" s="16">
        <v>28992000000</v>
      </c>
    </row>
    <row r="482" spans="1:10" x14ac:dyDescent="0.25">
      <c r="A482" s="8">
        <v>45793</v>
      </c>
      <c r="B482" s="9" t="s">
        <v>60</v>
      </c>
      <c r="C482" s="9" t="s">
        <v>61</v>
      </c>
      <c r="D482" s="9" t="s">
        <v>62</v>
      </c>
      <c r="E482" s="10">
        <v>3769.38</v>
      </c>
      <c r="F482" s="10">
        <v>3773.29</v>
      </c>
      <c r="G482" s="10">
        <v>3727.55</v>
      </c>
      <c r="H482" s="10">
        <v>3770.08</v>
      </c>
      <c r="I482" s="11">
        <v>2346090</v>
      </c>
      <c r="J482" s="10">
        <v>5278112000000</v>
      </c>
    </row>
    <row r="483" spans="1:10" x14ac:dyDescent="0.25">
      <c r="A483" s="14">
        <v>45793</v>
      </c>
      <c r="B483" s="15" t="s">
        <v>65</v>
      </c>
      <c r="C483" s="15" t="s">
        <v>66</v>
      </c>
      <c r="D483" s="15" t="s">
        <v>67</v>
      </c>
      <c r="E483" s="16">
        <v>169.34</v>
      </c>
      <c r="F483" s="16">
        <v>171.05</v>
      </c>
      <c r="G483" s="16">
        <v>169.17</v>
      </c>
      <c r="H483" s="16">
        <v>169.79</v>
      </c>
      <c r="I483" s="17">
        <v>3876645</v>
      </c>
      <c r="J483" s="16">
        <v>42447500000</v>
      </c>
    </row>
    <row r="484" spans="1:10" x14ac:dyDescent="0.25">
      <c r="A484" s="8">
        <v>45793</v>
      </c>
      <c r="B484" s="9" t="s">
        <v>69</v>
      </c>
      <c r="C484" s="9" t="s">
        <v>70</v>
      </c>
      <c r="D484" s="9" t="s">
        <v>71</v>
      </c>
      <c r="E484" s="10">
        <v>549.4</v>
      </c>
      <c r="F484" s="10">
        <v>550.22</v>
      </c>
      <c r="G484" s="10">
        <v>547.08000000000004</v>
      </c>
      <c r="H484" s="10">
        <v>549.09</v>
      </c>
      <c r="I484" s="11">
        <v>3925006</v>
      </c>
      <c r="J484" s="10">
        <v>439272000000</v>
      </c>
    </row>
    <row r="485" spans="1:10" x14ac:dyDescent="0.25">
      <c r="A485" s="14">
        <v>45793</v>
      </c>
      <c r="B485" s="15" t="s">
        <v>73</v>
      </c>
      <c r="C485" s="15" t="s">
        <v>74</v>
      </c>
      <c r="D485" s="15" t="s">
        <v>75</v>
      </c>
      <c r="E485" s="16">
        <v>106.02</v>
      </c>
      <c r="F485" s="16">
        <v>107.12</v>
      </c>
      <c r="G485" s="16">
        <v>105.17</v>
      </c>
      <c r="H485" s="16">
        <v>106.89</v>
      </c>
      <c r="I485" s="17">
        <v>4071308</v>
      </c>
      <c r="J485" s="16">
        <v>23515800000</v>
      </c>
    </row>
    <row r="486" spans="1:10" x14ac:dyDescent="0.25">
      <c r="A486" s="8">
        <v>45793</v>
      </c>
      <c r="B486" s="9" t="s">
        <v>76</v>
      </c>
      <c r="C486" s="9" t="s">
        <v>77</v>
      </c>
      <c r="D486" s="9" t="s">
        <v>75</v>
      </c>
      <c r="E486" s="10">
        <v>143.18</v>
      </c>
      <c r="F486" s="10">
        <v>143.80000000000001</v>
      </c>
      <c r="G486" s="10">
        <v>142.96</v>
      </c>
      <c r="H486" s="10">
        <v>143.59</v>
      </c>
      <c r="I486" s="11">
        <v>824822</v>
      </c>
      <c r="J486" s="10">
        <v>28718000000</v>
      </c>
    </row>
    <row r="487" spans="1:10" x14ac:dyDescent="0.25">
      <c r="A487" s="14">
        <v>45796</v>
      </c>
      <c r="B487" s="15" t="s">
        <v>60</v>
      </c>
      <c r="C487" s="15" t="s">
        <v>61</v>
      </c>
      <c r="D487" s="15" t="s">
        <v>62</v>
      </c>
      <c r="E487" s="16">
        <v>3733.99</v>
      </c>
      <c r="F487" s="16">
        <v>3781.34</v>
      </c>
      <c r="G487" s="16">
        <v>3708.98</v>
      </c>
      <c r="H487" s="16">
        <v>3747.83</v>
      </c>
      <c r="I487" s="17">
        <v>3368494</v>
      </c>
      <c r="J487" s="16">
        <v>5246962000000</v>
      </c>
    </row>
    <row r="488" spans="1:10" x14ac:dyDescent="0.25">
      <c r="A488" s="8">
        <v>45796</v>
      </c>
      <c r="B488" s="9" t="s">
        <v>65</v>
      </c>
      <c r="C488" s="9" t="s">
        <v>66</v>
      </c>
      <c r="D488" s="9" t="s">
        <v>67</v>
      </c>
      <c r="E488" s="10">
        <v>168.53</v>
      </c>
      <c r="F488" s="10">
        <v>169.85</v>
      </c>
      <c r="G488" s="10">
        <v>168.32</v>
      </c>
      <c r="H488" s="10">
        <v>169.13</v>
      </c>
      <c r="I488" s="11">
        <v>2929024</v>
      </c>
      <c r="J488" s="10">
        <v>42282500000</v>
      </c>
    </row>
    <row r="489" spans="1:10" x14ac:dyDescent="0.25">
      <c r="A489" s="14">
        <v>45796</v>
      </c>
      <c r="B489" s="15" t="s">
        <v>69</v>
      </c>
      <c r="C489" s="15" t="s">
        <v>70</v>
      </c>
      <c r="D489" s="15" t="s">
        <v>71</v>
      </c>
      <c r="E489" s="16">
        <v>565.55999999999995</v>
      </c>
      <c r="F489" s="16">
        <v>570.66</v>
      </c>
      <c r="G489" s="16">
        <v>562</v>
      </c>
      <c r="H489" s="16">
        <v>567.08000000000004</v>
      </c>
      <c r="I489" s="17">
        <v>3218603</v>
      </c>
      <c r="J489" s="16">
        <v>453664000000</v>
      </c>
    </row>
    <row r="490" spans="1:10" x14ac:dyDescent="0.25">
      <c r="A490" s="8">
        <v>45796</v>
      </c>
      <c r="B490" s="9" t="s">
        <v>73</v>
      </c>
      <c r="C490" s="9" t="s">
        <v>74</v>
      </c>
      <c r="D490" s="9" t="s">
        <v>75</v>
      </c>
      <c r="E490" s="10">
        <v>105.85</v>
      </c>
      <c r="F490" s="10">
        <v>106.6</v>
      </c>
      <c r="G490" s="10">
        <v>105.26</v>
      </c>
      <c r="H490" s="10">
        <v>106.33</v>
      </c>
      <c r="I490" s="11">
        <v>1010951</v>
      </c>
      <c r="J490" s="10">
        <v>23392600000</v>
      </c>
    </row>
    <row r="491" spans="1:10" x14ac:dyDescent="0.25">
      <c r="A491" s="14">
        <v>45796</v>
      </c>
      <c r="B491" s="15" t="s">
        <v>76</v>
      </c>
      <c r="C491" s="15" t="s">
        <v>77</v>
      </c>
      <c r="D491" s="15" t="s">
        <v>75</v>
      </c>
      <c r="E491" s="16">
        <v>146.47</v>
      </c>
      <c r="F491" s="16">
        <v>146.94999999999999</v>
      </c>
      <c r="G491" s="16">
        <v>145.57</v>
      </c>
      <c r="H491" s="16">
        <v>145.9</v>
      </c>
      <c r="I491" s="17">
        <v>1281038</v>
      </c>
      <c r="J491" s="16">
        <v>29180000000</v>
      </c>
    </row>
    <row r="492" spans="1:10" x14ac:dyDescent="0.25">
      <c r="A492" s="8">
        <v>45797</v>
      </c>
      <c r="B492" s="9" t="s">
        <v>60</v>
      </c>
      <c r="C492" s="9" t="s">
        <v>61</v>
      </c>
      <c r="D492" s="9" t="s">
        <v>62</v>
      </c>
      <c r="E492" s="10">
        <v>3783.88</v>
      </c>
      <c r="F492" s="10">
        <v>3826.37</v>
      </c>
      <c r="G492" s="10">
        <v>3752.44</v>
      </c>
      <c r="H492" s="10">
        <v>3762.63</v>
      </c>
      <c r="I492" s="11">
        <v>3518792</v>
      </c>
      <c r="J492" s="10">
        <v>5267682000000</v>
      </c>
    </row>
    <row r="493" spans="1:10" x14ac:dyDescent="0.25">
      <c r="A493" s="14">
        <v>45797</v>
      </c>
      <c r="B493" s="15" t="s">
        <v>65</v>
      </c>
      <c r="C493" s="15" t="s">
        <v>66</v>
      </c>
      <c r="D493" s="15" t="s">
        <v>67</v>
      </c>
      <c r="E493" s="16">
        <v>168.98</v>
      </c>
      <c r="F493" s="16">
        <v>170.36</v>
      </c>
      <c r="G493" s="16">
        <v>168.25</v>
      </c>
      <c r="H493" s="16">
        <v>169.38</v>
      </c>
      <c r="I493" s="17">
        <v>1753198</v>
      </c>
      <c r="J493" s="16">
        <v>42345000000</v>
      </c>
    </row>
    <row r="494" spans="1:10" x14ac:dyDescent="0.25">
      <c r="A494" s="8">
        <v>45797</v>
      </c>
      <c r="B494" s="9" t="s">
        <v>69</v>
      </c>
      <c r="C494" s="9" t="s">
        <v>70</v>
      </c>
      <c r="D494" s="9" t="s">
        <v>71</v>
      </c>
      <c r="E494" s="10">
        <v>557.91</v>
      </c>
      <c r="F494" s="10">
        <v>559.66</v>
      </c>
      <c r="G494" s="10">
        <v>555.44000000000005</v>
      </c>
      <c r="H494" s="10">
        <v>557.34</v>
      </c>
      <c r="I494" s="11">
        <v>749723</v>
      </c>
      <c r="J494" s="10">
        <v>445872000000</v>
      </c>
    </row>
    <row r="495" spans="1:10" x14ac:dyDescent="0.25">
      <c r="A495" s="14">
        <v>45797</v>
      </c>
      <c r="B495" s="15" t="s">
        <v>73</v>
      </c>
      <c r="C495" s="15" t="s">
        <v>74</v>
      </c>
      <c r="D495" s="15" t="s">
        <v>75</v>
      </c>
      <c r="E495" s="16">
        <v>107.42</v>
      </c>
      <c r="F495" s="16">
        <v>108.82</v>
      </c>
      <c r="G495" s="16">
        <v>105.84</v>
      </c>
      <c r="H495" s="16">
        <v>107.28</v>
      </c>
      <c r="I495" s="17">
        <v>1936856</v>
      </c>
      <c r="J495" s="16">
        <v>23601600000</v>
      </c>
    </row>
    <row r="496" spans="1:10" x14ac:dyDescent="0.25">
      <c r="A496" s="8">
        <v>45797</v>
      </c>
      <c r="B496" s="9" t="s">
        <v>76</v>
      </c>
      <c r="C496" s="9" t="s">
        <v>77</v>
      </c>
      <c r="D496" s="9" t="s">
        <v>75</v>
      </c>
      <c r="E496" s="10">
        <v>148.18</v>
      </c>
      <c r="F496" s="10">
        <v>150.97999999999999</v>
      </c>
      <c r="G496" s="10">
        <v>146.80000000000001</v>
      </c>
      <c r="H496" s="10">
        <v>149.66</v>
      </c>
      <c r="I496" s="11">
        <v>3786560</v>
      </c>
      <c r="J496" s="10">
        <v>29932000000</v>
      </c>
    </row>
    <row r="497" spans="1:10" x14ac:dyDescent="0.25">
      <c r="A497" s="14">
        <v>45798</v>
      </c>
      <c r="B497" s="15" t="s">
        <v>60</v>
      </c>
      <c r="C497" s="15" t="s">
        <v>61</v>
      </c>
      <c r="D497" s="15" t="s">
        <v>62</v>
      </c>
      <c r="E497" s="16">
        <v>3761.13</v>
      </c>
      <c r="F497" s="16">
        <v>3769.21</v>
      </c>
      <c r="G497" s="16">
        <v>3729.55</v>
      </c>
      <c r="H497" s="16">
        <v>3736.18</v>
      </c>
      <c r="I497" s="17">
        <v>558878</v>
      </c>
      <c r="J497" s="16">
        <v>5230652000000</v>
      </c>
    </row>
    <row r="498" spans="1:10" x14ac:dyDescent="0.25">
      <c r="A498" s="8">
        <v>45798</v>
      </c>
      <c r="B498" s="9" t="s">
        <v>65</v>
      </c>
      <c r="C498" s="9" t="s">
        <v>66</v>
      </c>
      <c r="D498" s="9" t="s">
        <v>67</v>
      </c>
      <c r="E498" s="10">
        <v>169.92</v>
      </c>
      <c r="F498" s="10">
        <v>170.84</v>
      </c>
      <c r="G498" s="10">
        <v>168.97</v>
      </c>
      <c r="H498" s="10">
        <v>169.51</v>
      </c>
      <c r="I498" s="11">
        <v>4136289</v>
      </c>
      <c r="J498" s="10">
        <v>42377500000</v>
      </c>
    </row>
    <row r="499" spans="1:10" x14ac:dyDescent="0.25">
      <c r="A499" s="14">
        <v>45798</v>
      </c>
      <c r="B499" s="15" t="s">
        <v>69</v>
      </c>
      <c r="C499" s="15" t="s">
        <v>70</v>
      </c>
      <c r="D499" s="15" t="s">
        <v>71</v>
      </c>
      <c r="E499" s="16">
        <v>558.66999999999996</v>
      </c>
      <c r="F499" s="16">
        <v>565.72</v>
      </c>
      <c r="G499" s="16">
        <v>555.59</v>
      </c>
      <c r="H499" s="16">
        <v>560.61</v>
      </c>
      <c r="I499" s="17">
        <v>4584951</v>
      </c>
      <c r="J499" s="16">
        <v>448488000000</v>
      </c>
    </row>
    <row r="500" spans="1:10" x14ac:dyDescent="0.25">
      <c r="A500" s="8">
        <v>45798</v>
      </c>
      <c r="B500" s="9" t="s">
        <v>73</v>
      </c>
      <c r="C500" s="9" t="s">
        <v>74</v>
      </c>
      <c r="D500" s="9" t="s">
        <v>75</v>
      </c>
      <c r="E500" s="10">
        <v>107.9</v>
      </c>
      <c r="F500" s="10">
        <v>108.18</v>
      </c>
      <c r="G500" s="10">
        <v>107.65</v>
      </c>
      <c r="H500" s="10">
        <v>107.84</v>
      </c>
      <c r="I500" s="11">
        <v>649054</v>
      </c>
      <c r="J500" s="10">
        <v>23724800000</v>
      </c>
    </row>
    <row r="501" spans="1:10" x14ac:dyDescent="0.25">
      <c r="A501" s="14">
        <v>45798</v>
      </c>
      <c r="B501" s="15" t="s">
        <v>76</v>
      </c>
      <c r="C501" s="15" t="s">
        <v>77</v>
      </c>
      <c r="D501" s="15" t="s">
        <v>75</v>
      </c>
      <c r="E501" s="16">
        <v>145.56</v>
      </c>
      <c r="F501" s="16">
        <v>145.63999999999999</v>
      </c>
      <c r="G501" s="16">
        <v>144.31</v>
      </c>
      <c r="H501" s="16">
        <v>144.6</v>
      </c>
      <c r="I501" s="17">
        <v>3866456</v>
      </c>
      <c r="J501" s="16">
        <v>28920000000</v>
      </c>
    </row>
    <row r="502" spans="1:10" x14ac:dyDescent="0.25">
      <c r="A502" s="8">
        <v>45799</v>
      </c>
      <c r="B502" s="9" t="s">
        <v>60</v>
      </c>
      <c r="C502" s="9" t="s">
        <v>61</v>
      </c>
      <c r="D502" s="9" t="s">
        <v>62</v>
      </c>
      <c r="E502" s="10">
        <v>3821.34</v>
      </c>
      <c r="F502" s="10">
        <v>3855.87</v>
      </c>
      <c r="G502" s="10">
        <v>3821.12</v>
      </c>
      <c r="H502" s="10">
        <v>3855.85</v>
      </c>
      <c r="I502" s="11">
        <v>4072628</v>
      </c>
      <c r="J502" s="10">
        <v>5398190000000</v>
      </c>
    </row>
    <row r="503" spans="1:10" x14ac:dyDescent="0.25">
      <c r="A503" s="14">
        <v>45799</v>
      </c>
      <c r="B503" s="15" t="s">
        <v>65</v>
      </c>
      <c r="C503" s="15" t="s">
        <v>66</v>
      </c>
      <c r="D503" s="15" t="s">
        <v>67</v>
      </c>
      <c r="E503" s="16">
        <v>167.41</v>
      </c>
      <c r="F503" s="16">
        <v>167.62</v>
      </c>
      <c r="G503" s="16">
        <v>164.75</v>
      </c>
      <c r="H503" s="16" t="s">
        <v>86</v>
      </c>
      <c r="I503" s="17">
        <v>1284705</v>
      </c>
      <c r="J503" s="16">
        <v>41250000000</v>
      </c>
    </row>
    <row r="504" spans="1:10" x14ac:dyDescent="0.25">
      <c r="A504" s="8">
        <v>45799</v>
      </c>
      <c r="B504" s="9" t="s">
        <v>69</v>
      </c>
      <c r="C504" s="9" t="s">
        <v>70</v>
      </c>
      <c r="D504" s="9" t="s">
        <v>71</v>
      </c>
      <c r="E504" s="10">
        <v>564.15</v>
      </c>
      <c r="F504" s="10">
        <v>571.29999999999995</v>
      </c>
      <c r="G504" s="10">
        <v>560.79999999999995</v>
      </c>
      <c r="H504" s="10">
        <v>567.21</v>
      </c>
      <c r="I504" s="11">
        <v>3891725</v>
      </c>
      <c r="J504" s="10">
        <v>453768000000</v>
      </c>
    </row>
    <row r="505" spans="1:10" x14ac:dyDescent="0.25">
      <c r="A505" s="14">
        <v>45799</v>
      </c>
      <c r="B505" s="15" t="s">
        <v>73</v>
      </c>
      <c r="C505" s="15" t="s">
        <v>74</v>
      </c>
      <c r="D505" s="15" t="s">
        <v>75</v>
      </c>
      <c r="E505" s="16">
        <v>104.88</v>
      </c>
      <c r="F505" s="16">
        <v>105.11</v>
      </c>
      <c r="G505" s="16">
        <v>104.48</v>
      </c>
      <c r="H505" s="16">
        <v>104.61</v>
      </c>
      <c r="I505" s="17">
        <v>2035961</v>
      </c>
      <c r="J505" s="16">
        <v>23014200000</v>
      </c>
    </row>
    <row r="506" spans="1:10" x14ac:dyDescent="0.25">
      <c r="A506" s="8">
        <v>45799</v>
      </c>
      <c r="B506" s="9" t="s">
        <v>76</v>
      </c>
      <c r="C506" s="9" t="s">
        <v>77</v>
      </c>
      <c r="D506" s="9" t="s">
        <v>75</v>
      </c>
      <c r="E506" s="10">
        <v>145.59</v>
      </c>
      <c r="F506" s="10">
        <v>147.01</v>
      </c>
      <c r="G506" s="10">
        <v>144.05000000000001</v>
      </c>
      <c r="H506" s="10">
        <v>144.55000000000001</v>
      </c>
      <c r="I506" s="11">
        <v>2754797</v>
      </c>
      <c r="J506" s="10">
        <v>28910000000</v>
      </c>
    </row>
    <row r="507" spans="1:10" x14ac:dyDescent="0.25">
      <c r="A507" s="14">
        <v>45800</v>
      </c>
      <c r="B507" s="15" t="s">
        <v>60</v>
      </c>
      <c r="C507" s="15" t="s">
        <v>61</v>
      </c>
      <c r="D507" s="15" t="s">
        <v>62</v>
      </c>
      <c r="E507" s="16">
        <v>3840.92</v>
      </c>
      <c r="F507" s="16">
        <v>3846.85</v>
      </c>
      <c r="G507" s="16">
        <v>3817.42</v>
      </c>
      <c r="H507" s="16">
        <v>3842.67</v>
      </c>
      <c r="I507" s="17">
        <v>1098806</v>
      </c>
      <c r="J507" s="16">
        <v>5379738000000</v>
      </c>
    </row>
    <row r="508" spans="1:10" x14ac:dyDescent="0.25">
      <c r="A508" s="8">
        <v>45800</v>
      </c>
      <c r="B508" s="9" t="s">
        <v>65</v>
      </c>
      <c r="C508" s="9" t="s">
        <v>66</v>
      </c>
      <c r="D508" s="9" t="s">
        <v>67</v>
      </c>
      <c r="E508" s="10">
        <v>167.75</v>
      </c>
      <c r="F508" s="10">
        <v>169.43</v>
      </c>
      <c r="G508" s="10">
        <v>167.35</v>
      </c>
      <c r="H508" s="10">
        <v>167.93</v>
      </c>
      <c r="I508" s="11">
        <v>1364415</v>
      </c>
      <c r="J508" s="10">
        <v>41982500000</v>
      </c>
    </row>
    <row r="509" spans="1:10" x14ac:dyDescent="0.25">
      <c r="A509" s="14">
        <v>45800</v>
      </c>
      <c r="B509" s="15" t="s">
        <v>69</v>
      </c>
      <c r="C509" s="15" t="s">
        <v>70</v>
      </c>
      <c r="D509" s="15" t="s">
        <v>71</v>
      </c>
      <c r="E509" s="16">
        <v>568.89</v>
      </c>
      <c r="F509" s="16">
        <v>569.62</v>
      </c>
      <c r="G509" s="16">
        <v>566.57000000000005</v>
      </c>
      <c r="H509" s="16">
        <v>567.02</v>
      </c>
      <c r="I509" s="17">
        <v>3001943</v>
      </c>
      <c r="J509" s="16">
        <v>453616000000</v>
      </c>
    </row>
    <row r="510" spans="1:10" x14ac:dyDescent="0.25">
      <c r="A510" s="8">
        <v>45800</v>
      </c>
      <c r="B510" s="9" t="s">
        <v>73</v>
      </c>
      <c r="C510" s="9" t="s">
        <v>74</v>
      </c>
      <c r="D510" s="9" t="s">
        <v>75</v>
      </c>
      <c r="E510" s="10">
        <v>105.89</v>
      </c>
      <c r="F510" s="10">
        <v>107.15</v>
      </c>
      <c r="G510" s="10">
        <v>105.45</v>
      </c>
      <c r="H510" s="10">
        <v>106.43</v>
      </c>
      <c r="I510" s="11">
        <v>2554162</v>
      </c>
      <c r="J510" s="10">
        <v>23414600000</v>
      </c>
    </row>
    <row r="511" spans="1:10" x14ac:dyDescent="0.25">
      <c r="A511" s="14">
        <v>45800</v>
      </c>
      <c r="B511" s="15" t="s">
        <v>76</v>
      </c>
      <c r="C511" s="15" t="s">
        <v>77</v>
      </c>
      <c r="D511" s="15" t="s">
        <v>75</v>
      </c>
      <c r="E511" s="16">
        <v>142.33000000000001</v>
      </c>
      <c r="F511" s="16">
        <v>143.1</v>
      </c>
      <c r="G511" s="16">
        <v>141.54</v>
      </c>
      <c r="H511" s="16">
        <v>141.66</v>
      </c>
      <c r="I511" s="17">
        <v>1080935</v>
      </c>
      <c r="J511" s="16">
        <v>28332000000</v>
      </c>
    </row>
    <row r="512" spans="1:10" x14ac:dyDescent="0.25">
      <c r="A512" s="8">
        <v>45803</v>
      </c>
      <c r="B512" s="9" t="s">
        <v>60</v>
      </c>
      <c r="C512" s="9" t="s">
        <v>61</v>
      </c>
      <c r="D512" s="9" t="s">
        <v>62</v>
      </c>
      <c r="E512" s="10">
        <v>3764.82</v>
      </c>
      <c r="F512" s="10">
        <v>3793.56</v>
      </c>
      <c r="G512" s="10">
        <v>3743.81</v>
      </c>
      <c r="H512" s="10">
        <v>3766.43</v>
      </c>
      <c r="I512" s="11">
        <v>4394013</v>
      </c>
      <c r="J512" s="10">
        <v>5273002000000</v>
      </c>
    </row>
    <row r="513" spans="1:10" x14ac:dyDescent="0.25">
      <c r="A513" s="14">
        <v>45803</v>
      </c>
      <c r="B513" s="15" t="s">
        <v>65</v>
      </c>
      <c r="C513" s="15" t="s">
        <v>66</v>
      </c>
      <c r="D513" s="15" t="s">
        <v>67</v>
      </c>
      <c r="E513" s="16">
        <v>163.11000000000001</v>
      </c>
      <c r="F513" s="16">
        <v>163.15</v>
      </c>
      <c r="G513" s="16">
        <v>163.03</v>
      </c>
      <c r="H513" s="16">
        <v>163.12</v>
      </c>
      <c r="I513" s="17">
        <v>1081328</v>
      </c>
      <c r="J513" s="16">
        <v>40780000000</v>
      </c>
    </row>
    <row r="514" spans="1:10" x14ac:dyDescent="0.25">
      <c r="A514" s="8">
        <v>45803</v>
      </c>
      <c r="B514" s="9" t="s">
        <v>69</v>
      </c>
      <c r="C514" s="9" t="s">
        <v>70</v>
      </c>
      <c r="D514" s="9" t="s">
        <v>71</v>
      </c>
      <c r="E514" s="10">
        <v>566.01</v>
      </c>
      <c r="F514" s="10">
        <v>570.99</v>
      </c>
      <c r="G514" s="10">
        <v>563.82000000000005</v>
      </c>
      <c r="H514" s="10">
        <v>564.27</v>
      </c>
      <c r="I514" s="11">
        <v>4783077</v>
      </c>
      <c r="J514" s="10">
        <v>451416000000</v>
      </c>
    </row>
    <row r="515" spans="1:10" x14ac:dyDescent="0.25">
      <c r="A515" s="14">
        <v>45803</v>
      </c>
      <c r="B515" s="15" t="s">
        <v>73</v>
      </c>
      <c r="C515" s="15" t="s">
        <v>74</v>
      </c>
      <c r="D515" s="15" t="s">
        <v>75</v>
      </c>
      <c r="E515" s="16">
        <v>105.16</v>
      </c>
      <c r="F515" s="16">
        <v>106.93</v>
      </c>
      <c r="G515" s="16">
        <v>103.84</v>
      </c>
      <c r="H515" s="16">
        <v>106.39</v>
      </c>
      <c r="I515" s="17">
        <v>4449969</v>
      </c>
      <c r="J515" s="16">
        <v>23405800000</v>
      </c>
    </row>
    <row r="516" spans="1:10" x14ac:dyDescent="0.25">
      <c r="A516" s="8">
        <v>45803</v>
      </c>
      <c r="B516" s="9" t="s">
        <v>76</v>
      </c>
      <c r="C516" s="9" t="s">
        <v>77</v>
      </c>
      <c r="D516" s="9" t="s">
        <v>75</v>
      </c>
      <c r="E516" s="10">
        <v>141.22</v>
      </c>
      <c r="F516" s="10">
        <v>143.33000000000001</v>
      </c>
      <c r="G516" s="10">
        <v>140.44</v>
      </c>
      <c r="H516" s="10">
        <v>142.08000000000001</v>
      </c>
      <c r="I516" s="11">
        <v>4371309</v>
      </c>
      <c r="J516" s="10">
        <v>28416000000</v>
      </c>
    </row>
    <row r="517" spans="1:10" x14ac:dyDescent="0.25">
      <c r="A517" s="14">
        <v>45804</v>
      </c>
      <c r="B517" s="15" t="s">
        <v>60</v>
      </c>
      <c r="C517" s="15" t="s">
        <v>61</v>
      </c>
      <c r="D517" s="15" t="s">
        <v>62</v>
      </c>
      <c r="E517" s="16">
        <v>3830.39</v>
      </c>
      <c r="F517" s="16">
        <v>3845.87</v>
      </c>
      <c r="G517" s="16">
        <v>3767.32</v>
      </c>
      <c r="H517" s="16">
        <v>3827.2</v>
      </c>
      <c r="I517" s="17">
        <v>685397</v>
      </c>
      <c r="J517" s="16">
        <v>5358080000000</v>
      </c>
    </row>
    <row r="518" spans="1:10" x14ac:dyDescent="0.25">
      <c r="A518" s="8">
        <v>45804</v>
      </c>
      <c r="B518" s="9" t="s">
        <v>65</v>
      </c>
      <c r="C518" s="9" t="s">
        <v>66</v>
      </c>
      <c r="D518" s="9" t="s">
        <v>67</v>
      </c>
      <c r="E518" s="10">
        <v>166.62</v>
      </c>
      <c r="F518" s="10">
        <v>167.99</v>
      </c>
      <c r="G518" s="10">
        <v>165.96</v>
      </c>
      <c r="H518" s="10">
        <v>167.7</v>
      </c>
      <c r="I518" s="11">
        <v>4001774</v>
      </c>
      <c r="J518" s="10">
        <v>41925000000</v>
      </c>
    </row>
    <row r="519" spans="1:10" x14ac:dyDescent="0.25">
      <c r="A519" s="14">
        <v>45804</v>
      </c>
      <c r="B519" s="15" t="s">
        <v>69</v>
      </c>
      <c r="C519" s="15" t="s">
        <v>70</v>
      </c>
      <c r="D519" s="15" t="s">
        <v>71</v>
      </c>
      <c r="E519" s="16">
        <v>565.48</v>
      </c>
      <c r="F519" s="16">
        <v>578.99</v>
      </c>
      <c r="G519" s="16">
        <v>561.69000000000005</v>
      </c>
      <c r="H519" s="16">
        <v>569.09</v>
      </c>
      <c r="I519" s="17">
        <v>1406567</v>
      </c>
      <c r="J519" s="16">
        <v>455272000000</v>
      </c>
    </row>
    <row r="520" spans="1:10" x14ac:dyDescent="0.25">
      <c r="A520" s="8">
        <v>45804</v>
      </c>
      <c r="B520" s="9" t="s">
        <v>73</v>
      </c>
      <c r="C520" s="9" t="s">
        <v>74</v>
      </c>
      <c r="D520" s="9" t="s">
        <v>75</v>
      </c>
      <c r="E520" s="10">
        <v>107.41</v>
      </c>
      <c r="F520" s="10">
        <v>107.9</v>
      </c>
      <c r="G520" s="10">
        <v>106.17</v>
      </c>
      <c r="H520" s="10">
        <v>106.33</v>
      </c>
      <c r="I520" s="11">
        <v>3323551</v>
      </c>
      <c r="J520" s="10">
        <v>23392600000</v>
      </c>
    </row>
    <row r="521" spans="1:10" x14ac:dyDescent="0.25">
      <c r="A521" s="14">
        <v>45804</v>
      </c>
      <c r="B521" s="15" t="s">
        <v>76</v>
      </c>
      <c r="C521" s="15" t="s">
        <v>77</v>
      </c>
      <c r="D521" s="15" t="s">
        <v>75</v>
      </c>
      <c r="E521" s="16">
        <v>139.01</v>
      </c>
      <c r="F521" s="16">
        <v>139.01</v>
      </c>
      <c r="G521" s="16">
        <v>137.94</v>
      </c>
      <c r="H521" s="16">
        <v>138.91</v>
      </c>
      <c r="I521" s="17">
        <v>1688525</v>
      </c>
      <c r="J521" s="16">
        <v>27782000000</v>
      </c>
    </row>
    <row r="522" spans="1:10" x14ac:dyDescent="0.25">
      <c r="A522" s="8">
        <v>45805</v>
      </c>
      <c r="B522" s="9" t="s">
        <v>60</v>
      </c>
      <c r="C522" s="9" t="s">
        <v>61</v>
      </c>
      <c r="D522" s="9" t="s">
        <v>62</v>
      </c>
      <c r="E522" s="10">
        <v>3904.21</v>
      </c>
      <c r="F522" s="10">
        <v>3918.21</v>
      </c>
      <c r="G522" s="10">
        <v>3896.33</v>
      </c>
      <c r="H522" s="10">
        <v>3905.72</v>
      </c>
      <c r="I522" s="11">
        <v>1065034</v>
      </c>
      <c r="J522" s="10">
        <v>5468008000000</v>
      </c>
    </row>
    <row r="523" spans="1:10" x14ac:dyDescent="0.25">
      <c r="A523" s="14">
        <v>45805</v>
      </c>
      <c r="B523" s="15" t="s">
        <v>65</v>
      </c>
      <c r="C523" s="15" t="s">
        <v>66</v>
      </c>
      <c r="D523" s="15" t="s">
        <v>67</v>
      </c>
      <c r="E523" s="16">
        <v>163.56</v>
      </c>
      <c r="F523" s="16">
        <v>163.58000000000001</v>
      </c>
      <c r="G523" s="16">
        <v>163.5</v>
      </c>
      <c r="H523" s="16">
        <v>163.54</v>
      </c>
      <c r="I523" s="17">
        <v>1413166</v>
      </c>
      <c r="J523" s="16">
        <v>40885000000</v>
      </c>
    </row>
    <row r="524" spans="1:10" x14ac:dyDescent="0.25">
      <c r="A524" s="8">
        <v>45805</v>
      </c>
      <c r="B524" s="9" t="s">
        <v>69</v>
      </c>
      <c r="C524" s="9" t="s">
        <v>70</v>
      </c>
      <c r="D524" s="9" t="s">
        <v>71</v>
      </c>
      <c r="E524" s="10">
        <v>560.61</v>
      </c>
      <c r="F524" s="10">
        <v>563.62</v>
      </c>
      <c r="G524" s="10">
        <v>560.07000000000005</v>
      </c>
      <c r="H524" s="10">
        <v>561.29</v>
      </c>
      <c r="I524" s="11">
        <v>1311613</v>
      </c>
      <c r="J524" s="10">
        <v>449032000000</v>
      </c>
    </row>
    <row r="525" spans="1:10" x14ac:dyDescent="0.25">
      <c r="A525" s="14">
        <v>45805</v>
      </c>
      <c r="B525" s="15" t="s">
        <v>73</v>
      </c>
      <c r="C525" s="15" t="s">
        <v>74</v>
      </c>
      <c r="D525" s="15" t="s">
        <v>75</v>
      </c>
      <c r="E525" s="16">
        <v>106.42</v>
      </c>
      <c r="F525" s="16">
        <v>107.31</v>
      </c>
      <c r="G525" s="16">
        <v>106.35</v>
      </c>
      <c r="H525" s="16">
        <v>106.48</v>
      </c>
      <c r="I525" s="17">
        <v>894150</v>
      </c>
      <c r="J525" s="16">
        <v>23425600000</v>
      </c>
    </row>
    <row r="526" spans="1:10" x14ac:dyDescent="0.25">
      <c r="A526" s="8">
        <v>45805</v>
      </c>
      <c r="B526" s="9" t="s">
        <v>76</v>
      </c>
      <c r="C526" s="9" t="s">
        <v>77</v>
      </c>
      <c r="D526" s="9" t="s">
        <v>75</v>
      </c>
      <c r="E526" s="10">
        <v>139.06</v>
      </c>
      <c r="F526" s="10">
        <v>139.54</v>
      </c>
      <c r="G526" s="10">
        <v>138.88</v>
      </c>
      <c r="H526" s="10">
        <v>139.12</v>
      </c>
      <c r="I526" s="11">
        <v>2810335</v>
      </c>
      <c r="J526" s="10">
        <v>27824000000</v>
      </c>
    </row>
    <row r="527" spans="1:10" x14ac:dyDescent="0.25">
      <c r="A527" s="14">
        <v>45806</v>
      </c>
      <c r="B527" s="15" t="s">
        <v>60</v>
      </c>
      <c r="C527" s="15" t="s">
        <v>61</v>
      </c>
      <c r="D527" s="15" t="s">
        <v>62</v>
      </c>
      <c r="E527" s="16">
        <v>3880.83</v>
      </c>
      <c r="F527" s="16">
        <v>3915.67</v>
      </c>
      <c r="G527" s="16">
        <v>3840.23</v>
      </c>
      <c r="H527" s="16">
        <v>3897.05</v>
      </c>
      <c r="I527" s="17">
        <v>1416911</v>
      </c>
      <c r="J527" s="16">
        <v>5455870000000</v>
      </c>
    </row>
    <row r="528" spans="1:10" x14ac:dyDescent="0.25">
      <c r="A528" s="8">
        <v>45806</v>
      </c>
      <c r="B528" s="9" t="s">
        <v>65</v>
      </c>
      <c r="C528" s="9" t="s">
        <v>66</v>
      </c>
      <c r="D528" s="9" t="s">
        <v>67</v>
      </c>
      <c r="E528" s="10">
        <v>161.25</v>
      </c>
      <c r="F528" s="10">
        <v>162.76</v>
      </c>
      <c r="G528" s="10">
        <v>159.74</v>
      </c>
      <c r="H528" s="10">
        <v>161.58000000000001</v>
      </c>
      <c r="I528" s="11">
        <v>1676709</v>
      </c>
      <c r="J528" s="10">
        <v>40395000000</v>
      </c>
    </row>
    <row r="529" spans="1:10" x14ac:dyDescent="0.25">
      <c r="A529" s="14">
        <v>45806</v>
      </c>
      <c r="B529" s="15" t="s">
        <v>69</v>
      </c>
      <c r="C529" s="15" t="s">
        <v>70</v>
      </c>
      <c r="D529" s="15" t="s">
        <v>71</v>
      </c>
      <c r="E529" s="16">
        <v>565.91999999999996</v>
      </c>
      <c r="F529" s="16">
        <v>572.66</v>
      </c>
      <c r="G529" s="16">
        <v>563.26</v>
      </c>
      <c r="H529" s="16">
        <v>569.16</v>
      </c>
      <c r="I529" s="17">
        <v>1569818</v>
      </c>
      <c r="J529" s="16">
        <v>455328000000</v>
      </c>
    </row>
    <row r="530" spans="1:10" x14ac:dyDescent="0.25">
      <c r="A530" s="8">
        <v>45806</v>
      </c>
      <c r="B530" s="9" t="s">
        <v>73</v>
      </c>
      <c r="C530" s="9" t="s">
        <v>74</v>
      </c>
      <c r="D530" s="9" t="s">
        <v>75</v>
      </c>
      <c r="E530" s="10">
        <v>108.44</v>
      </c>
      <c r="F530" s="10">
        <v>109.02</v>
      </c>
      <c r="G530" s="10">
        <v>107.87</v>
      </c>
      <c r="H530" s="10">
        <v>108.9</v>
      </c>
      <c r="I530" s="11">
        <v>1474515</v>
      </c>
      <c r="J530" s="10">
        <v>23958000000</v>
      </c>
    </row>
    <row r="531" spans="1:10" x14ac:dyDescent="0.25">
      <c r="A531" s="14">
        <v>45806</v>
      </c>
      <c r="B531" s="15" t="s">
        <v>76</v>
      </c>
      <c r="C531" s="15" t="s">
        <v>77</v>
      </c>
      <c r="D531" s="15" t="s">
        <v>75</v>
      </c>
      <c r="E531" s="16">
        <v>139.66999999999999</v>
      </c>
      <c r="F531" s="16">
        <v>139.69</v>
      </c>
      <c r="G531" s="16">
        <v>138.18</v>
      </c>
      <c r="H531" s="16">
        <v>138.76</v>
      </c>
      <c r="I531" s="17">
        <v>3901973</v>
      </c>
      <c r="J531" s="16">
        <v>27752000000</v>
      </c>
    </row>
    <row r="532" spans="1:10" x14ac:dyDescent="0.25">
      <c r="A532" s="8">
        <v>45807</v>
      </c>
      <c r="B532" s="9" t="s">
        <v>60</v>
      </c>
      <c r="C532" s="9" t="s">
        <v>61</v>
      </c>
      <c r="D532" s="9" t="s">
        <v>62</v>
      </c>
      <c r="E532" s="10">
        <v>3885.18</v>
      </c>
      <c r="F532" s="10">
        <v>3900.86</v>
      </c>
      <c r="G532" s="10">
        <v>3882.98</v>
      </c>
      <c r="H532" s="10">
        <v>3892.87</v>
      </c>
      <c r="I532" s="11">
        <v>2690088</v>
      </c>
      <c r="J532" s="10">
        <v>5450018000000</v>
      </c>
    </row>
    <row r="533" spans="1:10" x14ac:dyDescent="0.25">
      <c r="A533" s="14">
        <v>45807</v>
      </c>
      <c r="B533" s="15" t="s">
        <v>65</v>
      </c>
      <c r="C533" s="15" t="s">
        <v>66</v>
      </c>
      <c r="D533" s="15" t="s">
        <v>67</v>
      </c>
      <c r="E533" s="16">
        <v>162.61000000000001</v>
      </c>
      <c r="F533" s="16">
        <v>162.97</v>
      </c>
      <c r="G533" s="16">
        <v>160.65</v>
      </c>
      <c r="H533" s="16">
        <v>162.62</v>
      </c>
      <c r="I533" s="17">
        <v>2830418</v>
      </c>
      <c r="J533" s="16">
        <v>40655000000</v>
      </c>
    </row>
    <row r="534" spans="1:10" x14ac:dyDescent="0.25">
      <c r="A534" s="8">
        <v>45807</v>
      </c>
      <c r="B534" s="9" t="s">
        <v>69</v>
      </c>
      <c r="C534" s="9" t="s">
        <v>70</v>
      </c>
      <c r="D534" s="9" t="s">
        <v>71</v>
      </c>
      <c r="E534" s="10">
        <v>572.5</v>
      </c>
      <c r="F534" s="10">
        <v>578.52</v>
      </c>
      <c r="G534" s="10">
        <v>570.78</v>
      </c>
      <c r="H534" s="10">
        <v>575.78</v>
      </c>
      <c r="I534" s="11">
        <v>2307738</v>
      </c>
      <c r="J534" s="10">
        <v>460624000000</v>
      </c>
    </row>
    <row r="535" spans="1:10" x14ac:dyDescent="0.25">
      <c r="A535" s="14">
        <v>45807</v>
      </c>
      <c r="B535" s="15" t="s">
        <v>73</v>
      </c>
      <c r="C535" s="15" t="s">
        <v>74</v>
      </c>
      <c r="D535" s="15" t="s">
        <v>75</v>
      </c>
      <c r="E535" s="16">
        <v>110.43</v>
      </c>
      <c r="F535" s="16">
        <v>110.86</v>
      </c>
      <c r="G535" s="16">
        <v>110.42</v>
      </c>
      <c r="H535" s="16">
        <v>110.64</v>
      </c>
      <c r="I535" s="17">
        <v>895691</v>
      </c>
      <c r="J535" s="16">
        <v>24340800000</v>
      </c>
    </row>
    <row r="536" spans="1:10" x14ac:dyDescent="0.25">
      <c r="A536" s="8">
        <v>45807</v>
      </c>
      <c r="B536" s="9" t="s">
        <v>76</v>
      </c>
      <c r="C536" s="9" t="s">
        <v>77</v>
      </c>
      <c r="D536" s="9" t="s">
        <v>75</v>
      </c>
      <c r="E536" s="10">
        <v>133.13999999999999</v>
      </c>
      <c r="F536" s="10">
        <v>133.66</v>
      </c>
      <c r="G536" s="10">
        <v>130.66999999999999</v>
      </c>
      <c r="H536" s="10">
        <v>131.06</v>
      </c>
      <c r="I536" s="11">
        <v>3830459</v>
      </c>
      <c r="J536" s="10">
        <v>26212000000</v>
      </c>
    </row>
    <row r="537" spans="1:10" x14ac:dyDescent="0.25">
      <c r="A537" s="14">
        <v>45810</v>
      </c>
      <c r="B537" s="15" t="s">
        <v>60</v>
      </c>
      <c r="C537" s="15" t="s">
        <v>61</v>
      </c>
      <c r="D537" s="15" t="s">
        <v>62</v>
      </c>
      <c r="E537" s="16">
        <v>3882.44</v>
      </c>
      <c r="F537" s="16">
        <v>3913.66</v>
      </c>
      <c r="G537" s="16">
        <v>3847.21</v>
      </c>
      <c r="H537" s="16">
        <v>3897.89</v>
      </c>
      <c r="I537" s="17">
        <v>912299</v>
      </c>
      <c r="J537" s="16">
        <v>5457046000000</v>
      </c>
    </row>
    <row r="538" spans="1:10" x14ac:dyDescent="0.25">
      <c r="A538" s="8">
        <v>45810</v>
      </c>
      <c r="B538" s="9" t="s">
        <v>65</v>
      </c>
      <c r="C538" s="9" t="s">
        <v>66</v>
      </c>
      <c r="D538" s="9" t="s">
        <v>67</v>
      </c>
      <c r="E538" s="10">
        <v>163.56</v>
      </c>
      <c r="F538" s="10">
        <v>163.61000000000001</v>
      </c>
      <c r="G538" s="10">
        <v>163.53</v>
      </c>
      <c r="H538" s="10">
        <v>163.53</v>
      </c>
      <c r="I538" s="11">
        <v>3638456</v>
      </c>
      <c r="J538" s="10">
        <v>40882500000</v>
      </c>
    </row>
    <row r="539" spans="1:10" x14ac:dyDescent="0.25">
      <c r="A539" s="14">
        <v>45810</v>
      </c>
      <c r="B539" s="15" t="s">
        <v>69</v>
      </c>
      <c r="C539" s="15" t="s">
        <v>70</v>
      </c>
      <c r="D539" s="15" t="s">
        <v>71</v>
      </c>
      <c r="E539" s="16">
        <v>578.35</v>
      </c>
      <c r="F539" s="16">
        <v>584.86</v>
      </c>
      <c r="G539" s="16">
        <v>578.08000000000004</v>
      </c>
      <c r="H539" s="16">
        <v>581.48</v>
      </c>
      <c r="I539" s="17">
        <v>3784896</v>
      </c>
      <c r="J539" s="16">
        <v>465184000000</v>
      </c>
    </row>
    <row r="540" spans="1:10" x14ac:dyDescent="0.25">
      <c r="A540" s="8">
        <v>45810</v>
      </c>
      <c r="B540" s="9" t="s">
        <v>73</v>
      </c>
      <c r="C540" s="9" t="s">
        <v>74</v>
      </c>
      <c r="D540" s="9" t="s">
        <v>75</v>
      </c>
      <c r="E540" s="10">
        <v>109.17</v>
      </c>
      <c r="F540" s="10">
        <v>109.58</v>
      </c>
      <c r="G540" s="10">
        <v>108.48</v>
      </c>
      <c r="H540" s="10">
        <v>108.65</v>
      </c>
      <c r="I540" s="11">
        <v>1001263</v>
      </c>
      <c r="J540" s="10">
        <v>23903000000</v>
      </c>
    </row>
    <row r="541" spans="1:10" x14ac:dyDescent="0.25">
      <c r="A541" s="14">
        <v>45810</v>
      </c>
      <c r="B541" s="15" t="s">
        <v>76</v>
      </c>
      <c r="C541" s="15" t="s">
        <v>77</v>
      </c>
      <c r="D541" s="15" t="s">
        <v>75</v>
      </c>
      <c r="E541" s="16">
        <v>129.19999999999999</v>
      </c>
      <c r="F541" s="16">
        <v>129.65</v>
      </c>
      <c r="G541" s="16">
        <v>128.05000000000001</v>
      </c>
      <c r="H541" s="16">
        <v>128.38</v>
      </c>
      <c r="I541" s="17">
        <v>1603397</v>
      </c>
      <c r="J541" s="16">
        <v>25676000000</v>
      </c>
    </row>
    <row r="542" spans="1:10" x14ac:dyDescent="0.25">
      <c r="A542" s="8">
        <v>45811</v>
      </c>
      <c r="B542" s="9" t="s">
        <v>60</v>
      </c>
      <c r="C542" s="9" t="s">
        <v>61</v>
      </c>
      <c r="D542" s="9" t="s">
        <v>62</v>
      </c>
      <c r="E542" s="10">
        <v>3841.98</v>
      </c>
      <c r="F542" s="10">
        <v>3848.92</v>
      </c>
      <c r="G542" s="10">
        <v>3803.23</v>
      </c>
      <c r="H542" s="10">
        <v>3834.35</v>
      </c>
      <c r="I542" s="11">
        <v>854613</v>
      </c>
      <c r="J542" s="10">
        <v>5368090000000</v>
      </c>
    </row>
    <row r="543" spans="1:10" x14ac:dyDescent="0.25">
      <c r="A543" s="14">
        <v>45811</v>
      </c>
      <c r="B543" s="15" t="s">
        <v>65</v>
      </c>
      <c r="C543" s="15" t="s">
        <v>66</v>
      </c>
      <c r="D543" s="15" t="s">
        <v>67</v>
      </c>
      <c r="E543" s="16">
        <v>160.09</v>
      </c>
      <c r="F543" s="16">
        <v>160.6</v>
      </c>
      <c r="G543" s="16">
        <v>158.81</v>
      </c>
      <c r="H543" s="16">
        <v>160.52000000000001</v>
      </c>
      <c r="I543" s="17">
        <v>2301835</v>
      </c>
      <c r="J543" s="16">
        <v>40130000000</v>
      </c>
    </row>
    <row r="544" spans="1:10" x14ac:dyDescent="0.25">
      <c r="A544" s="8">
        <v>45811</v>
      </c>
      <c r="B544" s="9" t="s">
        <v>69</v>
      </c>
      <c r="C544" s="9" t="s">
        <v>70</v>
      </c>
      <c r="D544" s="9" t="s">
        <v>71</v>
      </c>
      <c r="E544" s="10">
        <v>585.05999999999995</v>
      </c>
      <c r="F544" s="10">
        <v>585.77</v>
      </c>
      <c r="G544" s="10">
        <v>580.35</v>
      </c>
      <c r="H544" s="10">
        <v>583.65</v>
      </c>
      <c r="I544" s="11">
        <v>2894513</v>
      </c>
      <c r="J544" s="10">
        <v>466920000000</v>
      </c>
    </row>
    <row r="545" spans="1:10" x14ac:dyDescent="0.25">
      <c r="A545" s="14">
        <v>45811</v>
      </c>
      <c r="B545" s="15" t="s">
        <v>73</v>
      </c>
      <c r="C545" s="15" t="s">
        <v>74</v>
      </c>
      <c r="D545" s="15" t="s">
        <v>75</v>
      </c>
      <c r="E545" s="16">
        <v>109.39</v>
      </c>
      <c r="F545" s="16">
        <v>110.04</v>
      </c>
      <c r="G545" s="16">
        <v>108.28</v>
      </c>
      <c r="H545" s="16">
        <v>108.59</v>
      </c>
      <c r="I545" s="17">
        <v>406241</v>
      </c>
      <c r="J545" s="16">
        <v>23889800000</v>
      </c>
    </row>
    <row r="546" spans="1:10" x14ac:dyDescent="0.25">
      <c r="A546" s="8">
        <v>45811</v>
      </c>
      <c r="B546" s="9" t="s">
        <v>76</v>
      </c>
      <c r="C546" s="9" t="s">
        <v>77</v>
      </c>
      <c r="D546" s="9" t="s">
        <v>75</v>
      </c>
      <c r="E546" s="10">
        <v>127.62</v>
      </c>
      <c r="F546" s="10">
        <v>129.15</v>
      </c>
      <c r="G546" s="10">
        <v>126.32</v>
      </c>
      <c r="H546" s="10">
        <v>127.8</v>
      </c>
      <c r="I546" s="11">
        <v>2474721</v>
      </c>
      <c r="J546" s="10">
        <v>25560000000</v>
      </c>
    </row>
    <row r="547" spans="1:10" x14ac:dyDescent="0.25">
      <c r="A547" s="14">
        <v>45812</v>
      </c>
      <c r="B547" s="15" t="s">
        <v>60</v>
      </c>
      <c r="C547" s="15" t="s">
        <v>61</v>
      </c>
      <c r="D547" s="15" t="s">
        <v>62</v>
      </c>
      <c r="E547" s="16">
        <v>3957.01</v>
      </c>
      <c r="F547" s="16">
        <v>3965.23</v>
      </c>
      <c r="G547" s="16">
        <v>3942.71</v>
      </c>
      <c r="H547" s="16">
        <v>3960.3</v>
      </c>
      <c r="I547" s="17">
        <v>2554559</v>
      </c>
      <c r="J547" s="16">
        <v>5544420000000</v>
      </c>
    </row>
    <row r="548" spans="1:10" x14ac:dyDescent="0.25">
      <c r="A548" s="8">
        <v>45812</v>
      </c>
      <c r="B548" s="9" t="s">
        <v>65</v>
      </c>
      <c r="C548" s="9" t="s">
        <v>66</v>
      </c>
      <c r="D548" s="9" t="s">
        <v>67</v>
      </c>
      <c r="E548" s="10">
        <v>160.41999999999999</v>
      </c>
      <c r="F548" s="10">
        <v>161.06</v>
      </c>
      <c r="G548" s="10">
        <v>159.47999999999999</v>
      </c>
      <c r="H548" s="10">
        <v>160.16</v>
      </c>
      <c r="I548" s="11">
        <v>4694407</v>
      </c>
      <c r="J548" s="10">
        <v>40040000000</v>
      </c>
    </row>
    <row r="549" spans="1:10" x14ac:dyDescent="0.25">
      <c r="A549" s="14">
        <v>45812</v>
      </c>
      <c r="B549" s="15" t="s">
        <v>69</v>
      </c>
      <c r="C549" s="15" t="s">
        <v>70</v>
      </c>
      <c r="D549" s="15" t="s">
        <v>71</v>
      </c>
      <c r="E549" s="16">
        <v>579.11</v>
      </c>
      <c r="F549" s="16">
        <v>585.84</v>
      </c>
      <c r="G549" s="16">
        <v>576.25</v>
      </c>
      <c r="H549" s="16">
        <v>581.78</v>
      </c>
      <c r="I549" s="17">
        <v>946510</v>
      </c>
      <c r="J549" s="16">
        <v>465424000000</v>
      </c>
    </row>
    <row r="550" spans="1:10" x14ac:dyDescent="0.25">
      <c r="A550" s="8">
        <v>45812</v>
      </c>
      <c r="B550" s="9" t="s">
        <v>73</v>
      </c>
      <c r="C550" s="9" t="s">
        <v>74</v>
      </c>
      <c r="D550" s="9" t="s">
        <v>75</v>
      </c>
      <c r="E550" s="10">
        <v>106.66</v>
      </c>
      <c r="F550" s="10">
        <v>106.68</v>
      </c>
      <c r="G550" s="10">
        <v>105.07</v>
      </c>
      <c r="H550" s="10">
        <v>105.34</v>
      </c>
      <c r="I550" s="11">
        <v>1619611</v>
      </c>
      <c r="J550" s="10">
        <v>23174800000</v>
      </c>
    </row>
    <row r="551" spans="1:10" x14ac:dyDescent="0.25">
      <c r="A551" s="14">
        <v>45812</v>
      </c>
      <c r="B551" s="15" t="s">
        <v>76</v>
      </c>
      <c r="C551" s="15" t="s">
        <v>77</v>
      </c>
      <c r="D551" s="15" t="s">
        <v>75</v>
      </c>
      <c r="E551" s="16">
        <v>129.12</v>
      </c>
      <c r="F551" s="16">
        <v>129.13999999999999</v>
      </c>
      <c r="G551" s="16">
        <v>128.63999999999999</v>
      </c>
      <c r="H551" s="16">
        <v>128.93</v>
      </c>
      <c r="I551" s="17">
        <v>1267488</v>
      </c>
      <c r="J551" s="16">
        <v>25786000000</v>
      </c>
    </row>
    <row r="552" spans="1:10" x14ac:dyDescent="0.25">
      <c r="A552" s="8">
        <v>45813</v>
      </c>
      <c r="B552" s="9" t="s">
        <v>60</v>
      </c>
      <c r="C552" s="9" t="s">
        <v>61</v>
      </c>
      <c r="D552" s="9" t="s">
        <v>62</v>
      </c>
      <c r="E552" s="10">
        <v>3970.67</v>
      </c>
      <c r="F552" s="10">
        <v>4008.2</v>
      </c>
      <c r="G552" s="10">
        <v>3909.75</v>
      </c>
      <c r="H552" s="10">
        <v>3933.83</v>
      </c>
      <c r="I552" s="11">
        <v>4257448</v>
      </c>
      <c r="J552" s="10">
        <v>5507362000000</v>
      </c>
    </row>
    <row r="553" spans="1:10" x14ac:dyDescent="0.25">
      <c r="A553" s="14">
        <v>45813</v>
      </c>
      <c r="B553" s="15" t="s">
        <v>65</v>
      </c>
      <c r="C553" s="15" t="s">
        <v>66</v>
      </c>
      <c r="D553" s="15" t="s">
        <v>67</v>
      </c>
      <c r="E553" s="16">
        <v>161.5</v>
      </c>
      <c r="F553" s="16">
        <v>163.41</v>
      </c>
      <c r="G553" s="16">
        <v>159.31</v>
      </c>
      <c r="H553" s="16">
        <v>160.04</v>
      </c>
      <c r="I553" s="17">
        <v>596651</v>
      </c>
      <c r="J553" s="16">
        <v>40010000000</v>
      </c>
    </row>
    <row r="554" spans="1:10" x14ac:dyDescent="0.25">
      <c r="A554" s="8">
        <v>45813</v>
      </c>
      <c r="B554" s="9" t="s">
        <v>69</v>
      </c>
      <c r="C554" s="9" t="s">
        <v>70</v>
      </c>
      <c r="D554" s="9" t="s">
        <v>71</v>
      </c>
      <c r="E554" s="10">
        <v>563.62</v>
      </c>
      <c r="F554" s="10">
        <v>566.88</v>
      </c>
      <c r="G554" s="10">
        <v>563.34</v>
      </c>
      <c r="H554" s="10">
        <v>564.48</v>
      </c>
      <c r="I554" s="11">
        <v>3791813</v>
      </c>
      <c r="J554" s="10">
        <v>451584000000</v>
      </c>
    </row>
    <row r="555" spans="1:10" x14ac:dyDescent="0.25">
      <c r="A555" s="14">
        <v>45813</v>
      </c>
      <c r="B555" s="15" t="s">
        <v>73</v>
      </c>
      <c r="C555" s="15" t="s">
        <v>74</v>
      </c>
      <c r="D555" s="15" t="s">
        <v>75</v>
      </c>
      <c r="E555" s="16">
        <v>103.72</v>
      </c>
      <c r="F555" s="16">
        <v>104.35</v>
      </c>
      <c r="G555" s="16">
        <v>103.35</v>
      </c>
      <c r="H555" s="16">
        <v>104.18</v>
      </c>
      <c r="I555" s="17">
        <v>3427341</v>
      </c>
      <c r="J555" s="16">
        <v>22919600000</v>
      </c>
    </row>
    <row r="556" spans="1:10" x14ac:dyDescent="0.25">
      <c r="A556" s="8">
        <v>45813</v>
      </c>
      <c r="B556" s="9" t="s">
        <v>76</v>
      </c>
      <c r="C556" s="9" t="s">
        <v>77</v>
      </c>
      <c r="D556" s="9" t="s">
        <v>75</v>
      </c>
      <c r="E556" s="10">
        <v>131.07</v>
      </c>
      <c r="F556" s="10">
        <v>132.13999999999999</v>
      </c>
      <c r="G556" s="10">
        <v>130.37</v>
      </c>
      <c r="H556" s="10">
        <v>131.28</v>
      </c>
      <c r="I556" s="11">
        <v>685276</v>
      </c>
      <c r="J556" s="10">
        <v>26256000000</v>
      </c>
    </row>
    <row r="557" spans="1:10" x14ac:dyDescent="0.25">
      <c r="A557" s="14">
        <v>45814</v>
      </c>
      <c r="B557" s="15" t="s">
        <v>60</v>
      </c>
      <c r="C557" s="15" t="s">
        <v>61</v>
      </c>
      <c r="D557" s="15" t="s">
        <v>62</v>
      </c>
      <c r="E557" s="16">
        <v>3948.24</v>
      </c>
      <c r="F557" s="16">
        <v>3959.68</v>
      </c>
      <c r="G557" s="16">
        <v>3944.84</v>
      </c>
      <c r="H557" s="16">
        <v>3951.74</v>
      </c>
      <c r="I557" s="17">
        <v>2668161</v>
      </c>
      <c r="J557" s="16">
        <v>5532436000000</v>
      </c>
    </row>
    <row r="558" spans="1:10" x14ac:dyDescent="0.25">
      <c r="A558" s="8">
        <v>45814</v>
      </c>
      <c r="B558" s="9" t="s">
        <v>65</v>
      </c>
      <c r="C558" s="9" t="s">
        <v>66</v>
      </c>
      <c r="D558" s="9" t="s">
        <v>67</v>
      </c>
      <c r="E558" s="10">
        <v>160.38</v>
      </c>
      <c r="F558" s="10">
        <v>161.47</v>
      </c>
      <c r="G558" s="10">
        <v>159.16999999999999</v>
      </c>
      <c r="H558" s="10">
        <v>160.02000000000001</v>
      </c>
      <c r="I558" s="11">
        <v>2746076</v>
      </c>
      <c r="J558" s="10">
        <v>40005000000</v>
      </c>
    </row>
    <row r="559" spans="1:10" x14ac:dyDescent="0.25">
      <c r="A559" s="14">
        <v>45814</v>
      </c>
      <c r="B559" s="15" t="s">
        <v>69</v>
      </c>
      <c r="C559" s="15" t="s">
        <v>70</v>
      </c>
      <c r="D559" s="15" t="s">
        <v>71</v>
      </c>
      <c r="E559" s="16">
        <v>569.41999999999996</v>
      </c>
      <c r="F559" s="16">
        <v>572.99</v>
      </c>
      <c r="G559" s="16">
        <v>567.91</v>
      </c>
      <c r="H559" s="16">
        <v>571.07000000000005</v>
      </c>
      <c r="I559" s="17">
        <v>4191699</v>
      </c>
      <c r="J559" s="16">
        <v>456856000000</v>
      </c>
    </row>
    <row r="560" spans="1:10" x14ac:dyDescent="0.25">
      <c r="A560" s="8">
        <v>45814</v>
      </c>
      <c r="B560" s="9" t="s">
        <v>73</v>
      </c>
      <c r="C560" s="9" t="s">
        <v>74</v>
      </c>
      <c r="D560" s="9" t="s">
        <v>75</v>
      </c>
      <c r="E560" s="10">
        <v>101.38</v>
      </c>
      <c r="F560" s="10">
        <v>102.98</v>
      </c>
      <c r="G560" s="10">
        <v>99.98</v>
      </c>
      <c r="H560" s="10">
        <v>102.18</v>
      </c>
      <c r="I560" s="11">
        <v>4884871</v>
      </c>
      <c r="J560" s="10">
        <v>22479600000</v>
      </c>
    </row>
    <row r="561" spans="1:10" x14ac:dyDescent="0.25">
      <c r="A561" s="14">
        <v>45814</v>
      </c>
      <c r="B561" s="15" t="s">
        <v>76</v>
      </c>
      <c r="C561" s="15" t="s">
        <v>77</v>
      </c>
      <c r="D561" s="15" t="s">
        <v>75</v>
      </c>
      <c r="E561" s="16">
        <v>131.26</v>
      </c>
      <c r="F561" s="16">
        <v>131.31</v>
      </c>
      <c r="G561" s="16">
        <v>130.47</v>
      </c>
      <c r="H561" s="16">
        <v>130.47999999999999</v>
      </c>
      <c r="I561" s="17">
        <v>3739632</v>
      </c>
      <c r="J561" s="16">
        <v>26096000000</v>
      </c>
    </row>
    <row r="562" spans="1:10" x14ac:dyDescent="0.25">
      <c r="A562" s="8">
        <v>45817</v>
      </c>
      <c r="B562" s="9" t="s">
        <v>60</v>
      </c>
      <c r="C562" s="9" t="s">
        <v>61</v>
      </c>
      <c r="D562" s="9" t="s">
        <v>62</v>
      </c>
      <c r="E562" s="10">
        <v>4025.73</v>
      </c>
      <c r="F562" s="10">
        <v>4031.75</v>
      </c>
      <c r="G562" s="10">
        <v>3993.2</v>
      </c>
      <c r="H562" s="10">
        <v>3993.57</v>
      </c>
      <c r="I562" s="11">
        <v>3110329</v>
      </c>
      <c r="J562" s="10">
        <v>5590998000000</v>
      </c>
    </row>
    <row r="563" spans="1:10" x14ac:dyDescent="0.25">
      <c r="A563" s="14">
        <v>45817</v>
      </c>
      <c r="B563" s="15" t="s">
        <v>65</v>
      </c>
      <c r="C563" s="15" t="s">
        <v>66</v>
      </c>
      <c r="D563" s="15" t="s">
        <v>67</v>
      </c>
      <c r="E563" s="16">
        <v>157.27000000000001</v>
      </c>
      <c r="F563" s="16">
        <v>159.11000000000001</v>
      </c>
      <c r="G563" s="16">
        <v>157.25</v>
      </c>
      <c r="H563" s="16">
        <v>158.83000000000001</v>
      </c>
      <c r="I563" s="17">
        <v>2879586</v>
      </c>
      <c r="J563" s="16">
        <v>39707500000</v>
      </c>
    </row>
    <row r="564" spans="1:10" x14ac:dyDescent="0.25">
      <c r="A564" s="8">
        <v>45817</v>
      </c>
      <c r="B564" s="9" t="s">
        <v>69</v>
      </c>
      <c r="C564" s="9" t="s">
        <v>70</v>
      </c>
      <c r="D564" s="9" t="s">
        <v>71</v>
      </c>
      <c r="E564" s="10">
        <v>579.54</v>
      </c>
      <c r="F564" s="10">
        <v>583</v>
      </c>
      <c r="G564" s="10">
        <v>579.14</v>
      </c>
      <c r="H564" s="10">
        <v>579.37</v>
      </c>
      <c r="I564" s="11">
        <v>1494315</v>
      </c>
      <c r="J564" s="10">
        <v>463496000000</v>
      </c>
    </row>
    <row r="565" spans="1:10" x14ac:dyDescent="0.25">
      <c r="A565" s="14">
        <v>45817</v>
      </c>
      <c r="B565" s="15" t="s">
        <v>73</v>
      </c>
      <c r="C565" s="15" t="s">
        <v>74</v>
      </c>
      <c r="D565" s="15" t="s">
        <v>75</v>
      </c>
      <c r="E565" s="16">
        <v>103.98</v>
      </c>
      <c r="F565" s="16">
        <v>104.07</v>
      </c>
      <c r="G565" s="16">
        <v>103.62</v>
      </c>
      <c r="H565" s="16">
        <v>104.03</v>
      </c>
      <c r="I565" s="17">
        <v>4660056</v>
      </c>
      <c r="J565" s="16">
        <v>22886600000</v>
      </c>
    </row>
    <row r="566" spans="1:10" x14ac:dyDescent="0.25">
      <c r="A566" s="8">
        <v>45817</v>
      </c>
      <c r="B566" s="9" t="s">
        <v>76</v>
      </c>
      <c r="C566" s="9" t="s">
        <v>77</v>
      </c>
      <c r="D566" s="9" t="s">
        <v>75</v>
      </c>
      <c r="E566" s="10">
        <v>129.93</v>
      </c>
      <c r="F566" s="10">
        <v>130.88999999999999</v>
      </c>
      <c r="G566" s="10">
        <v>129.5</v>
      </c>
      <c r="H566" s="10">
        <v>129.63</v>
      </c>
      <c r="I566" s="11">
        <v>1419995</v>
      </c>
      <c r="J566" s="10">
        <v>25926000000</v>
      </c>
    </row>
    <row r="567" spans="1:10" x14ac:dyDescent="0.25">
      <c r="A567" s="14">
        <v>45818</v>
      </c>
      <c r="B567" s="15" t="s">
        <v>60</v>
      </c>
      <c r="C567" s="15" t="s">
        <v>61</v>
      </c>
      <c r="D567" s="15" t="s">
        <v>62</v>
      </c>
      <c r="E567" s="16">
        <v>3990.35</v>
      </c>
      <c r="F567" s="16">
        <v>4011.16</v>
      </c>
      <c r="G567" s="16">
        <v>3966.08</v>
      </c>
      <c r="H567" s="16">
        <v>3992.76</v>
      </c>
      <c r="I567" s="17">
        <v>822466</v>
      </c>
      <c r="J567" s="16">
        <v>5589864000000</v>
      </c>
    </row>
    <row r="568" spans="1:10" x14ac:dyDescent="0.25">
      <c r="A568" s="8">
        <v>45818</v>
      </c>
      <c r="B568" s="9" t="s">
        <v>65</v>
      </c>
      <c r="C568" s="9" t="s">
        <v>66</v>
      </c>
      <c r="D568" s="9" t="s">
        <v>67</v>
      </c>
      <c r="E568" s="10">
        <v>153.22</v>
      </c>
      <c r="F568" s="10">
        <v>154.47999999999999</v>
      </c>
      <c r="G568" s="10">
        <v>153.13999999999999</v>
      </c>
      <c r="H568" s="10">
        <v>153.56</v>
      </c>
      <c r="I568" s="11">
        <v>3596325</v>
      </c>
      <c r="J568" s="10">
        <v>38390000000</v>
      </c>
    </row>
    <row r="569" spans="1:10" x14ac:dyDescent="0.25">
      <c r="A569" s="14">
        <v>45818</v>
      </c>
      <c r="B569" s="15" t="s">
        <v>69</v>
      </c>
      <c r="C569" s="15" t="s">
        <v>70</v>
      </c>
      <c r="D569" s="15" t="s">
        <v>71</v>
      </c>
      <c r="E569" s="16">
        <v>586.22</v>
      </c>
      <c r="F569" s="16">
        <v>588.54999999999995</v>
      </c>
      <c r="G569" s="16">
        <v>578.94000000000005</v>
      </c>
      <c r="H569" s="16">
        <v>582</v>
      </c>
      <c r="I569" s="17">
        <v>2581331</v>
      </c>
      <c r="J569" s="16">
        <v>465600000000</v>
      </c>
    </row>
    <row r="570" spans="1:10" x14ac:dyDescent="0.25">
      <c r="A570" s="8">
        <v>45818</v>
      </c>
      <c r="B570" s="9" t="s">
        <v>73</v>
      </c>
      <c r="C570" s="9" t="s">
        <v>74</v>
      </c>
      <c r="D570" s="9" t="s">
        <v>75</v>
      </c>
      <c r="E570" s="10">
        <v>104.44</v>
      </c>
      <c r="F570" s="10">
        <v>106.43</v>
      </c>
      <c r="G570" s="10">
        <v>103.5</v>
      </c>
      <c r="H570" s="10">
        <v>103.82</v>
      </c>
      <c r="I570" s="11">
        <v>1186321</v>
      </c>
      <c r="J570" s="10">
        <v>22840400000</v>
      </c>
    </row>
    <row r="571" spans="1:10" x14ac:dyDescent="0.25">
      <c r="A571" s="14">
        <v>45818</v>
      </c>
      <c r="B571" s="15" t="s">
        <v>76</v>
      </c>
      <c r="C571" s="15" t="s">
        <v>77</v>
      </c>
      <c r="D571" s="15" t="s">
        <v>75</v>
      </c>
      <c r="E571" s="16">
        <v>132.16999999999999</v>
      </c>
      <c r="F571" s="16">
        <v>132.78</v>
      </c>
      <c r="G571" s="16">
        <v>131.15</v>
      </c>
      <c r="H571" s="16">
        <v>131.81</v>
      </c>
      <c r="I571" s="17">
        <v>4795660</v>
      </c>
      <c r="J571" s="16">
        <v>26362000000</v>
      </c>
    </row>
    <row r="572" spans="1:10" x14ac:dyDescent="0.25">
      <c r="A572" s="8">
        <v>45819</v>
      </c>
      <c r="B572" s="9" t="s">
        <v>60</v>
      </c>
      <c r="C572" s="9" t="s">
        <v>61</v>
      </c>
      <c r="D572" s="9" t="s">
        <v>62</v>
      </c>
      <c r="E572" s="10">
        <v>3928.93</v>
      </c>
      <c r="F572" s="10">
        <v>3970.84</v>
      </c>
      <c r="G572" s="10">
        <v>3895.45</v>
      </c>
      <c r="H572" s="10">
        <v>3959.72</v>
      </c>
      <c r="I572" s="11">
        <v>1058505</v>
      </c>
      <c r="J572" s="10">
        <v>5543608000000</v>
      </c>
    </row>
    <row r="573" spans="1:10" x14ac:dyDescent="0.25">
      <c r="A573" s="14">
        <v>45819</v>
      </c>
      <c r="B573" s="15" t="s">
        <v>65</v>
      </c>
      <c r="C573" s="15" t="s">
        <v>66</v>
      </c>
      <c r="D573" s="15" t="s">
        <v>67</v>
      </c>
      <c r="E573" s="16">
        <v>154.36000000000001</v>
      </c>
      <c r="F573" s="16">
        <v>155.38999999999999</v>
      </c>
      <c r="G573" s="16">
        <v>152.79</v>
      </c>
      <c r="H573" s="16">
        <v>154.94</v>
      </c>
      <c r="I573" s="17">
        <v>638310</v>
      </c>
      <c r="J573" s="16">
        <v>38735000000</v>
      </c>
    </row>
    <row r="574" spans="1:10" x14ac:dyDescent="0.25">
      <c r="A574" s="8">
        <v>45819</v>
      </c>
      <c r="B574" s="9" t="s">
        <v>69</v>
      </c>
      <c r="C574" s="9" t="s">
        <v>70</v>
      </c>
      <c r="D574" s="9" t="s">
        <v>71</v>
      </c>
      <c r="E574" s="10">
        <v>585.87</v>
      </c>
      <c r="F574" s="10">
        <v>594.88</v>
      </c>
      <c r="G574" s="10">
        <v>581.47</v>
      </c>
      <c r="H574" s="10">
        <v>594.46</v>
      </c>
      <c r="I574" s="11">
        <v>3623939</v>
      </c>
      <c r="J574" s="10">
        <v>475568000000</v>
      </c>
    </row>
    <row r="575" spans="1:10" x14ac:dyDescent="0.25">
      <c r="A575" s="14">
        <v>45819</v>
      </c>
      <c r="B575" s="15" t="s">
        <v>73</v>
      </c>
      <c r="C575" s="15" t="s">
        <v>74</v>
      </c>
      <c r="D575" s="15" t="s">
        <v>75</v>
      </c>
      <c r="E575" s="16">
        <v>105.81</v>
      </c>
      <c r="F575" s="16">
        <v>107.08</v>
      </c>
      <c r="G575" s="16">
        <v>105.7</v>
      </c>
      <c r="H575" s="16">
        <v>106.06</v>
      </c>
      <c r="I575" s="17">
        <v>1758508</v>
      </c>
      <c r="J575" s="16">
        <v>23333200000</v>
      </c>
    </row>
    <row r="576" spans="1:10" x14ac:dyDescent="0.25">
      <c r="A576" s="8">
        <v>45819</v>
      </c>
      <c r="B576" s="9" t="s">
        <v>76</v>
      </c>
      <c r="C576" s="9" t="s">
        <v>77</v>
      </c>
      <c r="D576" s="9" t="s">
        <v>75</v>
      </c>
      <c r="E576" s="10">
        <v>133.81</v>
      </c>
      <c r="F576" s="10">
        <v>134.02000000000001</v>
      </c>
      <c r="G576" s="10">
        <v>132.11000000000001</v>
      </c>
      <c r="H576" s="10">
        <v>132.59</v>
      </c>
      <c r="I576" s="11">
        <v>4175899</v>
      </c>
      <c r="J576" s="10">
        <v>26518000000</v>
      </c>
    </row>
    <row r="577" spans="1:10" x14ac:dyDescent="0.25">
      <c r="A577" s="14">
        <v>45820</v>
      </c>
      <c r="B577" s="15" t="s">
        <v>60</v>
      </c>
      <c r="C577" s="15" t="s">
        <v>61</v>
      </c>
      <c r="D577" s="15" t="s">
        <v>62</v>
      </c>
      <c r="E577" s="16">
        <v>3989.69</v>
      </c>
      <c r="F577" s="16">
        <v>4035.17</v>
      </c>
      <c r="G577" s="16">
        <v>3955.8</v>
      </c>
      <c r="H577" s="16">
        <v>3965.44</v>
      </c>
      <c r="I577" s="17">
        <v>817318</v>
      </c>
      <c r="J577" s="16">
        <v>5551616000000</v>
      </c>
    </row>
    <row r="578" spans="1:10" x14ac:dyDescent="0.25">
      <c r="A578" s="8">
        <v>45820</v>
      </c>
      <c r="B578" s="9" t="s">
        <v>65</v>
      </c>
      <c r="C578" s="9" t="s">
        <v>66</v>
      </c>
      <c r="D578" s="9" t="s">
        <v>67</v>
      </c>
      <c r="E578" s="10">
        <v>158.16999999999999</v>
      </c>
      <c r="F578" s="10">
        <v>161.32</v>
      </c>
      <c r="G578" s="10">
        <v>156.56</v>
      </c>
      <c r="H578" s="10">
        <v>158.33000000000001</v>
      </c>
      <c r="I578" s="11">
        <v>1004973</v>
      </c>
      <c r="J578" s="10">
        <v>39582500000</v>
      </c>
    </row>
    <row r="579" spans="1:10" x14ac:dyDescent="0.25">
      <c r="A579" s="14">
        <v>45820</v>
      </c>
      <c r="B579" s="15" t="s">
        <v>69</v>
      </c>
      <c r="C579" s="15" t="s">
        <v>70</v>
      </c>
      <c r="D579" s="15" t="s">
        <v>71</v>
      </c>
      <c r="E579" s="16">
        <v>606.74</v>
      </c>
      <c r="F579" s="16">
        <v>610.01</v>
      </c>
      <c r="G579" s="16">
        <v>604.88</v>
      </c>
      <c r="H579" s="16">
        <v>609.04999999999995</v>
      </c>
      <c r="I579" s="17">
        <v>482873</v>
      </c>
      <c r="J579" s="16">
        <v>487240000000</v>
      </c>
    </row>
    <row r="580" spans="1:10" x14ac:dyDescent="0.25">
      <c r="A580" s="8">
        <v>45820</v>
      </c>
      <c r="B580" s="9" t="s">
        <v>73</v>
      </c>
      <c r="C580" s="9" t="s">
        <v>74</v>
      </c>
      <c r="D580" s="9" t="s">
        <v>75</v>
      </c>
      <c r="E580" s="10">
        <v>107.14</v>
      </c>
      <c r="F580" s="10">
        <v>107.15</v>
      </c>
      <c r="G580" s="10">
        <v>106.19</v>
      </c>
      <c r="H580" s="10">
        <v>106.28</v>
      </c>
      <c r="I580" s="11">
        <v>3081242</v>
      </c>
      <c r="J580" s="10">
        <v>23381600000</v>
      </c>
    </row>
    <row r="581" spans="1:10" x14ac:dyDescent="0.25">
      <c r="A581" s="14">
        <v>45820</v>
      </c>
      <c r="B581" s="15" t="s">
        <v>76</v>
      </c>
      <c r="C581" s="15" t="s">
        <v>77</v>
      </c>
      <c r="D581" s="15" t="s">
        <v>75</v>
      </c>
      <c r="E581" s="16">
        <v>129.74</v>
      </c>
      <c r="F581" s="16">
        <v>131.52000000000001</v>
      </c>
      <c r="G581" s="16">
        <v>128.01</v>
      </c>
      <c r="H581" s="16">
        <v>128.19</v>
      </c>
      <c r="I581" s="17">
        <v>3933579</v>
      </c>
      <c r="J581" s="16">
        <v>25638000000</v>
      </c>
    </row>
    <row r="582" spans="1:10" x14ac:dyDescent="0.25">
      <c r="A582" s="8">
        <v>45821</v>
      </c>
      <c r="B582" s="9" t="s">
        <v>60</v>
      </c>
      <c r="C582" s="9" t="s">
        <v>61</v>
      </c>
      <c r="D582" s="9" t="s">
        <v>62</v>
      </c>
      <c r="E582" s="10">
        <v>3992.19</v>
      </c>
      <c r="F582" s="10">
        <v>4021.01</v>
      </c>
      <c r="G582" s="10">
        <v>3944.59</v>
      </c>
      <c r="H582" s="10">
        <v>3957.8</v>
      </c>
      <c r="I582" s="11">
        <v>2101169</v>
      </c>
      <c r="J582" s="10">
        <v>5540920000000</v>
      </c>
    </row>
    <row r="583" spans="1:10" x14ac:dyDescent="0.25">
      <c r="A583" s="14">
        <v>45821</v>
      </c>
      <c r="B583" s="15" t="s">
        <v>65</v>
      </c>
      <c r="C583" s="15" t="s">
        <v>66</v>
      </c>
      <c r="D583" s="15" t="s">
        <v>67</v>
      </c>
      <c r="E583" s="16">
        <v>159.02000000000001</v>
      </c>
      <c r="F583" s="16">
        <v>159.88</v>
      </c>
      <c r="G583" s="16">
        <v>158.46</v>
      </c>
      <c r="H583" s="16">
        <v>159.09</v>
      </c>
      <c r="I583" s="17">
        <v>1546810</v>
      </c>
      <c r="J583" s="16">
        <v>39772500000</v>
      </c>
    </row>
    <row r="584" spans="1:10" x14ac:dyDescent="0.25">
      <c r="A584" s="8">
        <v>45821</v>
      </c>
      <c r="B584" s="9" t="s">
        <v>69</v>
      </c>
      <c r="C584" s="9" t="s">
        <v>70</v>
      </c>
      <c r="D584" s="9" t="s">
        <v>71</v>
      </c>
      <c r="E584" s="10">
        <v>621.57000000000005</v>
      </c>
      <c r="F584" s="10">
        <v>623.05999999999995</v>
      </c>
      <c r="G584" s="10">
        <v>621.46</v>
      </c>
      <c r="H584" s="10">
        <v>622.12</v>
      </c>
      <c r="I584" s="11">
        <v>4919511</v>
      </c>
      <c r="J584" s="10">
        <v>497696000000</v>
      </c>
    </row>
    <row r="585" spans="1:10" x14ac:dyDescent="0.25">
      <c r="A585" s="14">
        <v>45821</v>
      </c>
      <c r="B585" s="15" t="s">
        <v>73</v>
      </c>
      <c r="C585" s="15" t="s">
        <v>74</v>
      </c>
      <c r="D585" s="15" t="s">
        <v>75</v>
      </c>
      <c r="E585" s="16">
        <v>107.63</v>
      </c>
      <c r="F585" s="16">
        <v>108</v>
      </c>
      <c r="G585" s="16">
        <v>107.58</v>
      </c>
      <c r="H585" s="16">
        <v>107.74</v>
      </c>
      <c r="I585" s="17">
        <v>3816796</v>
      </c>
      <c r="J585" s="16">
        <v>23702800000</v>
      </c>
    </row>
    <row r="586" spans="1:10" x14ac:dyDescent="0.25">
      <c r="A586" s="8">
        <v>45821</v>
      </c>
      <c r="B586" s="9" t="s">
        <v>76</v>
      </c>
      <c r="C586" s="9" t="s">
        <v>77</v>
      </c>
      <c r="D586" s="9" t="s">
        <v>75</v>
      </c>
      <c r="E586" s="10">
        <v>129.46</v>
      </c>
      <c r="F586" s="10">
        <v>131.5</v>
      </c>
      <c r="G586" s="10">
        <v>128.02000000000001</v>
      </c>
      <c r="H586" s="10">
        <v>130.81</v>
      </c>
      <c r="I586" s="11">
        <v>463829</v>
      </c>
      <c r="J586" s="10">
        <v>26162000000</v>
      </c>
    </row>
    <row r="587" spans="1:10" x14ac:dyDescent="0.25">
      <c r="A587" s="14">
        <v>45824</v>
      </c>
      <c r="B587" s="15" t="s">
        <v>60</v>
      </c>
      <c r="C587" s="15" t="s">
        <v>61</v>
      </c>
      <c r="D587" s="15" t="s">
        <v>62</v>
      </c>
      <c r="E587" s="16">
        <v>3945.06</v>
      </c>
      <c r="F587" s="16">
        <v>4000.02</v>
      </c>
      <c r="G587" s="16">
        <v>3941.4</v>
      </c>
      <c r="H587" s="16">
        <v>3962.45</v>
      </c>
      <c r="I587" s="17">
        <v>4867746</v>
      </c>
      <c r="J587" s="16">
        <v>5547430000000</v>
      </c>
    </row>
    <row r="588" spans="1:10" x14ac:dyDescent="0.25">
      <c r="A588" s="8">
        <v>45824</v>
      </c>
      <c r="B588" s="9" t="s">
        <v>65</v>
      </c>
      <c r="C588" s="9" t="s">
        <v>66</v>
      </c>
      <c r="D588" s="9" t="s">
        <v>67</v>
      </c>
      <c r="E588" s="10">
        <v>159.55000000000001</v>
      </c>
      <c r="F588" s="10">
        <v>160.69999999999999</v>
      </c>
      <c r="G588" s="10">
        <v>158.52000000000001</v>
      </c>
      <c r="H588" s="10">
        <v>159.11000000000001</v>
      </c>
      <c r="I588" s="11">
        <v>518632</v>
      </c>
      <c r="J588" s="10">
        <v>39777500000</v>
      </c>
    </row>
    <row r="589" spans="1:10" x14ac:dyDescent="0.25">
      <c r="A589" s="14">
        <v>45824</v>
      </c>
      <c r="B589" s="15" t="s">
        <v>69</v>
      </c>
      <c r="C589" s="15" t="s">
        <v>70</v>
      </c>
      <c r="D589" s="15" t="s">
        <v>71</v>
      </c>
      <c r="E589" s="16">
        <v>618.95000000000005</v>
      </c>
      <c r="F589" s="16">
        <v>620.41</v>
      </c>
      <c r="G589" s="16">
        <v>615.79</v>
      </c>
      <c r="H589" s="16">
        <v>619.92999999999995</v>
      </c>
      <c r="I589" s="17">
        <v>2656634</v>
      </c>
      <c r="J589" s="16">
        <v>495944000000</v>
      </c>
    </row>
    <row r="590" spans="1:10" x14ac:dyDescent="0.25">
      <c r="A590" s="8">
        <v>45824</v>
      </c>
      <c r="B590" s="9" t="s">
        <v>73</v>
      </c>
      <c r="C590" s="9" t="s">
        <v>74</v>
      </c>
      <c r="D590" s="9" t="s">
        <v>75</v>
      </c>
      <c r="E590" s="10">
        <v>112.42</v>
      </c>
      <c r="F590" s="10">
        <v>113.42</v>
      </c>
      <c r="G590" s="10">
        <v>110.91</v>
      </c>
      <c r="H590" s="10">
        <v>113.42</v>
      </c>
      <c r="I590" s="11">
        <v>1639029</v>
      </c>
      <c r="J590" s="10">
        <v>24952400000</v>
      </c>
    </row>
    <row r="591" spans="1:10" x14ac:dyDescent="0.25">
      <c r="A591" s="14">
        <v>45824</v>
      </c>
      <c r="B591" s="15" t="s">
        <v>76</v>
      </c>
      <c r="C591" s="15" t="s">
        <v>77</v>
      </c>
      <c r="D591" s="15" t="s">
        <v>75</v>
      </c>
      <c r="E591" s="16">
        <v>130.22</v>
      </c>
      <c r="F591" s="16">
        <v>131.44999999999999</v>
      </c>
      <c r="G591" s="16">
        <v>129.32</v>
      </c>
      <c r="H591" s="16">
        <v>129.88999999999999</v>
      </c>
      <c r="I591" s="17">
        <v>768995</v>
      </c>
      <c r="J591" s="16">
        <v>25978000000</v>
      </c>
    </row>
    <row r="592" spans="1:10" x14ac:dyDescent="0.25">
      <c r="A592" s="8">
        <v>45825</v>
      </c>
      <c r="B592" s="9" t="s">
        <v>60</v>
      </c>
      <c r="C592" s="9" t="s">
        <v>61</v>
      </c>
      <c r="D592" s="9" t="s">
        <v>62</v>
      </c>
      <c r="E592" s="10">
        <v>3975.98</v>
      </c>
      <c r="F592" s="10">
        <v>4052.98</v>
      </c>
      <c r="G592" s="10">
        <v>3895.45</v>
      </c>
      <c r="H592" s="10">
        <v>3956.64</v>
      </c>
      <c r="I592" s="11">
        <v>1757202</v>
      </c>
      <c r="J592" s="10">
        <v>5539296000000</v>
      </c>
    </row>
    <row r="593" spans="1:10" x14ac:dyDescent="0.25">
      <c r="A593" s="14">
        <v>45825</v>
      </c>
      <c r="B593" s="15" t="s">
        <v>65</v>
      </c>
      <c r="C593" s="15" t="s">
        <v>66</v>
      </c>
      <c r="D593" s="15" t="s">
        <v>67</v>
      </c>
      <c r="E593" s="16">
        <v>156.03</v>
      </c>
      <c r="F593" s="16">
        <v>156.78</v>
      </c>
      <c r="G593" s="16">
        <v>154.53</v>
      </c>
      <c r="H593" s="16">
        <v>156.34</v>
      </c>
      <c r="I593" s="17">
        <v>3309691</v>
      </c>
      <c r="J593" s="16">
        <v>39085000000</v>
      </c>
    </row>
    <row r="594" spans="1:10" x14ac:dyDescent="0.25">
      <c r="A594" s="8">
        <v>45825</v>
      </c>
      <c r="B594" s="9" t="s">
        <v>69</v>
      </c>
      <c r="C594" s="9" t="s">
        <v>70</v>
      </c>
      <c r="D594" s="9" t="s">
        <v>71</v>
      </c>
      <c r="E594" s="10">
        <v>621.96</v>
      </c>
      <c r="F594" s="10">
        <v>622.57000000000005</v>
      </c>
      <c r="G594" s="10">
        <v>618.27</v>
      </c>
      <c r="H594" s="10">
        <v>620.69000000000005</v>
      </c>
      <c r="I594" s="11">
        <v>1879018</v>
      </c>
      <c r="J594" s="10">
        <v>496552000000</v>
      </c>
    </row>
    <row r="595" spans="1:10" x14ac:dyDescent="0.25">
      <c r="A595" s="14">
        <v>45825</v>
      </c>
      <c r="B595" s="15" t="s">
        <v>73</v>
      </c>
      <c r="C595" s="15" t="s">
        <v>74</v>
      </c>
      <c r="D595" s="15" t="s">
        <v>75</v>
      </c>
      <c r="E595" s="16">
        <v>109.51</v>
      </c>
      <c r="F595" s="16">
        <v>110.34</v>
      </c>
      <c r="G595" s="16">
        <v>108.14</v>
      </c>
      <c r="H595" s="16">
        <v>110.27</v>
      </c>
      <c r="I595" s="17">
        <v>4847670</v>
      </c>
      <c r="J595" s="16">
        <v>24259400000</v>
      </c>
    </row>
    <row r="596" spans="1:10" x14ac:dyDescent="0.25">
      <c r="A596" s="8">
        <v>45825</v>
      </c>
      <c r="B596" s="9" t="s">
        <v>76</v>
      </c>
      <c r="C596" s="9" t="s">
        <v>77</v>
      </c>
      <c r="D596" s="9" t="s">
        <v>75</v>
      </c>
      <c r="E596" s="10">
        <v>129.1</v>
      </c>
      <c r="F596" s="10">
        <v>130.22</v>
      </c>
      <c r="G596" s="10">
        <v>128.47</v>
      </c>
      <c r="H596" s="10">
        <v>128.85</v>
      </c>
      <c r="I596" s="11">
        <v>4716170</v>
      </c>
      <c r="J596" s="10">
        <v>25770000000</v>
      </c>
    </row>
    <row r="597" spans="1:10" x14ac:dyDescent="0.25">
      <c r="A597" s="14">
        <v>45826</v>
      </c>
      <c r="B597" s="15" t="s">
        <v>60</v>
      </c>
      <c r="C597" s="15" t="s">
        <v>61</v>
      </c>
      <c r="D597" s="15" t="s">
        <v>62</v>
      </c>
      <c r="E597" s="16">
        <v>3980.63</v>
      </c>
      <c r="F597" s="16">
        <v>4008.95</v>
      </c>
      <c r="G597" s="16">
        <v>3976.69</v>
      </c>
      <c r="H597" s="16">
        <v>3996.5</v>
      </c>
      <c r="I597" s="17">
        <v>1394625</v>
      </c>
      <c r="J597" s="16">
        <v>5595100000000</v>
      </c>
    </row>
    <row r="598" spans="1:10" x14ac:dyDescent="0.25">
      <c r="A598" s="8">
        <v>45826</v>
      </c>
      <c r="B598" s="9" t="s">
        <v>65</v>
      </c>
      <c r="C598" s="9" t="s">
        <v>66</v>
      </c>
      <c r="D598" s="9" t="s">
        <v>67</v>
      </c>
      <c r="E598" s="10">
        <v>155.58000000000001</v>
      </c>
      <c r="F598" s="10">
        <v>156.22999999999999</v>
      </c>
      <c r="G598" s="10">
        <v>154.77000000000001</v>
      </c>
      <c r="H598" s="10">
        <v>154.86000000000001</v>
      </c>
      <c r="I598" s="11">
        <v>1539098</v>
      </c>
      <c r="J598" s="10">
        <v>38715000000</v>
      </c>
    </row>
    <row r="599" spans="1:10" x14ac:dyDescent="0.25">
      <c r="A599" s="14">
        <v>45826</v>
      </c>
      <c r="B599" s="15" t="s">
        <v>69</v>
      </c>
      <c r="C599" s="15" t="s">
        <v>70</v>
      </c>
      <c r="D599" s="15" t="s">
        <v>71</v>
      </c>
      <c r="E599" s="16">
        <v>603.08000000000004</v>
      </c>
      <c r="F599" s="16">
        <v>612.29</v>
      </c>
      <c r="G599" s="16">
        <v>597.5</v>
      </c>
      <c r="H599" s="16">
        <v>608.95000000000005</v>
      </c>
      <c r="I599" s="17">
        <v>4714881</v>
      </c>
      <c r="J599" s="16">
        <v>487160000000</v>
      </c>
    </row>
    <row r="600" spans="1:10" x14ac:dyDescent="0.25">
      <c r="A600" s="8">
        <v>45826</v>
      </c>
      <c r="B600" s="9" t="s">
        <v>73</v>
      </c>
      <c r="C600" s="9" t="s">
        <v>74</v>
      </c>
      <c r="D600" s="9" t="s">
        <v>75</v>
      </c>
      <c r="E600" s="10">
        <v>112.99</v>
      </c>
      <c r="F600" s="10">
        <v>114.75</v>
      </c>
      <c r="G600" s="10">
        <v>111.48</v>
      </c>
      <c r="H600" s="10">
        <v>112.77</v>
      </c>
      <c r="I600" s="11">
        <v>1147519</v>
      </c>
      <c r="J600" s="10">
        <v>24809400000</v>
      </c>
    </row>
    <row r="601" spans="1:10" x14ac:dyDescent="0.25">
      <c r="A601" s="14">
        <v>45826</v>
      </c>
      <c r="B601" s="15" t="s">
        <v>76</v>
      </c>
      <c r="C601" s="15" t="s">
        <v>77</v>
      </c>
      <c r="D601" s="15" t="s">
        <v>75</v>
      </c>
      <c r="E601" s="16">
        <v>132.16999999999999</v>
      </c>
      <c r="F601" s="16">
        <v>132.65</v>
      </c>
      <c r="G601" s="16">
        <v>131.37</v>
      </c>
      <c r="H601" s="16">
        <v>132.62</v>
      </c>
      <c r="I601" s="17">
        <v>3964717</v>
      </c>
      <c r="J601" s="16">
        <v>26524000000</v>
      </c>
    </row>
    <row r="602" spans="1:10" x14ac:dyDescent="0.25">
      <c r="A602" s="8">
        <v>45827</v>
      </c>
      <c r="B602" s="9" t="s">
        <v>60</v>
      </c>
      <c r="C602" s="9" t="s">
        <v>61</v>
      </c>
      <c r="D602" s="9" t="s">
        <v>62</v>
      </c>
      <c r="E602" s="10">
        <v>4036.93</v>
      </c>
      <c r="F602" s="10">
        <v>4116.26</v>
      </c>
      <c r="G602" s="10">
        <v>4025.1</v>
      </c>
      <c r="H602" s="10">
        <v>4113.41</v>
      </c>
      <c r="I602" s="11">
        <v>3293269</v>
      </c>
      <c r="J602" s="10">
        <v>5758774000000</v>
      </c>
    </row>
    <row r="603" spans="1:10" x14ac:dyDescent="0.25">
      <c r="A603" s="14">
        <v>45827</v>
      </c>
      <c r="B603" s="15" t="s">
        <v>65</v>
      </c>
      <c r="C603" s="15" t="s">
        <v>66</v>
      </c>
      <c r="D603" s="15" t="s">
        <v>67</v>
      </c>
      <c r="E603" s="16">
        <v>153.72999999999999</v>
      </c>
      <c r="F603" s="16">
        <v>154</v>
      </c>
      <c r="G603" s="16">
        <v>152.11000000000001</v>
      </c>
      <c r="H603" s="16">
        <v>152.44</v>
      </c>
      <c r="I603" s="17">
        <v>2873819</v>
      </c>
      <c r="J603" s="16">
        <v>38110000000</v>
      </c>
    </row>
    <row r="604" spans="1:10" x14ac:dyDescent="0.25">
      <c r="A604" s="8">
        <v>45827</v>
      </c>
      <c r="B604" s="9" t="s">
        <v>69</v>
      </c>
      <c r="C604" s="9" t="s">
        <v>70</v>
      </c>
      <c r="D604" s="9" t="s">
        <v>71</v>
      </c>
      <c r="E604" s="10">
        <v>608.30999999999995</v>
      </c>
      <c r="F604" s="10">
        <v>612.35</v>
      </c>
      <c r="G604" s="10">
        <v>608.17999999999995</v>
      </c>
      <c r="H604" s="10">
        <v>611.11</v>
      </c>
      <c r="I604" s="11">
        <v>3584990</v>
      </c>
      <c r="J604" s="10">
        <v>488888000000</v>
      </c>
    </row>
    <row r="605" spans="1:10" x14ac:dyDescent="0.25">
      <c r="A605" s="14">
        <v>45827</v>
      </c>
      <c r="B605" s="15" t="s">
        <v>73</v>
      </c>
      <c r="C605" s="15" t="s">
        <v>74</v>
      </c>
      <c r="D605" s="15" t="s">
        <v>75</v>
      </c>
      <c r="E605" s="16">
        <v>112.88</v>
      </c>
      <c r="F605" s="16">
        <v>113.8</v>
      </c>
      <c r="G605" s="16">
        <v>111.63</v>
      </c>
      <c r="H605" s="16">
        <v>112.86</v>
      </c>
      <c r="I605" s="17">
        <v>1827412</v>
      </c>
      <c r="J605" s="16">
        <v>24829200000</v>
      </c>
    </row>
    <row r="606" spans="1:10" x14ac:dyDescent="0.25">
      <c r="A606" s="8">
        <v>45827</v>
      </c>
      <c r="B606" s="9" t="s">
        <v>76</v>
      </c>
      <c r="C606" s="9" t="s">
        <v>77</v>
      </c>
      <c r="D606" s="9" t="s">
        <v>75</v>
      </c>
      <c r="E606" s="10">
        <v>129.06</v>
      </c>
      <c r="F606" s="10">
        <v>130.46</v>
      </c>
      <c r="G606" s="10">
        <v>128.35</v>
      </c>
      <c r="H606" s="10">
        <v>129.54</v>
      </c>
      <c r="I606" s="11">
        <v>4462301</v>
      </c>
      <c r="J606" s="10">
        <v>25908000000</v>
      </c>
    </row>
    <row r="607" spans="1:10" x14ac:dyDescent="0.25">
      <c r="A607" s="14">
        <v>45828</v>
      </c>
      <c r="B607" s="15" t="s">
        <v>60</v>
      </c>
      <c r="C607" s="15" t="s">
        <v>61</v>
      </c>
      <c r="D607" s="15" t="s">
        <v>62</v>
      </c>
      <c r="E607" s="16">
        <v>4105.3999999999996</v>
      </c>
      <c r="F607" s="16">
        <v>4139.8599999999997</v>
      </c>
      <c r="G607" s="16">
        <v>4063.4</v>
      </c>
      <c r="H607" s="16">
        <v>4081.6</v>
      </c>
      <c r="I607" s="17">
        <v>2980316</v>
      </c>
      <c r="J607" s="16">
        <v>5714240000000</v>
      </c>
    </row>
    <row r="608" spans="1:10" x14ac:dyDescent="0.25">
      <c r="A608" s="8">
        <v>45828</v>
      </c>
      <c r="B608" s="9" t="s">
        <v>65</v>
      </c>
      <c r="C608" s="9" t="s">
        <v>66</v>
      </c>
      <c r="D608" s="9" t="s">
        <v>67</v>
      </c>
      <c r="E608" s="10">
        <v>154.82</v>
      </c>
      <c r="F608" s="10">
        <v>157.06</v>
      </c>
      <c r="G608" s="10">
        <v>153.16999999999999</v>
      </c>
      <c r="H608" s="10">
        <v>155.66</v>
      </c>
      <c r="I608" s="11">
        <v>3116470</v>
      </c>
      <c r="J608" s="10">
        <v>38915000000</v>
      </c>
    </row>
    <row r="609" spans="1:10" x14ac:dyDescent="0.25">
      <c r="A609" s="14">
        <v>45828</v>
      </c>
      <c r="B609" s="15" t="s">
        <v>69</v>
      </c>
      <c r="C609" s="15" t="s">
        <v>70</v>
      </c>
      <c r="D609" s="15" t="s">
        <v>71</v>
      </c>
      <c r="E609" s="16">
        <v>618.85</v>
      </c>
      <c r="F609" s="16">
        <v>622.52</v>
      </c>
      <c r="G609" s="16">
        <v>617.57000000000005</v>
      </c>
      <c r="H609" s="16">
        <v>618.80999999999995</v>
      </c>
      <c r="I609" s="17">
        <v>868703</v>
      </c>
      <c r="J609" s="16">
        <v>495048000000</v>
      </c>
    </row>
    <row r="610" spans="1:10" x14ac:dyDescent="0.25">
      <c r="A610" s="8">
        <v>45828</v>
      </c>
      <c r="B610" s="9" t="s">
        <v>73</v>
      </c>
      <c r="C610" s="9" t="s">
        <v>74</v>
      </c>
      <c r="D610" s="9" t="s">
        <v>75</v>
      </c>
      <c r="E610" s="10">
        <v>111.13</v>
      </c>
      <c r="F610" s="10">
        <v>112.39</v>
      </c>
      <c r="G610" s="10">
        <v>111.08</v>
      </c>
      <c r="H610" s="10">
        <v>111.65</v>
      </c>
      <c r="I610" s="11">
        <v>3820306</v>
      </c>
      <c r="J610" s="10">
        <v>24563000000</v>
      </c>
    </row>
    <row r="611" spans="1:10" x14ac:dyDescent="0.25">
      <c r="A611" s="14">
        <v>45828</v>
      </c>
      <c r="B611" s="15" t="s">
        <v>76</v>
      </c>
      <c r="C611" s="15" t="s">
        <v>77</v>
      </c>
      <c r="D611" s="15" t="s">
        <v>75</v>
      </c>
      <c r="E611" s="16">
        <v>128.97</v>
      </c>
      <c r="F611" s="16">
        <v>131.07</v>
      </c>
      <c r="G611" s="16">
        <v>128.56</v>
      </c>
      <c r="H611" s="16">
        <v>129.80000000000001</v>
      </c>
      <c r="I611" s="17">
        <v>3476871</v>
      </c>
      <c r="J611" s="16">
        <v>25960000000</v>
      </c>
    </row>
    <row r="612" spans="1:10" x14ac:dyDescent="0.25">
      <c r="A612" s="8">
        <v>45831</v>
      </c>
      <c r="B612" s="9" t="s">
        <v>60</v>
      </c>
      <c r="C612" s="9" t="s">
        <v>61</v>
      </c>
      <c r="D612" s="9" t="s">
        <v>62</v>
      </c>
      <c r="E612" s="10">
        <v>4047.13</v>
      </c>
      <c r="F612" s="10">
        <v>4072.4</v>
      </c>
      <c r="G612" s="10">
        <v>4020</v>
      </c>
      <c r="H612" s="10">
        <v>4050.29</v>
      </c>
      <c r="I612" s="11">
        <v>2192325</v>
      </c>
      <c r="J612" s="10">
        <v>5670406000000</v>
      </c>
    </row>
    <row r="613" spans="1:10" x14ac:dyDescent="0.25">
      <c r="A613" s="14">
        <v>45831</v>
      </c>
      <c r="B613" s="15" t="s">
        <v>65</v>
      </c>
      <c r="C613" s="15" t="s">
        <v>66</v>
      </c>
      <c r="D613" s="15" t="s">
        <v>67</v>
      </c>
      <c r="E613" s="16">
        <v>152.07</v>
      </c>
      <c r="F613" s="16">
        <v>152.32</v>
      </c>
      <c r="G613" s="16">
        <v>151.66</v>
      </c>
      <c r="H613" s="16">
        <v>152.22</v>
      </c>
      <c r="I613" s="17">
        <v>2773872</v>
      </c>
      <c r="J613" s="16">
        <v>38055000000</v>
      </c>
    </row>
    <row r="614" spans="1:10" x14ac:dyDescent="0.25">
      <c r="A614" s="8">
        <v>45831</v>
      </c>
      <c r="B614" s="9" t="s">
        <v>69</v>
      </c>
      <c r="C614" s="9" t="s">
        <v>70</v>
      </c>
      <c r="D614" s="9" t="s">
        <v>71</v>
      </c>
      <c r="E614" s="10">
        <v>626.1</v>
      </c>
      <c r="F614" s="10">
        <v>626.59</v>
      </c>
      <c r="G614" s="10">
        <v>622.48</v>
      </c>
      <c r="H614" s="10">
        <v>626.13</v>
      </c>
      <c r="I614" s="11">
        <v>1649764</v>
      </c>
      <c r="J614" s="10">
        <v>500904000000</v>
      </c>
    </row>
    <row r="615" spans="1:10" x14ac:dyDescent="0.25">
      <c r="A615" s="14">
        <v>45831</v>
      </c>
      <c r="B615" s="15" t="s">
        <v>73</v>
      </c>
      <c r="C615" s="15" t="s">
        <v>74</v>
      </c>
      <c r="D615" s="15" t="s">
        <v>75</v>
      </c>
      <c r="E615" s="16">
        <v>112.61</v>
      </c>
      <c r="F615" s="16">
        <v>112.74</v>
      </c>
      <c r="G615" s="16">
        <v>111.48</v>
      </c>
      <c r="H615" s="16">
        <v>112.61</v>
      </c>
      <c r="I615" s="17">
        <v>1081018</v>
      </c>
      <c r="J615" s="16">
        <v>24774200000</v>
      </c>
    </row>
    <row r="616" spans="1:10" x14ac:dyDescent="0.25">
      <c r="A616" s="8">
        <v>45831</v>
      </c>
      <c r="B616" s="9" t="s">
        <v>76</v>
      </c>
      <c r="C616" s="9" t="s">
        <v>77</v>
      </c>
      <c r="D616" s="9" t="s">
        <v>75</v>
      </c>
      <c r="E616" s="10">
        <v>126.86</v>
      </c>
      <c r="F616" s="10">
        <v>129.37</v>
      </c>
      <c r="G616" s="10">
        <v>125.62</v>
      </c>
      <c r="H616" s="10">
        <v>127.24</v>
      </c>
      <c r="I616" s="11">
        <v>1684096</v>
      </c>
      <c r="J616" s="10">
        <v>25448000000</v>
      </c>
    </row>
    <row r="617" spans="1:10" x14ac:dyDescent="0.25">
      <c r="A617" s="14">
        <v>45832</v>
      </c>
      <c r="B617" s="15" t="s">
        <v>60</v>
      </c>
      <c r="C617" s="15" t="s">
        <v>61</v>
      </c>
      <c r="D617" s="15" t="s">
        <v>62</v>
      </c>
      <c r="E617" s="16">
        <v>3992.12</v>
      </c>
      <c r="F617" s="16">
        <v>4018.75</v>
      </c>
      <c r="G617" s="16">
        <v>3970.84</v>
      </c>
      <c r="H617" s="16">
        <v>3973.41</v>
      </c>
      <c r="I617" s="17">
        <v>3077422</v>
      </c>
      <c r="J617" s="16">
        <v>5562774000000</v>
      </c>
    </row>
    <row r="618" spans="1:10" x14ac:dyDescent="0.25">
      <c r="A618" s="8">
        <v>45832</v>
      </c>
      <c r="B618" s="9" t="s">
        <v>65</v>
      </c>
      <c r="C618" s="9" t="s">
        <v>66</v>
      </c>
      <c r="D618" s="9" t="s">
        <v>67</v>
      </c>
      <c r="E618" s="10">
        <v>152.66</v>
      </c>
      <c r="F618" s="10">
        <v>153.41999999999999</v>
      </c>
      <c r="G618" s="10">
        <v>152.02000000000001</v>
      </c>
      <c r="H618" s="10">
        <v>153.04</v>
      </c>
      <c r="I618" s="11">
        <v>2525202</v>
      </c>
      <c r="J618" s="10">
        <v>38260000000</v>
      </c>
    </row>
    <row r="619" spans="1:10" x14ac:dyDescent="0.25">
      <c r="A619" s="14">
        <v>45832</v>
      </c>
      <c r="B619" s="15" t="s">
        <v>69</v>
      </c>
      <c r="C619" s="15" t="s">
        <v>70</v>
      </c>
      <c r="D619" s="15" t="s">
        <v>71</v>
      </c>
      <c r="E619" s="16">
        <v>612.04999999999995</v>
      </c>
      <c r="F619" s="16">
        <v>614.24</v>
      </c>
      <c r="G619" s="16">
        <v>608.57000000000005</v>
      </c>
      <c r="H619" s="16">
        <v>609.11</v>
      </c>
      <c r="I619" s="17">
        <v>3595902</v>
      </c>
      <c r="J619" s="16">
        <v>487288000000</v>
      </c>
    </row>
    <row r="620" spans="1:10" x14ac:dyDescent="0.25">
      <c r="A620" s="8">
        <v>45832</v>
      </c>
      <c r="B620" s="9" t="s">
        <v>73</v>
      </c>
      <c r="C620" s="9" t="s">
        <v>74</v>
      </c>
      <c r="D620" s="9" t="s">
        <v>75</v>
      </c>
      <c r="E620" s="10">
        <v>109.72</v>
      </c>
      <c r="F620" s="10">
        <v>110.45</v>
      </c>
      <c r="G620" s="10">
        <v>109.25</v>
      </c>
      <c r="H620" s="10">
        <v>109.76</v>
      </c>
      <c r="I620" s="11">
        <v>2770859</v>
      </c>
      <c r="J620" s="10">
        <v>24147200000</v>
      </c>
    </row>
    <row r="621" spans="1:10" x14ac:dyDescent="0.25">
      <c r="A621" s="14">
        <v>45832</v>
      </c>
      <c r="B621" s="15" t="s">
        <v>76</v>
      </c>
      <c r="C621" s="15" t="s">
        <v>77</v>
      </c>
      <c r="D621" s="15" t="s">
        <v>75</v>
      </c>
      <c r="E621" s="16">
        <v>128.75</v>
      </c>
      <c r="F621" s="16">
        <v>129.4</v>
      </c>
      <c r="G621" s="16">
        <v>127.46</v>
      </c>
      <c r="H621" s="16">
        <v>128.38999999999999</v>
      </c>
      <c r="I621" s="17">
        <v>1113585</v>
      </c>
      <c r="J621" s="16">
        <v>25678000000</v>
      </c>
    </row>
    <row r="622" spans="1:10" x14ac:dyDescent="0.25">
      <c r="A622" s="8">
        <v>45833</v>
      </c>
      <c r="B622" s="9" t="s">
        <v>60</v>
      </c>
      <c r="C622" s="9" t="s">
        <v>61</v>
      </c>
      <c r="D622" s="9" t="s">
        <v>62</v>
      </c>
      <c r="E622" s="10">
        <v>4010.21</v>
      </c>
      <c r="F622" s="10">
        <v>4013.37</v>
      </c>
      <c r="G622" s="10">
        <v>4006.76</v>
      </c>
      <c r="H622" s="10">
        <v>4012.34</v>
      </c>
      <c r="I622" s="11">
        <v>2886655</v>
      </c>
      <c r="J622" s="10">
        <v>5617276000000</v>
      </c>
    </row>
    <row r="623" spans="1:10" x14ac:dyDescent="0.25">
      <c r="A623" s="14">
        <v>45833</v>
      </c>
      <c r="B623" s="15" t="s">
        <v>65</v>
      </c>
      <c r="C623" s="15" t="s">
        <v>66</v>
      </c>
      <c r="D623" s="15" t="s">
        <v>67</v>
      </c>
      <c r="E623" s="16">
        <v>153.99</v>
      </c>
      <c r="F623" s="16">
        <v>154.29</v>
      </c>
      <c r="G623" s="16">
        <v>152.63</v>
      </c>
      <c r="H623" s="16">
        <v>154.12</v>
      </c>
      <c r="I623" s="17">
        <v>2523018</v>
      </c>
      <c r="J623" s="16">
        <v>38530000000</v>
      </c>
    </row>
    <row r="624" spans="1:10" x14ac:dyDescent="0.25">
      <c r="A624" s="8">
        <v>45833</v>
      </c>
      <c r="B624" s="9" t="s">
        <v>69</v>
      </c>
      <c r="C624" s="9" t="s">
        <v>70</v>
      </c>
      <c r="D624" s="9" t="s">
        <v>71</v>
      </c>
      <c r="E624" s="10">
        <v>618.86</v>
      </c>
      <c r="F624" s="10">
        <v>622.22</v>
      </c>
      <c r="G624" s="10">
        <v>614.76</v>
      </c>
      <c r="H624" s="10">
        <v>617.52</v>
      </c>
      <c r="I624" s="11">
        <v>4039434</v>
      </c>
      <c r="J624" s="10">
        <v>494016000000</v>
      </c>
    </row>
    <row r="625" spans="1:10" x14ac:dyDescent="0.25">
      <c r="A625" s="14">
        <v>45833</v>
      </c>
      <c r="B625" s="15" t="s">
        <v>73</v>
      </c>
      <c r="C625" s="15" t="s">
        <v>74</v>
      </c>
      <c r="D625" s="15" t="s">
        <v>75</v>
      </c>
      <c r="E625" s="16">
        <v>112.93</v>
      </c>
      <c r="F625" s="16">
        <v>113.86</v>
      </c>
      <c r="G625" s="16">
        <v>112.66</v>
      </c>
      <c r="H625" s="16">
        <v>112.98</v>
      </c>
      <c r="I625" s="17">
        <v>2552861</v>
      </c>
      <c r="J625" s="16">
        <v>24855600000</v>
      </c>
    </row>
    <row r="626" spans="1:10" x14ac:dyDescent="0.25">
      <c r="A626" s="8">
        <v>45833</v>
      </c>
      <c r="B626" s="9" t="s">
        <v>76</v>
      </c>
      <c r="C626" s="9" t="s">
        <v>77</v>
      </c>
      <c r="D626" s="9" t="s">
        <v>75</v>
      </c>
      <c r="E626" s="10">
        <v>127.4</v>
      </c>
      <c r="F626" s="10">
        <v>127.63</v>
      </c>
      <c r="G626" s="10">
        <v>127.25</v>
      </c>
      <c r="H626" s="10">
        <v>127.5</v>
      </c>
      <c r="I626" s="11">
        <v>4842003</v>
      </c>
      <c r="J626" s="10">
        <v>25500000000</v>
      </c>
    </row>
    <row r="627" spans="1:10" x14ac:dyDescent="0.25">
      <c r="A627" s="14">
        <v>45834</v>
      </c>
      <c r="B627" s="15" t="s">
        <v>60</v>
      </c>
      <c r="C627" s="15" t="s">
        <v>61</v>
      </c>
      <c r="D627" s="15" t="s">
        <v>62</v>
      </c>
      <c r="E627" s="16">
        <v>3987.52</v>
      </c>
      <c r="F627" s="16">
        <v>4033.5</v>
      </c>
      <c r="G627" s="16">
        <v>3959.93</v>
      </c>
      <c r="H627" s="16">
        <v>3976.67</v>
      </c>
      <c r="I627" s="17">
        <v>811568</v>
      </c>
      <c r="J627" s="16">
        <v>5567338000000</v>
      </c>
    </row>
    <row r="628" spans="1:10" x14ac:dyDescent="0.25">
      <c r="A628" s="8">
        <v>45834</v>
      </c>
      <c r="B628" s="9" t="s">
        <v>65</v>
      </c>
      <c r="C628" s="9" t="s">
        <v>66</v>
      </c>
      <c r="D628" s="9" t="s">
        <v>67</v>
      </c>
      <c r="E628" s="10">
        <v>156.46</v>
      </c>
      <c r="F628" s="10">
        <v>158.41</v>
      </c>
      <c r="G628" s="10">
        <v>155.11000000000001</v>
      </c>
      <c r="H628" s="10">
        <v>157.97</v>
      </c>
      <c r="I628" s="11">
        <v>4283115</v>
      </c>
      <c r="J628" s="10">
        <v>39492500000</v>
      </c>
    </row>
    <row r="629" spans="1:10" x14ac:dyDescent="0.25">
      <c r="A629" s="14">
        <v>45834</v>
      </c>
      <c r="B629" s="15" t="s">
        <v>69</v>
      </c>
      <c r="C629" s="15" t="s">
        <v>70</v>
      </c>
      <c r="D629" s="15" t="s">
        <v>71</v>
      </c>
      <c r="E629" s="16">
        <v>623.26</v>
      </c>
      <c r="F629" s="16">
        <v>626.54</v>
      </c>
      <c r="G629" s="16">
        <v>621.65</v>
      </c>
      <c r="H629" s="16">
        <v>623.11</v>
      </c>
      <c r="I629" s="17">
        <v>3611859</v>
      </c>
      <c r="J629" s="16">
        <v>498488000000</v>
      </c>
    </row>
    <row r="630" spans="1:10" x14ac:dyDescent="0.25">
      <c r="A630" s="8">
        <v>45834</v>
      </c>
      <c r="B630" s="9" t="s">
        <v>73</v>
      </c>
      <c r="C630" s="9" t="s">
        <v>74</v>
      </c>
      <c r="D630" s="9" t="s">
        <v>75</v>
      </c>
      <c r="E630" s="10">
        <v>115.2</v>
      </c>
      <c r="F630" s="10">
        <v>116.04</v>
      </c>
      <c r="G630" s="10">
        <v>113.22</v>
      </c>
      <c r="H630" s="10">
        <v>115.48</v>
      </c>
      <c r="I630" s="11">
        <v>1536880</v>
      </c>
      <c r="J630" s="10">
        <v>25405600000</v>
      </c>
    </row>
    <row r="631" spans="1:10" x14ac:dyDescent="0.25">
      <c r="A631" s="14">
        <v>45834</v>
      </c>
      <c r="B631" s="15" t="s">
        <v>76</v>
      </c>
      <c r="C631" s="15" t="s">
        <v>77</v>
      </c>
      <c r="D631" s="15" t="s">
        <v>75</v>
      </c>
      <c r="E631" s="16">
        <v>127.47</v>
      </c>
      <c r="F631" s="16">
        <v>128.72</v>
      </c>
      <c r="G631" s="16">
        <v>126.29</v>
      </c>
      <c r="H631" s="16">
        <v>126.71</v>
      </c>
      <c r="I631" s="17">
        <v>1702279</v>
      </c>
      <c r="J631" s="16">
        <v>25342000000</v>
      </c>
    </row>
    <row r="632" spans="1:10" x14ac:dyDescent="0.25">
      <c r="A632" s="8">
        <v>45835</v>
      </c>
      <c r="B632" s="9" t="s">
        <v>60</v>
      </c>
      <c r="C632" s="9" t="s">
        <v>61</v>
      </c>
      <c r="D632" s="9" t="s">
        <v>62</v>
      </c>
      <c r="E632" s="10">
        <v>4084.26</v>
      </c>
      <c r="F632" s="10">
        <v>4094.6</v>
      </c>
      <c r="G632" s="10">
        <v>4060.2</v>
      </c>
      <c r="H632" s="10">
        <v>4094.2</v>
      </c>
      <c r="I632" s="11">
        <v>3952343</v>
      </c>
      <c r="J632" s="10">
        <v>5731880000000</v>
      </c>
    </row>
    <row r="633" spans="1:10" x14ac:dyDescent="0.25">
      <c r="A633" s="14">
        <v>45835</v>
      </c>
      <c r="B633" s="15" t="s">
        <v>65</v>
      </c>
      <c r="C633" s="15" t="s">
        <v>66</v>
      </c>
      <c r="D633" s="15" t="s">
        <v>67</v>
      </c>
      <c r="E633" s="16">
        <v>159.77000000000001</v>
      </c>
      <c r="F633" s="16">
        <v>160.47999999999999</v>
      </c>
      <c r="G633" s="16">
        <v>157.5</v>
      </c>
      <c r="H633" s="16">
        <v>157.94</v>
      </c>
      <c r="I633" s="17">
        <v>2463307</v>
      </c>
      <c r="J633" s="16">
        <v>39485000000</v>
      </c>
    </row>
    <row r="634" spans="1:10" x14ac:dyDescent="0.25">
      <c r="A634" s="8">
        <v>45835</v>
      </c>
      <c r="B634" s="9" t="s">
        <v>69</v>
      </c>
      <c r="C634" s="9" t="s">
        <v>70</v>
      </c>
      <c r="D634" s="9" t="s">
        <v>71</v>
      </c>
      <c r="E634" s="10">
        <v>616.84</v>
      </c>
      <c r="F634" s="10">
        <v>624.04</v>
      </c>
      <c r="G634" s="10">
        <v>616.1</v>
      </c>
      <c r="H634" s="10">
        <v>620.52</v>
      </c>
      <c r="I634" s="11">
        <v>4930966</v>
      </c>
      <c r="J634" s="10">
        <v>496416000000</v>
      </c>
    </row>
    <row r="635" spans="1:10" x14ac:dyDescent="0.25">
      <c r="A635" s="14">
        <v>45835</v>
      </c>
      <c r="B635" s="15" t="s">
        <v>73</v>
      </c>
      <c r="C635" s="15" t="s">
        <v>74</v>
      </c>
      <c r="D635" s="15" t="s">
        <v>75</v>
      </c>
      <c r="E635" s="16">
        <v>114.81</v>
      </c>
      <c r="F635" s="16">
        <v>115.15</v>
      </c>
      <c r="G635" s="16">
        <v>114.15</v>
      </c>
      <c r="H635" s="16">
        <v>114.61</v>
      </c>
      <c r="I635" s="17">
        <v>403715</v>
      </c>
      <c r="J635" s="16">
        <v>25214200000</v>
      </c>
    </row>
    <row r="636" spans="1:10" x14ac:dyDescent="0.25">
      <c r="A636" s="8">
        <v>45835</v>
      </c>
      <c r="B636" s="9" t="s">
        <v>76</v>
      </c>
      <c r="C636" s="9" t="s">
        <v>77</v>
      </c>
      <c r="D636" s="9" t="s">
        <v>75</v>
      </c>
      <c r="E636" s="10">
        <v>127.34</v>
      </c>
      <c r="F636" s="10">
        <v>128.72999999999999</v>
      </c>
      <c r="G636" s="10">
        <v>126.29</v>
      </c>
      <c r="H636" s="10">
        <v>127.3</v>
      </c>
      <c r="I636" s="11">
        <v>1543189</v>
      </c>
      <c r="J636" s="10">
        <v>25460000000</v>
      </c>
    </row>
    <row r="637" spans="1:10" x14ac:dyDescent="0.25">
      <c r="A637" s="14">
        <v>45838</v>
      </c>
      <c r="B637" s="15" t="s">
        <v>60</v>
      </c>
      <c r="C637" s="15" t="s">
        <v>61</v>
      </c>
      <c r="D637" s="15" t="s">
        <v>62</v>
      </c>
      <c r="E637" s="16">
        <v>4085.97</v>
      </c>
      <c r="F637" s="16">
        <v>4125.46</v>
      </c>
      <c r="G637" s="16">
        <v>4068.41</v>
      </c>
      <c r="H637" s="16">
        <v>4123.45</v>
      </c>
      <c r="I637" s="17">
        <v>1140572</v>
      </c>
      <c r="J637" s="16">
        <v>5772830000000</v>
      </c>
    </row>
    <row r="638" spans="1:10" x14ac:dyDescent="0.25">
      <c r="A638" s="8">
        <v>45838</v>
      </c>
      <c r="B638" s="9" t="s">
        <v>65</v>
      </c>
      <c r="C638" s="9" t="s">
        <v>66</v>
      </c>
      <c r="D638" s="9" t="s">
        <v>67</v>
      </c>
      <c r="E638" s="10">
        <v>160.69</v>
      </c>
      <c r="F638" s="10">
        <v>161.44</v>
      </c>
      <c r="G638" s="10">
        <v>159.84</v>
      </c>
      <c r="H638" s="10">
        <v>160.69999999999999</v>
      </c>
      <c r="I638" s="11">
        <v>3184583</v>
      </c>
      <c r="J638" s="10">
        <v>40175000000</v>
      </c>
    </row>
    <row r="639" spans="1:10" x14ac:dyDescent="0.25">
      <c r="A639" s="14">
        <v>45838</v>
      </c>
      <c r="B639" s="15" t="s">
        <v>69</v>
      </c>
      <c r="C639" s="15" t="s">
        <v>70</v>
      </c>
      <c r="D639" s="15" t="s">
        <v>71</v>
      </c>
      <c r="E639" s="16">
        <v>625.16999999999996</v>
      </c>
      <c r="F639" s="16">
        <v>627.99</v>
      </c>
      <c r="G639" s="16">
        <v>622.45000000000005</v>
      </c>
      <c r="H639" s="16">
        <v>626.08000000000004</v>
      </c>
      <c r="I639" s="17">
        <v>4268202</v>
      </c>
      <c r="J639" s="16">
        <v>500864000000</v>
      </c>
    </row>
    <row r="640" spans="1:10" x14ac:dyDescent="0.25">
      <c r="A640" s="8">
        <v>45838</v>
      </c>
      <c r="B640" s="9" t="s">
        <v>73</v>
      </c>
      <c r="C640" s="9" t="s">
        <v>74</v>
      </c>
      <c r="D640" s="9" t="s">
        <v>75</v>
      </c>
      <c r="E640" s="10">
        <v>115.97</v>
      </c>
      <c r="F640" s="10">
        <v>116.14</v>
      </c>
      <c r="G640" s="10">
        <v>115.18</v>
      </c>
      <c r="H640" s="10">
        <v>115.85</v>
      </c>
      <c r="I640" s="11">
        <v>625331</v>
      </c>
      <c r="J640" s="10">
        <v>25487000000</v>
      </c>
    </row>
    <row r="641" spans="1:10" x14ac:dyDescent="0.25">
      <c r="A641" s="14">
        <v>45838</v>
      </c>
      <c r="B641" s="15" t="s">
        <v>76</v>
      </c>
      <c r="C641" s="15" t="s">
        <v>77</v>
      </c>
      <c r="D641" s="15" t="s">
        <v>75</v>
      </c>
      <c r="E641" s="16">
        <v>129.38</v>
      </c>
      <c r="F641" s="16">
        <v>131.07</v>
      </c>
      <c r="G641" s="16">
        <v>128.08000000000001</v>
      </c>
      <c r="H641" s="16">
        <v>130.13999999999999</v>
      </c>
      <c r="I641" s="17">
        <v>713482</v>
      </c>
      <c r="J641" s="16">
        <v>26028000000</v>
      </c>
    </row>
    <row r="642" spans="1:10" x14ac:dyDescent="0.25">
      <c r="A642" s="8">
        <v>45839</v>
      </c>
      <c r="B642" s="9" t="s">
        <v>60</v>
      </c>
      <c r="C642" s="9" t="s">
        <v>61</v>
      </c>
      <c r="D642" s="9" t="s">
        <v>62</v>
      </c>
      <c r="E642" s="10">
        <v>4120.5600000000004</v>
      </c>
      <c r="F642" s="10">
        <v>4194.78</v>
      </c>
      <c r="G642" s="10">
        <v>4115.24</v>
      </c>
      <c r="H642" s="10">
        <v>4180.25</v>
      </c>
      <c r="I642" s="11">
        <v>2842209</v>
      </c>
      <c r="J642" s="10">
        <v>5852350000000</v>
      </c>
    </row>
    <row r="643" spans="1:10" x14ac:dyDescent="0.25">
      <c r="A643" s="14">
        <v>45839</v>
      </c>
      <c r="B643" s="15" t="s">
        <v>65</v>
      </c>
      <c r="C643" s="15" t="s">
        <v>66</v>
      </c>
      <c r="D643" s="15" t="s">
        <v>67</v>
      </c>
      <c r="E643" s="16">
        <v>160.44</v>
      </c>
      <c r="F643" s="16">
        <v>161.36000000000001</v>
      </c>
      <c r="G643" s="16">
        <v>158.15</v>
      </c>
      <c r="H643" s="16">
        <v>160.9</v>
      </c>
      <c r="I643" s="17">
        <v>1123907</v>
      </c>
      <c r="J643" s="16">
        <v>40225000000</v>
      </c>
    </row>
    <row r="644" spans="1:10" x14ac:dyDescent="0.25">
      <c r="A644" s="8">
        <v>45839</v>
      </c>
      <c r="B644" s="9" t="s">
        <v>69</v>
      </c>
      <c r="C644" s="9" t="s">
        <v>70</v>
      </c>
      <c r="D644" s="9" t="s">
        <v>71</v>
      </c>
      <c r="E644" s="10">
        <v>632.86</v>
      </c>
      <c r="F644" s="10">
        <v>633.49</v>
      </c>
      <c r="G644" s="10">
        <v>630.25</v>
      </c>
      <c r="H644" s="10">
        <v>632.76</v>
      </c>
      <c r="I644" s="11">
        <v>2991638</v>
      </c>
      <c r="J644" s="10">
        <v>506208000000</v>
      </c>
    </row>
    <row r="645" spans="1:10" x14ac:dyDescent="0.25">
      <c r="A645" s="14">
        <v>45839</v>
      </c>
      <c r="B645" s="15" t="s">
        <v>73</v>
      </c>
      <c r="C645" s="15" t="s">
        <v>74</v>
      </c>
      <c r="D645" s="15" t="s">
        <v>75</v>
      </c>
      <c r="E645" s="16">
        <v>118.6</v>
      </c>
      <c r="F645" s="16">
        <v>118.72</v>
      </c>
      <c r="G645" s="16">
        <v>117.62</v>
      </c>
      <c r="H645" s="16">
        <v>118.33</v>
      </c>
      <c r="I645" s="17">
        <v>1876518</v>
      </c>
      <c r="J645" s="16">
        <v>26032600000</v>
      </c>
    </row>
    <row r="646" spans="1:10" x14ac:dyDescent="0.25">
      <c r="A646" s="8">
        <v>45839</v>
      </c>
      <c r="B646" s="9" t="s">
        <v>76</v>
      </c>
      <c r="C646" s="9" t="s">
        <v>77</v>
      </c>
      <c r="D646" s="9" t="s">
        <v>75</v>
      </c>
      <c r="E646" s="10">
        <v>126.13</v>
      </c>
      <c r="F646" s="10">
        <v>126.93</v>
      </c>
      <c r="G646" s="10">
        <v>125.16</v>
      </c>
      <c r="H646" s="10">
        <v>126.07</v>
      </c>
      <c r="I646" s="11">
        <v>3436586</v>
      </c>
      <c r="J646" s="10">
        <v>25214000000</v>
      </c>
    </row>
    <row r="647" spans="1:10" x14ac:dyDescent="0.25">
      <c r="A647" s="14">
        <v>45840</v>
      </c>
      <c r="B647" s="15" t="s">
        <v>60</v>
      </c>
      <c r="C647" s="15" t="s">
        <v>61</v>
      </c>
      <c r="D647" s="15" t="s">
        <v>62</v>
      </c>
      <c r="E647" s="16">
        <v>4220.84</v>
      </c>
      <c r="F647" s="16">
        <v>4238.38</v>
      </c>
      <c r="G647" s="16">
        <v>4184.18</v>
      </c>
      <c r="H647" s="16">
        <v>4192.8</v>
      </c>
      <c r="I647" s="17">
        <v>2909889</v>
      </c>
      <c r="J647" s="16">
        <v>5869920000000</v>
      </c>
    </row>
    <row r="648" spans="1:10" x14ac:dyDescent="0.25">
      <c r="A648" s="8">
        <v>45840</v>
      </c>
      <c r="B648" s="9" t="s">
        <v>65</v>
      </c>
      <c r="C648" s="9" t="s">
        <v>66</v>
      </c>
      <c r="D648" s="9" t="s">
        <v>67</v>
      </c>
      <c r="E648" s="10">
        <v>160.32</v>
      </c>
      <c r="F648" s="10">
        <v>161.58000000000001</v>
      </c>
      <c r="G648" s="10">
        <v>160.02000000000001</v>
      </c>
      <c r="H648" s="10">
        <v>160.91</v>
      </c>
      <c r="I648" s="11">
        <v>1757414</v>
      </c>
      <c r="J648" s="10">
        <v>40227500000</v>
      </c>
    </row>
    <row r="649" spans="1:10" x14ac:dyDescent="0.25">
      <c r="A649" s="14">
        <v>45840</v>
      </c>
      <c r="B649" s="15" t="s">
        <v>69</v>
      </c>
      <c r="C649" s="15" t="s">
        <v>70</v>
      </c>
      <c r="D649" s="15" t="s">
        <v>71</v>
      </c>
      <c r="E649" s="16">
        <v>621.53</v>
      </c>
      <c r="F649" s="16">
        <v>624.84</v>
      </c>
      <c r="G649" s="16">
        <v>612.73</v>
      </c>
      <c r="H649" s="16">
        <v>622.87</v>
      </c>
      <c r="I649" s="17">
        <v>2392876</v>
      </c>
      <c r="J649" s="16">
        <v>498296000000</v>
      </c>
    </row>
    <row r="650" spans="1:10" x14ac:dyDescent="0.25">
      <c r="A650" s="8">
        <v>45840</v>
      </c>
      <c r="B650" s="9" t="s">
        <v>73</v>
      </c>
      <c r="C650" s="9" t="s">
        <v>74</v>
      </c>
      <c r="D650" s="9" t="s">
        <v>75</v>
      </c>
      <c r="E650" s="10">
        <v>118.91</v>
      </c>
      <c r="F650" s="10">
        <v>118.97</v>
      </c>
      <c r="G650" s="10">
        <v>118.5</v>
      </c>
      <c r="H650" s="10">
        <v>118.67</v>
      </c>
      <c r="I650" s="11">
        <v>4194146</v>
      </c>
      <c r="J650" s="10">
        <v>26107400000</v>
      </c>
    </row>
    <row r="651" spans="1:10" x14ac:dyDescent="0.25">
      <c r="A651" s="14">
        <v>45840</v>
      </c>
      <c r="B651" s="15" t="s">
        <v>76</v>
      </c>
      <c r="C651" s="15" t="s">
        <v>77</v>
      </c>
      <c r="D651" s="15" t="s">
        <v>75</v>
      </c>
      <c r="E651" s="16">
        <v>127.06</v>
      </c>
      <c r="F651" s="16">
        <v>128.5</v>
      </c>
      <c r="G651" s="16">
        <v>127.01</v>
      </c>
      <c r="H651" s="16">
        <v>127.19</v>
      </c>
      <c r="I651" s="17">
        <v>556382</v>
      </c>
      <c r="J651" s="16">
        <v>25438000000</v>
      </c>
    </row>
    <row r="652" spans="1:10" x14ac:dyDescent="0.25">
      <c r="A652" s="8">
        <v>45841</v>
      </c>
      <c r="B652" s="9" t="s">
        <v>60</v>
      </c>
      <c r="C652" s="9" t="s">
        <v>61</v>
      </c>
      <c r="D652" s="9" t="s">
        <v>62</v>
      </c>
      <c r="E652" s="10">
        <v>4197.33</v>
      </c>
      <c r="F652" s="10">
        <v>4236.18</v>
      </c>
      <c r="G652" s="10">
        <v>4116.8100000000004</v>
      </c>
      <c r="H652" s="10">
        <v>4173.46</v>
      </c>
      <c r="I652" s="11">
        <v>4924922</v>
      </c>
      <c r="J652" s="10">
        <v>5842844000000</v>
      </c>
    </row>
    <row r="653" spans="1:10" x14ac:dyDescent="0.25">
      <c r="A653" s="14">
        <v>45841</v>
      </c>
      <c r="B653" s="15" t="s">
        <v>65</v>
      </c>
      <c r="C653" s="15" t="s">
        <v>66</v>
      </c>
      <c r="D653" s="15" t="s">
        <v>67</v>
      </c>
      <c r="E653" s="16">
        <v>162.97999999999999</v>
      </c>
      <c r="F653" s="16">
        <v>163.44</v>
      </c>
      <c r="G653" s="16">
        <v>162.35</v>
      </c>
      <c r="H653" s="16">
        <v>163.32</v>
      </c>
      <c r="I653" s="17">
        <v>1058262</v>
      </c>
      <c r="J653" s="16">
        <v>40830000000</v>
      </c>
    </row>
    <row r="654" spans="1:10" x14ac:dyDescent="0.25">
      <c r="A654" s="8">
        <v>45841</v>
      </c>
      <c r="B654" s="9" t="s">
        <v>69</v>
      </c>
      <c r="C654" s="9" t="s">
        <v>70</v>
      </c>
      <c r="D654" s="9" t="s">
        <v>71</v>
      </c>
      <c r="E654" s="10">
        <v>620.98</v>
      </c>
      <c r="F654" s="10">
        <v>625.77</v>
      </c>
      <c r="G654" s="10">
        <v>617.61</v>
      </c>
      <c r="H654" s="10">
        <v>625.48</v>
      </c>
      <c r="I654" s="11">
        <v>2156827</v>
      </c>
      <c r="J654" s="10">
        <v>500384000000</v>
      </c>
    </row>
    <row r="655" spans="1:10" x14ac:dyDescent="0.25">
      <c r="A655" s="14">
        <v>45841</v>
      </c>
      <c r="B655" s="15" t="s">
        <v>73</v>
      </c>
      <c r="C655" s="15" t="s">
        <v>74</v>
      </c>
      <c r="D655" s="15" t="s">
        <v>75</v>
      </c>
      <c r="E655" s="16">
        <v>120.67</v>
      </c>
      <c r="F655" s="16">
        <v>121.54</v>
      </c>
      <c r="G655" s="16">
        <v>119.51</v>
      </c>
      <c r="H655" s="16">
        <v>120.06</v>
      </c>
      <c r="I655" s="17">
        <v>3735195</v>
      </c>
      <c r="J655" s="16">
        <v>26413200000</v>
      </c>
    </row>
    <row r="656" spans="1:10" x14ac:dyDescent="0.25">
      <c r="A656" s="8">
        <v>45841</v>
      </c>
      <c r="B656" s="9" t="s">
        <v>76</v>
      </c>
      <c r="C656" s="9" t="s">
        <v>77</v>
      </c>
      <c r="D656" s="9" t="s">
        <v>75</v>
      </c>
      <c r="E656" s="10">
        <v>123.41</v>
      </c>
      <c r="F656" s="10">
        <v>123.57</v>
      </c>
      <c r="G656" s="10">
        <v>121.95</v>
      </c>
      <c r="H656" s="10">
        <v>122.72</v>
      </c>
      <c r="I656" s="11">
        <v>1409931</v>
      </c>
      <c r="J656" s="10">
        <v>24544000000</v>
      </c>
    </row>
    <row r="657" spans="1:10" x14ac:dyDescent="0.25">
      <c r="A657" s="14">
        <v>45842</v>
      </c>
      <c r="B657" s="15" t="s">
        <v>60</v>
      </c>
      <c r="C657" s="15" t="s">
        <v>61</v>
      </c>
      <c r="D657" s="15" t="s">
        <v>62</v>
      </c>
      <c r="E657" s="16">
        <v>4154.8599999999997</v>
      </c>
      <c r="F657" s="16">
        <v>4181.95</v>
      </c>
      <c r="G657" s="16">
        <v>4118.84</v>
      </c>
      <c r="H657" s="16">
        <v>4119.37</v>
      </c>
      <c r="I657" s="17">
        <v>2417204</v>
      </c>
      <c r="J657" s="16">
        <v>5767118000000</v>
      </c>
    </row>
    <row r="658" spans="1:10" x14ac:dyDescent="0.25">
      <c r="A658" s="8">
        <v>45842</v>
      </c>
      <c r="B658" s="9" t="s">
        <v>65</v>
      </c>
      <c r="C658" s="9" t="s">
        <v>66</v>
      </c>
      <c r="D658" s="9" t="s">
        <v>67</v>
      </c>
      <c r="E658" s="10">
        <v>158.80000000000001</v>
      </c>
      <c r="F658" s="10">
        <v>160.71</v>
      </c>
      <c r="G658" s="10">
        <v>158.34</v>
      </c>
      <c r="H658" s="10">
        <v>158.99</v>
      </c>
      <c r="I658" s="11">
        <v>3458104</v>
      </c>
      <c r="J658" s="10">
        <v>39747500000</v>
      </c>
    </row>
    <row r="659" spans="1:10" x14ac:dyDescent="0.25">
      <c r="A659" s="14">
        <v>45842</v>
      </c>
      <c r="B659" s="15" t="s">
        <v>69</v>
      </c>
      <c r="C659" s="15" t="s">
        <v>70</v>
      </c>
      <c r="D659" s="15" t="s">
        <v>71</v>
      </c>
      <c r="E659" s="16">
        <v>611.26</v>
      </c>
      <c r="F659" s="16">
        <v>614.49</v>
      </c>
      <c r="G659" s="16">
        <v>606.91</v>
      </c>
      <c r="H659" s="16">
        <v>608.55999999999995</v>
      </c>
      <c r="I659" s="17">
        <v>2834576</v>
      </c>
      <c r="J659" s="16">
        <v>486848000000</v>
      </c>
    </row>
    <row r="660" spans="1:10" x14ac:dyDescent="0.25">
      <c r="A660" s="8">
        <v>45842</v>
      </c>
      <c r="B660" s="9" t="s">
        <v>73</v>
      </c>
      <c r="C660" s="9" t="s">
        <v>74</v>
      </c>
      <c r="D660" s="9" t="s">
        <v>75</v>
      </c>
      <c r="E660" s="10">
        <v>118.6</v>
      </c>
      <c r="F660" s="10">
        <v>120.19</v>
      </c>
      <c r="G660" s="10">
        <v>118.25</v>
      </c>
      <c r="H660" s="10">
        <v>119.24</v>
      </c>
      <c r="I660" s="11">
        <v>3439266</v>
      </c>
      <c r="J660" s="10">
        <v>26232800000</v>
      </c>
    </row>
    <row r="661" spans="1:10" x14ac:dyDescent="0.25">
      <c r="A661" s="14">
        <v>45842</v>
      </c>
      <c r="B661" s="15" t="s">
        <v>76</v>
      </c>
      <c r="C661" s="15" t="s">
        <v>77</v>
      </c>
      <c r="D661" s="15" t="s">
        <v>75</v>
      </c>
      <c r="E661" s="16">
        <v>123.26</v>
      </c>
      <c r="F661" s="16">
        <v>124.49</v>
      </c>
      <c r="G661" s="16">
        <v>122.76</v>
      </c>
      <c r="H661" s="16">
        <v>123.25</v>
      </c>
      <c r="I661" s="17">
        <v>1206846</v>
      </c>
      <c r="J661" s="16">
        <v>24650000000</v>
      </c>
    </row>
    <row r="662" spans="1:10" x14ac:dyDescent="0.25">
      <c r="A662" s="8">
        <v>45845</v>
      </c>
      <c r="B662" s="9" t="s">
        <v>60</v>
      </c>
      <c r="C662" s="9" t="s">
        <v>61</v>
      </c>
      <c r="D662" s="9" t="s">
        <v>62</v>
      </c>
      <c r="E662" s="10">
        <v>4064.61</v>
      </c>
      <c r="F662" s="10">
        <v>4067.98</v>
      </c>
      <c r="G662" s="10">
        <v>4059.83</v>
      </c>
      <c r="H662" s="10">
        <v>4062.09</v>
      </c>
      <c r="I662" s="11">
        <v>2806441</v>
      </c>
      <c r="J662" s="10">
        <v>5686926000000</v>
      </c>
    </row>
    <row r="663" spans="1:10" x14ac:dyDescent="0.25">
      <c r="A663" s="14">
        <v>45845</v>
      </c>
      <c r="B663" s="15" t="s">
        <v>65</v>
      </c>
      <c r="C663" s="15" t="s">
        <v>66</v>
      </c>
      <c r="D663" s="15" t="s">
        <v>67</v>
      </c>
      <c r="E663" s="16">
        <v>161.11000000000001</v>
      </c>
      <c r="F663" s="16">
        <v>161.69999999999999</v>
      </c>
      <c r="G663" s="16">
        <v>159.66999999999999</v>
      </c>
      <c r="H663" s="16">
        <v>160.16</v>
      </c>
      <c r="I663" s="17">
        <v>776260</v>
      </c>
      <c r="J663" s="16">
        <v>40040000000</v>
      </c>
    </row>
    <row r="664" spans="1:10" x14ac:dyDescent="0.25">
      <c r="A664" s="8">
        <v>45845</v>
      </c>
      <c r="B664" s="9" t="s">
        <v>69</v>
      </c>
      <c r="C664" s="9" t="s">
        <v>70</v>
      </c>
      <c r="D664" s="9" t="s">
        <v>71</v>
      </c>
      <c r="E664" s="10">
        <v>614.29</v>
      </c>
      <c r="F664" s="10">
        <v>622.61</v>
      </c>
      <c r="G664" s="10">
        <v>608.45000000000005</v>
      </c>
      <c r="H664" s="10">
        <v>618.09</v>
      </c>
      <c r="I664" s="11">
        <v>513534</v>
      </c>
      <c r="J664" s="10">
        <v>494472000000</v>
      </c>
    </row>
    <row r="665" spans="1:10" x14ac:dyDescent="0.25">
      <c r="A665" s="14">
        <v>45845</v>
      </c>
      <c r="B665" s="15" t="s">
        <v>73</v>
      </c>
      <c r="C665" s="15" t="s">
        <v>74</v>
      </c>
      <c r="D665" s="15" t="s">
        <v>75</v>
      </c>
      <c r="E665" s="16">
        <v>117.72</v>
      </c>
      <c r="F665" s="16">
        <v>119.54</v>
      </c>
      <c r="G665" s="16">
        <v>115.02</v>
      </c>
      <c r="H665" s="16">
        <v>116.19</v>
      </c>
      <c r="I665" s="17">
        <v>3811183</v>
      </c>
      <c r="J665" s="16">
        <v>25561800000</v>
      </c>
    </row>
    <row r="666" spans="1:10" x14ac:dyDescent="0.25">
      <c r="A666" s="8">
        <v>45845</v>
      </c>
      <c r="B666" s="9" t="s">
        <v>76</v>
      </c>
      <c r="C666" s="9" t="s">
        <v>77</v>
      </c>
      <c r="D666" s="9" t="s">
        <v>75</v>
      </c>
      <c r="E666" s="10">
        <v>120.78</v>
      </c>
      <c r="F666" s="10">
        <v>121.67</v>
      </c>
      <c r="G666" s="10">
        <v>118.07</v>
      </c>
      <c r="H666" s="10">
        <v>121.01</v>
      </c>
      <c r="I666" s="11">
        <v>3178693</v>
      </c>
      <c r="J666" s="10">
        <v>24202000000</v>
      </c>
    </row>
    <row r="667" spans="1:10" x14ac:dyDescent="0.25">
      <c r="A667" s="14">
        <v>45846</v>
      </c>
      <c r="B667" s="15" t="s">
        <v>60</v>
      </c>
      <c r="C667" s="15" t="s">
        <v>61</v>
      </c>
      <c r="D667" s="15" t="s">
        <v>62</v>
      </c>
      <c r="E667" s="16">
        <v>3964.51</v>
      </c>
      <c r="F667" s="16">
        <v>3967.81</v>
      </c>
      <c r="G667" s="16">
        <v>3942.26</v>
      </c>
      <c r="H667" s="16">
        <v>3955.92</v>
      </c>
      <c r="I667" s="17">
        <v>4290756</v>
      </c>
      <c r="J667" s="16">
        <v>5538288000000</v>
      </c>
    </row>
    <row r="668" spans="1:10" x14ac:dyDescent="0.25">
      <c r="A668" s="8">
        <v>45846</v>
      </c>
      <c r="B668" s="9" t="s">
        <v>65</v>
      </c>
      <c r="C668" s="9" t="s">
        <v>66</v>
      </c>
      <c r="D668" s="9" t="s">
        <v>67</v>
      </c>
      <c r="E668" s="10">
        <v>163.18</v>
      </c>
      <c r="F668" s="10">
        <v>164.26</v>
      </c>
      <c r="G668" s="10">
        <v>160.66</v>
      </c>
      <c r="H668" s="10">
        <v>163.69</v>
      </c>
      <c r="I668" s="11">
        <v>4982924</v>
      </c>
      <c r="J668" s="10">
        <v>40922500000</v>
      </c>
    </row>
    <row r="669" spans="1:10" x14ac:dyDescent="0.25">
      <c r="A669" s="14">
        <v>45846</v>
      </c>
      <c r="B669" s="15" t="s">
        <v>69</v>
      </c>
      <c r="C669" s="15" t="s">
        <v>70</v>
      </c>
      <c r="D669" s="15" t="s">
        <v>71</v>
      </c>
      <c r="E669" s="16">
        <v>617.39</v>
      </c>
      <c r="F669" s="16">
        <v>618.33000000000004</v>
      </c>
      <c r="G669" s="16">
        <v>615.36</v>
      </c>
      <c r="H669" s="16">
        <v>615.74</v>
      </c>
      <c r="I669" s="17">
        <v>2469728</v>
      </c>
      <c r="J669" s="16">
        <v>492592000000</v>
      </c>
    </row>
    <row r="670" spans="1:10" x14ac:dyDescent="0.25">
      <c r="A670" s="8">
        <v>45846</v>
      </c>
      <c r="B670" s="9" t="s">
        <v>73</v>
      </c>
      <c r="C670" s="9" t="s">
        <v>74</v>
      </c>
      <c r="D670" s="9" t="s">
        <v>75</v>
      </c>
      <c r="E670" s="10">
        <v>115.87</v>
      </c>
      <c r="F670" s="10">
        <v>117.04</v>
      </c>
      <c r="G670" s="10">
        <v>113.95</v>
      </c>
      <c r="H670" s="10">
        <v>116.73</v>
      </c>
      <c r="I670" s="11">
        <v>1049101</v>
      </c>
      <c r="J670" s="10">
        <v>25680600000</v>
      </c>
    </row>
    <row r="671" spans="1:10" x14ac:dyDescent="0.25">
      <c r="A671" s="14">
        <v>45846</v>
      </c>
      <c r="B671" s="15" t="s">
        <v>76</v>
      </c>
      <c r="C671" s="15" t="s">
        <v>77</v>
      </c>
      <c r="D671" s="15" t="s">
        <v>75</v>
      </c>
      <c r="E671" s="16">
        <v>118.74</v>
      </c>
      <c r="F671" s="16">
        <v>118.86</v>
      </c>
      <c r="G671" s="16">
        <v>118.07</v>
      </c>
      <c r="H671" s="16">
        <v>118.76</v>
      </c>
      <c r="I671" s="17">
        <v>3827179</v>
      </c>
      <c r="J671" s="16">
        <v>23752000000</v>
      </c>
    </row>
    <row r="672" spans="1:10" x14ac:dyDescent="0.25">
      <c r="A672" s="8">
        <v>45847</v>
      </c>
      <c r="B672" s="9" t="s">
        <v>60</v>
      </c>
      <c r="C672" s="9" t="s">
        <v>61</v>
      </c>
      <c r="D672" s="9" t="s">
        <v>62</v>
      </c>
      <c r="E672" s="10">
        <v>3969.33</v>
      </c>
      <c r="F672" s="10">
        <v>3997.01</v>
      </c>
      <c r="G672" s="10">
        <v>3967.57</v>
      </c>
      <c r="H672" s="10">
        <v>3992.63</v>
      </c>
      <c r="I672" s="11">
        <v>4247146</v>
      </c>
      <c r="J672" s="10">
        <v>5589682000000</v>
      </c>
    </row>
    <row r="673" spans="1:10" x14ac:dyDescent="0.25">
      <c r="A673" s="14">
        <v>45847</v>
      </c>
      <c r="B673" s="15" t="s">
        <v>65</v>
      </c>
      <c r="C673" s="15" t="s">
        <v>66</v>
      </c>
      <c r="D673" s="15" t="s">
        <v>67</v>
      </c>
      <c r="E673" s="16">
        <v>165.77</v>
      </c>
      <c r="F673" s="16">
        <v>167.55</v>
      </c>
      <c r="G673" s="16">
        <v>165.15</v>
      </c>
      <c r="H673" s="16">
        <v>166.54</v>
      </c>
      <c r="I673" s="17">
        <v>897400</v>
      </c>
      <c r="J673" s="16">
        <v>41635000000</v>
      </c>
    </row>
    <row r="674" spans="1:10" x14ac:dyDescent="0.25">
      <c r="A674" s="8">
        <v>45847</v>
      </c>
      <c r="B674" s="9" t="s">
        <v>69</v>
      </c>
      <c r="C674" s="9" t="s">
        <v>70</v>
      </c>
      <c r="D674" s="9" t="s">
        <v>71</v>
      </c>
      <c r="E674" s="10">
        <v>609.88</v>
      </c>
      <c r="F674" s="10">
        <v>610.44000000000005</v>
      </c>
      <c r="G674" s="10">
        <v>604.5</v>
      </c>
      <c r="H674" s="10">
        <v>607.65</v>
      </c>
      <c r="I674" s="11">
        <v>3765394</v>
      </c>
      <c r="J674" s="10">
        <v>486120000000</v>
      </c>
    </row>
    <row r="675" spans="1:10" x14ac:dyDescent="0.25">
      <c r="A675" s="14">
        <v>45847</v>
      </c>
      <c r="B675" s="15" t="s">
        <v>73</v>
      </c>
      <c r="C675" s="15" t="s">
        <v>74</v>
      </c>
      <c r="D675" s="15" t="s">
        <v>75</v>
      </c>
      <c r="E675" s="16">
        <v>118.56</v>
      </c>
      <c r="F675" s="16">
        <v>120.32</v>
      </c>
      <c r="G675" s="16">
        <v>117.94</v>
      </c>
      <c r="H675" s="16">
        <v>118.27</v>
      </c>
      <c r="I675" s="17">
        <v>1980209</v>
      </c>
      <c r="J675" s="16">
        <v>26019400000</v>
      </c>
    </row>
    <row r="676" spans="1:10" x14ac:dyDescent="0.25">
      <c r="A676" s="8">
        <v>45847</v>
      </c>
      <c r="B676" s="9" t="s">
        <v>76</v>
      </c>
      <c r="C676" s="9" t="s">
        <v>77</v>
      </c>
      <c r="D676" s="9" t="s">
        <v>75</v>
      </c>
      <c r="E676" s="10">
        <v>115.89</v>
      </c>
      <c r="F676" s="10">
        <v>118.18</v>
      </c>
      <c r="G676" s="10">
        <v>113.76</v>
      </c>
      <c r="H676" s="10">
        <v>114.39</v>
      </c>
      <c r="I676" s="11">
        <v>1812942</v>
      </c>
      <c r="J676" s="10">
        <v>22878000000</v>
      </c>
    </row>
    <row r="677" spans="1:10" x14ac:dyDescent="0.25">
      <c r="A677" s="14">
        <v>45848</v>
      </c>
      <c r="B677" s="15" t="s">
        <v>60</v>
      </c>
      <c r="C677" s="15" t="s">
        <v>61</v>
      </c>
      <c r="D677" s="15" t="s">
        <v>62</v>
      </c>
      <c r="E677" s="16">
        <v>3883.71</v>
      </c>
      <c r="F677" s="16">
        <v>3890.21</v>
      </c>
      <c r="G677" s="16">
        <v>3848.37</v>
      </c>
      <c r="H677" s="16">
        <v>3874.77</v>
      </c>
      <c r="I677" s="17">
        <v>1783309</v>
      </c>
      <c r="J677" s="16">
        <v>5424678000000</v>
      </c>
    </row>
    <row r="678" spans="1:10" x14ac:dyDescent="0.25">
      <c r="A678" s="8">
        <v>45848</v>
      </c>
      <c r="B678" s="9" t="s">
        <v>65</v>
      </c>
      <c r="C678" s="9" t="s">
        <v>66</v>
      </c>
      <c r="D678" s="9" t="s">
        <v>67</v>
      </c>
      <c r="E678" s="10">
        <v>166.24</v>
      </c>
      <c r="F678" s="10">
        <v>166.66</v>
      </c>
      <c r="G678" s="10">
        <v>165.37</v>
      </c>
      <c r="H678" s="10">
        <v>166.37</v>
      </c>
      <c r="I678" s="11">
        <v>1629050</v>
      </c>
      <c r="J678" s="10">
        <v>41592500000</v>
      </c>
    </row>
    <row r="679" spans="1:10" x14ac:dyDescent="0.25">
      <c r="A679" s="14">
        <v>45848</v>
      </c>
      <c r="B679" s="15" t="s">
        <v>69</v>
      </c>
      <c r="C679" s="15" t="s">
        <v>70</v>
      </c>
      <c r="D679" s="15" t="s">
        <v>71</v>
      </c>
      <c r="E679" s="16">
        <v>609.63</v>
      </c>
      <c r="F679" s="16">
        <v>617.89</v>
      </c>
      <c r="G679" s="16">
        <v>609.09</v>
      </c>
      <c r="H679" s="16">
        <v>609.86</v>
      </c>
      <c r="I679" s="17">
        <v>3938235</v>
      </c>
      <c r="J679" s="16">
        <v>487888000000</v>
      </c>
    </row>
    <row r="680" spans="1:10" x14ac:dyDescent="0.25">
      <c r="A680" s="8">
        <v>45848</v>
      </c>
      <c r="B680" s="9" t="s">
        <v>73</v>
      </c>
      <c r="C680" s="9" t="s">
        <v>74</v>
      </c>
      <c r="D680" s="9" t="s">
        <v>75</v>
      </c>
      <c r="E680" s="10">
        <v>117.09</v>
      </c>
      <c r="F680" s="10">
        <v>117.8</v>
      </c>
      <c r="G680" s="10">
        <v>116.19</v>
      </c>
      <c r="H680" s="10">
        <v>116.25</v>
      </c>
      <c r="I680" s="11">
        <v>1972807</v>
      </c>
      <c r="J680" s="10">
        <v>25575000000</v>
      </c>
    </row>
    <row r="681" spans="1:10" x14ac:dyDescent="0.25">
      <c r="A681" s="14">
        <v>45848</v>
      </c>
      <c r="B681" s="15" t="s">
        <v>76</v>
      </c>
      <c r="C681" s="15" t="s">
        <v>77</v>
      </c>
      <c r="D681" s="15" t="s">
        <v>75</v>
      </c>
      <c r="E681" s="16">
        <v>114.05</v>
      </c>
      <c r="F681" s="16">
        <v>114.32</v>
      </c>
      <c r="G681" s="16">
        <v>111.83</v>
      </c>
      <c r="H681" s="16">
        <v>114.05</v>
      </c>
      <c r="I681" s="17">
        <v>4754634</v>
      </c>
      <c r="J681" s="16">
        <v>22810000000</v>
      </c>
    </row>
    <row r="682" spans="1:10" x14ac:dyDescent="0.25">
      <c r="A682" s="8">
        <v>45849</v>
      </c>
      <c r="B682" s="9" t="s">
        <v>60</v>
      </c>
      <c r="C682" s="9" t="s">
        <v>61</v>
      </c>
      <c r="D682" s="9" t="s">
        <v>62</v>
      </c>
      <c r="E682" s="10">
        <v>3907.41</v>
      </c>
      <c r="F682" s="10">
        <v>3951.15</v>
      </c>
      <c r="G682" s="10">
        <v>3890.87</v>
      </c>
      <c r="H682" s="10">
        <v>3932.68</v>
      </c>
      <c r="I682" s="11">
        <v>3188615</v>
      </c>
      <c r="J682" s="10">
        <v>5505752000000</v>
      </c>
    </row>
    <row r="683" spans="1:10" x14ac:dyDescent="0.25">
      <c r="A683" s="14">
        <v>45849</v>
      </c>
      <c r="B683" s="15" t="s">
        <v>65</v>
      </c>
      <c r="C683" s="15" t="s">
        <v>66</v>
      </c>
      <c r="D683" s="15" t="s">
        <v>67</v>
      </c>
      <c r="E683" s="16">
        <v>165.05</v>
      </c>
      <c r="F683" s="16">
        <v>165.28</v>
      </c>
      <c r="G683" s="16">
        <v>164.48</v>
      </c>
      <c r="H683" s="16">
        <v>164.88</v>
      </c>
      <c r="I683" s="17">
        <v>2867879</v>
      </c>
      <c r="J683" s="16">
        <v>41220000000</v>
      </c>
    </row>
    <row r="684" spans="1:10" x14ac:dyDescent="0.25">
      <c r="A684" s="8">
        <v>45849</v>
      </c>
      <c r="B684" s="9" t="s">
        <v>69</v>
      </c>
      <c r="C684" s="9" t="s">
        <v>70</v>
      </c>
      <c r="D684" s="9" t="s">
        <v>71</v>
      </c>
      <c r="E684" s="10">
        <v>618.47</v>
      </c>
      <c r="F684" s="10">
        <v>626.47</v>
      </c>
      <c r="G684" s="10">
        <v>617.25</v>
      </c>
      <c r="H684" s="10">
        <v>623.96</v>
      </c>
      <c r="I684" s="11">
        <v>4696617</v>
      </c>
      <c r="J684" s="10">
        <v>499168000000</v>
      </c>
    </row>
    <row r="685" spans="1:10" x14ac:dyDescent="0.25">
      <c r="A685" s="14">
        <v>45849</v>
      </c>
      <c r="B685" s="15" t="s">
        <v>73</v>
      </c>
      <c r="C685" s="15" t="s">
        <v>74</v>
      </c>
      <c r="D685" s="15" t="s">
        <v>75</v>
      </c>
      <c r="E685" s="16">
        <v>117.65</v>
      </c>
      <c r="F685" s="16">
        <v>118.68</v>
      </c>
      <c r="G685" s="16">
        <v>115.97</v>
      </c>
      <c r="H685" s="16">
        <v>118.67</v>
      </c>
      <c r="I685" s="17">
        <v>3175051</v>
      </c>
      <c r="J685" s="16">
        <v>26107400000</v>
      </c>
    </row>
    <row r="686" spans="1:10" x14ac:dyDescent="0.25">
      <c r="A686" s="8">
        <v>45849</v>
      </c>
      <c r="B686" s="9" t="s">
        <v>76</v>
      </c>
      <c r="C686" s="9" t="s">
        <v>77</v>
      </c>
      <c r="D686" s="9" t="s">
        <v>75</v>
      </c>
      <c r="E686" s="10">
        <v>116.06</v>
      </c>
      <c r="F686" s="10">
        <v>116.09</v>
      </c>
      <c r="G686" s="10">
        <v>116.06</v>
      </c>
      <c r="H686" s="10">
        <v>116.09</v>
      </c>
      <c r="I686" s="11">
        <v>3683894</v>
      </c>
      <c r="J686" s="10">
        <v>23218000000</v>
      </c>
    </row>
    <row r="687" spans="1:10" x14ac:dyDescent="0.25">
      <c r="A687" s="14">
        <v>45852</v>
      </c>
      <c r="B687" s="15" t="s">
        <v>60</v>
      </c>
      <c r="C687" s="15" t="s">
        <v>61</v>
      </c>
      <c r="D687" s="15" t="s">
        <v>62</v>
      </c>
      <c r="E687" s="16">
        <v>3898.05</v>
      </c>
      <c r="F687" s="16">
        <v>3920.12</v>
      </c>
      <c r="G687" s="16">
        <v>3895.39</v>
      </c>
      <c r="H687" s="16">
        <v>3919.75</v>
      </c>
      <c r="I687" s="17">
        <v>2071592</v>
      </c>
      <c r="J687" s="16">
        <v>5487650000000</v>
      </c>
    </row>
    <row r="688" spans="1:10" x14ac:dyDescent="0.25">
      <c r="A688" s="8">
        <v>45852</v>
      </c>
      <c r="B688" s="9" t="s">
        <v>65</v>
      </c>
      <c r="C688" s="9" t="s">
        <v>66</v>
      </c>
      <c r="D688" s="9" t="s">
        <v>67</v>
      </c>
      <c r="E688" s="10">
        <v>164.58</v>
      </c>
      <c r="F688" s="10">
        <v>166.33</v>
      </c>
      <c r="G688" s="10">
        <v>163.97</v>
      </c>
      <c r="H688" s="10">
        <v>165.51</v>
      </c>
      <c r="I688" s="11">
        <v>613427</v>
      </c>
      <c r="J688" s="10">
        <v>41377500000</v>
      </c>
    </row>
    <row r="689" spans="1:10" x14ac:dyDescent="0.25">
      <c r="A689" s="14">
        <v>45852</v>
      </c>
      <c r="B689" s="15" t="s">
        <v>69</v>
      </c>
      <c r="C689" s="15" t="s">
        <v>70</v>
      </c>
      <c r="D689" s="15" t="s">
        <v>71</v>
      </c>
      <c r="E689" s="16">
        <v>631.9</v>
      </c>
      <c r="F689" s="16">
        <v>637.02</v>
      </c>
      <c r="G689" s="16">
        <v>626.79</v>
      </c>
      <c r="H689" s="16">
        <v>634.67999999999995</v>
      </c>
      <c r="I689" s="17">
        <v>707576</v>
      </c>
      <c r="J689" s="16">
        <v>507744000000</v>
      </c>
    </row>
    <row r="690" spans="1:10" x14ac:dyDescent="0.25">
      <c r="A690" s="8">
        <v>45852</v>
      </c>
      <c r="B690" s="9" t="s">
        <v>73</v>
      </c>
      <c r="C690" s="9" t="s">
        <v>74</v>
      </c>
      <c r="D690" s="9" t="s">
        <v>75</v>
      </c>
      <c r="E690" s="10">
        <v>118.23</v>
      </c>
      <c r="F690" s="10">
        <v>118.4</v>
      </c>
      <c r="G690" s="10">
        <v>116.83</v>
      </c>
      <c r="H690" s="10">
        <v>116.91</v>
      </c>
      <c r="I690" s="11">
        <v>1271315</v>
      </c>
      <c r="J690" s="10">
        <v>25720200000</v>
      </c>
    </row>
    <row r="691" spans="1:10" x14ac:dyDescent="0.25">
      <c r="A691" s="14">
        <v>45852</v>
      </c>
      <c r="B691" s="15" t="s">
        <v>76</v>
      </c>
      <c r="C691" s="15" t="s">
        <v>77</v>
      </c>
      <c r="D691" s="15" t="s">
        <v>75</v>
      </c>
      <c r="E691" s="16">
        <v>118.19</v>
      </c>
      <c r="F691" s="16">
        <v>118.99</v>
      </c>
      <c r="G691" s="16">
        <v>117.73</v>
      </c>
      <c r="H691" s="16">
        <v>118.42</v>
      </c>
      <c r="I691" s="17">
        <v>4279524</v>
      </c>
      <c r="J691" s="16">
        <v>23684000000</v>
      </c>
    </row>
    <row r="692" spans="1:10" x14ac:dyDescent="0.25">
      <c r="A692" s="8">
        <v>45853</v>
      </c>
      <c r="B692" s="9" t="s">
        <v>60</v>
      </c>
      <c r="C692" s="9" t="s">
        <v>61</v>
      </c>
      <c r="D692" s="9" t="s">
        <v>62</v>
      </c>
      <c r="E692" s="10">
        <v>3908.66</v>
      </c>
      <c r="F692" s="10">
        <v>3928.91</v>
      </c>
      <c r="G692" s="10">
        <v>3906.98</v>
      </c>
      <c r="H692" s="10">
        <v>3916.21</v>
      </c>
      <c r="I692" s="11">
        <v>1147080</v>
      </c>
      <c r="J692" s="10">
        <v>5482694000000</v>
      </c>
    </row>
    <row r="693" spans="1:10" x14ac:dyDescent="0.25">
      <c r="A693" s="14">
        <v>45853</v>
      </c>
      <c r="B693" s="15" t="s">
        <v>65</v>
      </c>
      <c r="C693" s="15" t="s">
        <v>66</v>
      </c>
      <c r="D693" s="15" t="s">
        <v>67</v>
      </c>
      <c r="E693" s="16">
        <v>165.23</v>
      </c>
      <c r="F693" s="16">
        <v>165.78</v>
      </c>
      <c r="G693" s="16">
        <v>164.34</v>
      </c>
      <c r="H693" s="16">
        <v>165.21</v>
      </c>
      <c r="I693" s="17">
        <v>1450611</v>
      </c>
      <c r="J693" s="16">
        <v>41302500000</v>
      </c>
    </row>
    <row r="694" spans="1:10" x14ac:dyDescent="0.25">
      <c r="A694" s="8">
        <v>45853</v>
      </c>
      <c r="B694" s="9" t="s">
        <v>69</v>
      </c>
      <c r="C694" s="9" t="s">
        <v>70</v>
      </c>
      <c r="D694" s="9" t="s">
        <v>71</v>
      </c>
      <c r="E694" s="10">
        <v>617.03</v>
      </c>
      <c r="F694" s="10">
        <v>622.19000000000005</v>
      </c>
      <c r="G694" s="10">
        <v>610.20000000000005</v>
      </c>
      <c r="H694" s="10">
        <v>613.59</v>
      </c>
      <c r="I694" s="11">
        <v>1191404</v>
      </c>
      <c r="J694" s="10">
        <v>490872000000</v>
      </c>
    </row>
    <row r="695" spans="1:10" x14ac:dyDescent="0.25">
      <c r="A695" s="14">
        <v>45853</v>
      </c>
      <c r="B695" s="15" t="s">
        <v>73</v>
      </c>
      <c r="C695" s="15" t="s">
        <v>74</v>
      </c>
      <c r="D695" s="15" t="s">
        <v>75</v>
      </c>
      <c r="E695" s="16">
        <v>116.76</v>
      </c>
      <c r="F695" s="16">
        <v>118.04</v>
      </c>
      <c r="G695" s="16">
        <v>116.74</v>
      </c>
      <c r="H695" s="16">
        <v>117.75</v>
      </c>
      <c r="I695" s="17">
        <v>4688467</v>
      </c>
      <c r="J695" s="16">
        <v>25905000000</v>
      </c>
    </row>
    <row r="696" spans="1:10" x14ac:dyDescent="0.25">
      <c r="A696" s="8">
        <v>45853</v>
      </c>
      <c r="B696" s="9" t="s">
        <v>76</v>
      </c>
      <c r="C696" s="9" t="s">
        <v>77</v>
      </c>
      <c r="D696" s="9" t="s">
        <v>75</v>
      </c>
      <c r="E696" s="10">
        <v>120.09</v>
      </c>
      <c r="F696" s="10">
        <v>120.24</v>
      </c>
      <c r="G696" s="10">
        <v>119.61</v>
      </c>
      <c r="H696" s="10">
        <v>119.96</v>
      </c>
      <c r="I696" s="11">
        <v>2042263</v>
      </c>
      <c r="J696" s="10">
        <v>23992000000</v>
      </c>
    </row>
    <row r="697" spans="1:10" x14ac:dyDescent="0.25">
      <c r="A697" s="14">
        <v>45854</v>
      </c>
      <c r="B697" s="15" t="s">
        <v>60</v>
      </c>
      <c r="C697" s="15" t="s">
        <v>61</v>
      </c>
      <c r="D697" s="15" t="s">
        <v>62</v>
      </c>
      <c r="E697" s="16">
        <v>3935.65</v>
      </c>
      <c r="F697" s="16">
        <v>3949.3</v>
      </c>
      <c r="G697" s="16">
        <v>3902.29</v>
      </c>
      <c r="H697" s="16">
        <v>3913.31</v>
      </c>
      <c r="I697" s="17">
        <v>406949</v>
      </c>
      <c r="J697" s="16">
        <v>5478634000000</v>
      </c>
    </row>
    <row r="698" spans="1:10" x14ac:dyDescent="0.25">
      <c r="A698" s="8">
        <v>45854</v>
      </c>
      <c r="B698" s="9" t="s">
        <v>65</v>
      </c>
      <c r="C698" s="9" t="s">
        <v>66</v>
      </c>
      <c r="D698" s="9" t="s">
        <v>67</v>
      </c>
      <c r="E698" s="10">
        <v>162.69</v>
      </c>
      <c r="F698" s="10">
        <v>165.19</v>
      </c>
      <c r="G698" s="10">
        <v>161.69999999999999</v>
      </c>
      <c r="H698" s="10">
        <v>162.22</v>
      </c>
      <c r="I698" s="11">
        <v>1055668</v>
      </c>
      <c r="J698" s="10">
        <v>40555000000</v>
      </c>
    </row>
    <row r="699" spans="1:10" x14ac:dyDescent="0.25">
      <c r="A699" s="14">
        <v>45854</v>
      </c>
      <c r="B699" s="15" t="s">
        <v>69</v>
      </c>
      <c r="C699" s="15" t="s">
        <v>70</v>
      </c>
      <c r="D699" s="15" t="s">
        <v>71</v>
      </c>
      <c r="E699" s="16">
        <v>601.94000000000005</v>
      </c>
      <c r="F699" s="16">
        <v>602.29</v>
      </c>
      <c r="G699" s="16">
        <v>600.07000000000005</v>
      </c>
      <c r="H699" s="16">
        <v>601.67999999999995</v>
      </c>
      <c r="I699" s="17">
        <v>2446578</v>
      </c>
      <c r="J699" s="16">
        <v>481344000000</v>
      </c>
    </row>
    <row r="700" spans="1:10" x14ac:dyDescent="0.25">
      <c r="A700" s="8">
        <v>45854</v>
      </c>
      <c r="B700" s="9" t="s">
        <v>73</v>
      </c>
      <c r="C700" s="9" t="s">
        <v>74</v>
      </c>
      <c r="D700" s="9" t="s">
        <v>75</v>
      </c>
      <c r="E700" s="10">
        <v>116.57</v>
      </c>
      <c r="F700" s="10">
        <v>117.38</v>
      </c>
      <c r="G700" s="10">
        <v>115.85</v>
      </c>
      <c r="H700" s="10">
        <v>115.93</v>
      </c>
      <c r="I700" s="11">
        <v>1765504</v>
      </c>
      <c r="J700" s="10">
        <v>25504600000</v>
      </c>
    </row>
    <row r="701" spans="1:10" x14ac:dyDescent="0.25">
      <c r="A701" s="14">
        <v>45854</v>
      </c>
      <c r="B701" s="15" t="s">
        <v>76</v>
      </c>
      <c r="C701" s="15" t="s">
        <v>77</v>
      </c>
      <c r="D701" s="15" t="s">
        <v>75</v>
      </c>
      <c r="E701" s="16">
        <v>119.78</v>
      </c>
      <c r="F701" s="16">
        <v>121.1</v>
      </c>
      <c r="G701" s="16">
        <v>118.45</v>
      </c>
      <c r="H701" s="16">
        <v>119.4</v>
      </c>
      <c r="I701" s="17">
        <v>2923177</v>
      </c>
      <c r="J701" s="16">
        <v>23880000000</v>
      </c>
    </row>
    <row r="702" spans="1:10" x14ac:dyDescent="0.25">
      <c r="A702" s="8">
        <v>45855</v>
      </c>
      <c r="B702" s="9" t="s">
        <v>60</v>
      </c>
      <c r="C702" s="9" t="s">
        <v>61</v>
      </c>
      <c r="D702" s="9" t="s">
        <v>62</v>
      </c>
      <c r="E702" s="10">
        <v>3888.05</v>
      </c>
      <c r="F702" s="10">
        <v>3894.97</v>
      </c>
      <c r="G702" s="10">
        <v>3849.2</v>
      </c>
      <c r="H702" s="10">
        <v>3849.64</v>
      </c>
      <c r="I702" s="11">
        <v>1460936</v>
      </c>
      <c r="J702" s="10">
        <v>5389496000000</v>
      </c>
    </row>
    <row r="703" spans="1:10" x14ac:dyDescent="0.25">
      <c r="A703" s="14">
        <v>45855</v>
      </c>
      <c r="B703" s="15" t="s">
        <v>65</v>
      </c>
      <c r="C703" s="15" t="s">
        <v>66</v>
      </c>
      <c r="D703" s="15" t="s">
        <v>67</v>
      </c>
      <c r="E703" s="16">
        <v>158.13999999999999</v>
      </c>
      <c r="F703" s="16">
        <v>158.54</v>
      </c>
      <c r="G703" s="16">
        <v>157.47999999999999</v>
      </c>
      <c r="H703" s="16">
        <v>157.86000000000001</v>
      </c>
      <c r="I703" s="17">
        <v>3971815</v>
      </c>
      <c r="J703" s="16">
        <v>39465000000</v>
      </c>
    </row>
    <row r="704" spans="1:10" x14ac:dyDescent="0.25">
      <c r="A704" s="8">
        <v>45855</v>
      </c>
      <c r="B704" s="9" t="s">
        <v>69</v>
      </c>
      <c r="C704" s="9" t="s">
        <v>70</v>
      </c>
      <c r="D704" s="9" t="s">
        <v>71</v>
      </c>
      <c r="E704" s="10">
        <v>608.65</v>
      </c>
      <c r="F704" s="10">
        <v>609.72</v>
      </c>
      <c r="G704" s="10">
        <v>608.15</v>
      </c>
      <c r="H704" s="10">
        <v>608.69000000000005</v>
      </c>
      <c r="I704" s="11">
        <v>1254892</v>
      </c>
      <c r="J704" s="10">
        <v>486952000000</v>
      </c>
    </row>
    <row r="705" spans="1:10" x14ac:dyDescent="0.25">
      <c r="A705" s="14">
        <v>45855</v>
      </c>
      <c r="B705" s="15" t="s">
        <v>73</v>
      </c>
      <c r="C705" s="15" t="s">
        <v>74</v>
      </c>
      <c r="D705" s="15" t="s">
        <v>75</v>
      </c>
      <c r="E705" s="16">
        <v>114.28</v>
      </c>
      <c r="F705" s="16">
        <v>116.18</v>
      </c>
      <c r="G705" s="16">
        <v>112.91</v>
      </c>
      <c r="H705" s="16">
        <v>113.8</v>
      </c>
      <c r="I705" s="17">
        <v>3535616</v>
      </c>
      <c r="J705" s="16">
        <v>25036000000</v>
      </c>
    </row>
    <row r="706" spans="1:10" x14ac:dyDescent="0.25">
      <c r="A706" s="8">
        <v>45855</v>
      </c>
      <c r="B706" s="9" t="s">
        <v>76</v>
      </c>
      <c r="C706" s="9" t="s">
        <v>77</v>
      </c>
      <c r="D706" s="9" t="s">
        <v>75</v>
      </c>
      <c r="E706" s="10">
        <v>118.67</v>
      </c>
      <c r="F706" s="10">
        <v>119.68</v>
      </c>
      <c r="G706" s="10">
        <v>116.93</v>
      </c>
      <c r="H706" s="10">
        <v>117.39</v>
      </c>
      <c r="I706" s="11">
        <v>1411587</v>
      </c>
      <c r="J706" s="10">
        <v>23478000000</v>
      </c>
    </row>
    <row r="707" spans="1:10" x14ac:dyDescent="0.25">
      <c r="A707" s="14">
        <v>45856</v>
      </c>
      <c r="B707" s="15" t="s">
        <v>60</v>
      </c>
      <c r="C707" s="15" t="s">
        <v>61</v>
      </c>
      <c r="D707" s="15" t="s">
        <v>62</v>
      </c>
      <c r="E707" s="16">
        <v>3907.24</v>
      </c>
      <c r="F707" s="16">
        <v>3910.85</v>
      </c>
      <c r="G707" s="16">
        <v>3896.99</v>
      </c>
      <c r="H707" s="16">
        <v>3910.05</v>
      </c>
      <c r="I707" s="17">
        <v>1637105</v>
      </c>
      <c r="J707" s="16">
        <v>5474070000000</v>
      </c>
    </row>
    <row r="708" spans="1:10" x14ac:dyDescent="0.25">
      <c r="A708" s="8">
        <v>45856</v>
      </c>
      <c r="B708" s="9" t="s">
        <v>65</v>
      </c>
      <c r="C708" s="9" t="s">
        <v>66</v>
      </c>
      <c r="D708" s="9" t="s">
        <v>67</v>
      </c>
      <c r="E708" s="10">
        <v>162.03</v>
      </c>
      <c r="F708" s="10">
        <v>163.76</v>
      </c>
      <c r="G708" s="10">
        <v>160.36000000000001</v>
      </c>
      <c r="H708" s="10">
        <v>161.85</v>
      </c>
      <c r="I708" s="11">
        <v>3485580</v>
      </c>
      <c r="J708" s="10">
        <v>40462500000</v>
      </c>
    </row>
    <row r="709" spans="1:10" x14ac:dyDescent="0.25">
      <c r="A709" s="14">
        <v>45856</v>
      </c>
      <c r="B709" s="15" t="s">
        <v>69</v>
      </c>
      <c r="C709" s="15" t="s">
        <v>70</v>
      </c>
      <c r="D709" s="15" t="s">
        <v>71</v>
      </c>
      <c r="E709" s="16">
        <v>610.1</v>
      </c>
      <c r="F709" s="16">
        <v>611.32000000000005</v>
      </c>
      <c r="G709" s="16">
        <v>603.5</v>
      </c>
      <c r="H709" s="16">
        <v>610.25</v>
      </c>
      <c r="I709" s="17">
        <v>1396016</v>
      </c>
      <c r="J709" s="16">
        <v>488200000000</v>
      </c>
    </row>
    <row r="710" spans="1:10" x14ac:dyDescent="0.25">
      <c r="A710" s="8">
        <v>45856</v>
      </c>
      <c r="B710" s="9" t="s">
        <v>73</v>
      </c>
      <c r="C710" s="9" t="s">
        <v>74</v>
      </c>
      <c r="D710" s="9" t="s">
        <v>75</v>
      </c>
      <c r="E710" s="10">
        <v>111.86</v>
      </c>
      <c r="F710" s="10">
        <v>111.97</v>
      </c>
      <c r="G710" s="10">
        <v>111.13</v>
      </c>
      <c r="H710" s="10">
        <v>111.18</v>
      </c>
      <c r="I710" s="11">
        <v>2936018</v>
      </c>
      <c r="J710" s="10">
        <v>24459600000</v>
      </c>
    </row>
    <row r="711" spans="1:10" x14ac:dyDescent="0.25">
      <c r="A711" s="14">
        <v>45856</v>
      </c>
      <c r="B711" s="15" t="s">
        <v>76</v>
      </c>
      <c r="C711" s="15" t="s">
        <v>77</v>
      </c>
      <c r="D711" s="15" t="s">
        <v>75</v>
      </c>
      <c r="E711" s="16">
        <v>116.18</v>
      </c>
      <c r="F711" s="16">
        <v>118.05</v>
      </c>
      <c r="G711" s="16">
        <v>116.03</v>
      </c>
      <c r="H711" s="16">
        <v>117.09</v>
      </c>
      <c r="I711" s="17">
        <v>2178921</v>
      </c>
      <c r="J711" s="16">
        <v>23418000000</v>
      </c>
    </row>
    <row r="712" spans="1:10" x14ac:dyDescent="0.25">
      <c r="A712" s="8">
        <v>45859</v>
      </c>
      <c r="B712" s="9" t="s">
        <v>60</v>
      </c>
      <c r="C712" s="9" t="s">
        <v>61</v>
      </c>
      <c r="D712" s="9" t="s">
        <v>62</v>
      </c>
      <c r="E712" s="10">
        <v>3997.31</v>
      </c>
      <c r="F712" s="10">
        <v>4003.9</v>
      </c>
      <c r="G712" s="10">
        <v>3976.81</v>
      </c>
      <c r="H712" s="10">
        <v>3995.79</v>
      </c>
      <c r="I712" s="11">
        <v>1098948</v>
      </c>
      <c r="J712" s="10">
        <v>5594106000000</v>
      </c>
    </row>
    <row r="713" spans="1:10" x14ac:dyDescent="0.25">
      <c r="A713" s="14">
        <v>45859</v>
      </c>
      <c r="B713" s="15" t="s">
        <v>65</v>
      </c>
      <c r="C713" s="15" t="s">
        <v>66</v>
      </c>
      <c r="D713" s="15" t="s">
        <v>67</v>
      </c>
      <c r="E713" s="16">
        <v>164.39</v>
      </c>
      <c r="F713" s="16">
        <v>166.32</v>
      </c>
      <c r="G713" s="16">
        <v>163.52000000000001</v>
      </c>
      <c r="H713" s="16">
        <v>164.87</v>
      </c>
      <c r="I713" s="17">
        <v>3528579</v>
      </c>
      <c r="J713" s="16">
        <v>41217500000</v>
      </c>
    </row>
    <row r="714" spans="1:10" x14ac:dyDescent="0.25">
      <c r="A714" s="8">
        <v>45859</v>
      </c>
      <c r="B714" s="9" t="s">
        <v>69</v>
      </c>
      <c r="C714" s="9" t="s">
        <v>70</v>
      </c>
      <c r="D714" s="9" t="s">
        <v>71</v>
      </c>
      <c r="E714" s="10">
        <v>620.55999999999995</v>
      </c>
      <c r="F714" s="10">
        <v>628.03</v>
      </c>
      <c r="G714" s="10">
        <v>615.23</v>
      </c>
      <c r="H714" s="10">
        <v>615.38</v>
      </c>
      <c r="I714" s="11">
        <v>1616402</v>
      </c>
      <c r="J714" s="10">
        <v>492304000000</v>
      </c>
    </row>
    <row r="715" spans="1:10" x14ac:dyDescent="0.25">
      <c r="A715" s="14">
        <v>45859</v>
      </c>
      <c r="B715" s="15" t="s">
        <v>73</v>
      </c>
      <c r="C715" s="15" t="s">
        <v>74</v>
      </c>
      <c r="D715" s="15" t="s">
        <v>75</v>
      </c>
      <c r="E715" s="16">
        <v>109.76</v>
      </c>
      <c r="F715" s="16">
        <v>110.75</v>
      </c>
      <c r="G715" s="16">
        <v>109.73</v>
      </c>
      <c r="H715" s="16">
        <v>110.24</v>
      </c>
      <c r="I715" s="17">
        <v>1687508</v>
      </c>
      <c r="J715" s="16">
        <v>24252800000</v>
      </c>
    </row>
    <row r="716" spans="1:10" x14ac:dyDescent="0.25">
      <c r="A716" s="8">
        <v>45859</v>
      </c>
      <c r="B716" s="9" t="s">
        <v>76</v>
      </c>
      <c r="C716" s="9" t="s">
        <v>77</v>
      </c>
      <c r="D716" s="9" t="s">
        <v>75</v>
      </c>
      <c r="E716" s="10">
        <v>118.93</v>
      </c>
      <c r="F716" s="10">
        <v>119.43</v>
      </c>
      <c r="G716" s="10">
        <v>118.79</v>
      </c>
      <c r="H716" s="10">
        <v>118.82</v>
      </c>
      <c r="I716" s="11">
        <v>2168197</v>
      </c>
      <c r="J716" s="10">
        <v>23764000000</v>
      </c>
    </row>
    <row r="717" spans="1:10" x14ac:dyDescent="0.25">
      <c r="A717" s="14">
        <v>45860</v>
      </c>
      <c r="B717" s="15" t="s">
        <v>60</v>
      </c>
      <c r="C717" s="15" t="s">
        <v>61</v>
      </c>
      <c r="D717" s="15" t="s">
        <v>62</v>
      </c>
      <c r="E717" s="16">
        <v>4155.17</v>
      </c>
      <c r="F717" s="16">
        <v>4185.9799999999996</v>
      </c>
      <c r="G717" s="16">
        <v>4145.05</v>
      </c>
      <c r="H717" s="16">
        <v>4178.49</v>
      </c>
      <c r="I717" s="17">
        <v>961278</v>
      </c>
      <c r="J717" s="16">
        <v>5849886000000</v>
      </c>
    </row>
    <row r="718" spans="1:10" x14ac:dyDescent="0.25">
      <c r="A718" s="8">
        <v>45860</v>
      </c>
      <c r="B718" s="9" t="s">
        <v>65</v>
      </c>
      <c r="C718" s="9" t="s">
        <v>66</v>
      </c>
      <c r="D718" s="9" t="s">
        <v>67</v>
      </c>
      <c r="E718" s="10">
        <v>160.6</v>
      </c>
      <c r="F718" s="10">
        <v>161.19</v>
      </c>
      <c r="G718" s="10">
        <v>158.19999999999999</v>
      </c>
      <c r="H718" s="10">
        <v>159.54</v>
      </c>
      <c r="I718" s="11">
        <v>1295785</v>
      </c>
      <c r="J718" s="10">
        <v>39885000000</v>
      </c>
    </row>
    <row r="719" spans="1:10" x14ac:dyDescent="0.25">
      <c r="A719" s="14">
        <v>45860</v>
      </c>
      <c r="B719" s="15" t="s">
        <v>69</v>
      </c>
      <c r="C719" s="15" t="s">
        <v>70</v>
      </c>
      <c r="D719" s="15" t="s">
        <v>71</v>
      </c>
      <c r="E719" s="16">
        <v>621.33000000000004</v>
      </c>
      <c r="F719" s="16">
        <v>629.49</v>
      </c>
      <c r="G719" s="16">
        <v>620.33000000000004</v>
      </c>
      <c r="H719" s="16">
        <v>620.49</v>
      </c>
      <c r="I719" s="17">
        <v>3684297</v>
      </c>
      <c r="J719" s="16">
        <v>496392000000</v>
      </c>
    </row>
    <row r="720" spans="1:10" x14ac:dyDescent="0.25">
      <c r="A720" s="8">
        <v>45860</v>
      </c>
      <c r="B720" s="9" t="s">
        <v>73</v>
      </c>
      <c r="C720" s="9" t="s">
        <v>74</v>
      </c>
      <c r="D720" s="9" t="s">
        <v>75</v>
      </c>
      <c r="E720" s="10">
        <v>108.46</v>
      </c>
      <c r="F720" s="10">
        <v>109.04</v>
      </c>
      <c r="G720" s="10">
        <v>108.08</v>
      </c>
      <c r="H720" s="10">
        <v>108.66</v>
      </c>
      <c r="I720" s="11">
        <v>2855152</v>
      </c>
      <c r="J720" s="10">
        <v>23905200000</v>
      </c>
    </row>
    <row r="721" spans="1:10" x14ac:dyDescent="0.25">
      <c r="A721" s="14">
        <v>45860</v>
      </c>
      <c r="B721" s="15" t="s">
        <v>76</v>
      </c>
      <c r="C721" s="15" t="s">
        <v>77</v>
      </c>
      <c r="D721" s="15" t="s">
        <v>75</v>
      </c>
      <c r="E721" s="16">
        <v>118.84</v>
      </c>
      <c r="F721" s="16">
        <v>119.78</v>
      </c>
      <c r="G721" s="16">
        <v>118.06</v>
      </c>
      <c r="H721" s="16">
        <v>119.19</v>
      </c>
      <c r="I721" s="17">
        <v>4126949</v>
      </c>
      <c r="J721" s="16">
        <v>23838000000</v>
      </c>
    </row>
    <row r="722" spans="1:10" x14ac:dyDescent="0.25">
      <c r="A722" s="8">
        <v>45861</v>
      </c>
      <c r="B722" s="9" t="s">
        <v>60</v>
      </c>
      <c r="C722" s="9" t="s">
        <v>61</v>
      </c>
      <c r="D722" s="9" t="s">
        <v>62</v>
      </c>
      <c r="E722" s="10">
        <v>4236.01</v>
      </c>
      <c r="F722" s="10">
        <v>4245.8900000000003</v>
      </c>
      <c r="G722" s="10">
        <v>4213.33</v>
      </c>
      <c r="H722" s="10">
        <v>4228.13</v>
      </c>
      <c r="I722" s="11">
        <v>4998885</v>
      </c>
      <c r="J722" s="10">
        <v>5919382000000</v>
      </c>
    </row>
    <row r="723" spans="1:10" x14ac:dyDescent="0.25">
      <c r="A723" s="14">
        <v>45861</v>
      </c>
      <c r="B723" s="15" t="s">
        <v>65</v>
      </c>
      <c r="C723" s="15" t="s">
        <v>66</v>
      </c>
      <c r="D723" s="15" t="s">
        <v>67</v>
      </c>
      <c r="E723" s="16">
        <v>160.13999999999999</v>
      </c>
      <c r="F723" s="16">
        <v>160.33000000000001</v>
      </c>
      <c r="G723" s="16">
        <v>158.41999999999999</v>
      </c>
      <c r="H723" s="16">
        <v>159.79</v>
      </c>
      <c r="I723" s="17">
        <v>3347535</v>
      </c>
      <c r="J723" s="16">
        <v>39947500000</v>
      </c>
    </row>
    <row r="724" spans="1:10" x14ac:dyDescent="0.25">
      <c r="A724" s="8">
        <v>45861</v>
      </c>
      <c r="B724" s="9" t="s">
        <v>69</v>
      </c>
      <c r="C724" s="9" t="s">
        <v>70</v>
      </c>
      <c r="D724" s="9" t="s">
        <v>71</v>
      </c>
      <c r="E724" s="10">
        <v>619.64</v>
      </c>
      <c r="F724" s="10">
        <v>622.02</v>
      </c>
      <c r="G724" s="10">
        <v>619.42999999999995</v>
      </c>
      <c r="H724" s="10">
        <v>620.30999999999995</v>
      </c>
      <c r="I724" s="11">
        <v>2749335</v>
      </c>
      <c r="J724" s="10">
        <v>496248000000</v>
      </c>
    </row>
    <row r="725" spans="1:10" x14ac:dyDescent="0.25">
      <c r="A725" s="14">
        <v>45861</v>
      </c>
      <c r="B725" s="15" t="s">
        <v>73</v>
      </c>
      <c r="C725" s="15" t="s">
        <v>74</v>
      </c>
      <c r="D725" s="15" t="s">
        <v>75</v>
      </c>
      <c r="E725" s="16">
        <v>107.53</v>
      </c>
      <c r="F725" s="16">
        <v>108.33</v>
      </c>
      <c r="G725" s="16">
        <v>107.28</v>
      </c>
      <c r="H725" s="16">
        <v>107.39</v>
      </c>
      <c r="I725" s="17">
        <v>1677035</v>
      </c>
      <c r="J725" s="16">
        <v>23625800000</v>
      </c>
    </row>
    <row r="726" spans="1:10" x14ac:dyDescent="0.25">
      <c r="A726" s="8">
        <v>45861</v>
      </c>
      <c r="B726" s="9" t="s">
        <v>76</v>
      </c>
      <c r="C726" s="9" t="s">
        <v>77</v>
      </c>
      <c r="D726" s="9" t="s">
        <v>75</v>
      </c>
      <c r="E726" s="10">
        <v>115.9</v>
      </c>
      <c r="F726" s="10">
        <v>115.98</v>
      </c>
      <c r="G726" s="10">
        <v>115.86</v>
      </c>
      <c r="H726" s="10">
        <v>115.89</v>
      </c>
      <c r="I726" s="11">
        <v>1943508</v>
      </c>
      <c r="J726" s="10">
        <v>23178000000</v>
      </c>
    </row>
    <row r="727" spans="1:10" x14ac:dyDescent="0.25">
      <c r="A727" s="14">
        <v>45862</v>
      </c>
      <c r="B727" s="15" t="s">
        <v>60</v>
      </c>
      <c r="C727" s="15" t="s">
        <v>61</v>
      </c>
      <c r="D727" s="15" t="s">
        <v>62</v>
      </c>
      <c r="E727" s="16">
        <v>4163.9799999999996</v>
      </c>
      <c r="F727" s="16">
        <v>4193.38</v>
      </c>
      <c r="G727" s="16">
        <v>4092.96</v>
      </c>
      <c r="H727" s="16">
        <v>4132.41</v>
      </c>
      <c r="I727" s="17">
        <v>4133979</v>
      </c>
      <c r="J727" s="16">
        <v>5785374000000</v>
      </c>
    </row>
    <row r="728" spans="1:10" x14ac:dyDescent="0.25">
      <c r="A728" s="8">
        <v>45862</v>
      </c>
      <c r="B728" s="9" t="s">
        <v>65</v>
      </c>
      <c r="C728" s="9" t="s">
        <v>66</v>
      </c>
      <c r="D728" s="9" t="s">
        <v>67</v>
      </c>
      <c r="E728" s="10">
        <v>160.53</v>
      </c>
      <c r="F728" s="10">
        <v>161.28</v>
      </c>
      <c r="G728" s="10">
        <v>159.4</v>
      </c>
      <c r="H728" s="10">
        <v>159.49</v>
      </c>
      <c r="I728" s="11">
        <v>1333637</v>
      </c>
      <c r="J728" s="10">
        <v>39872500000</v>
      </c>
    </row>
    <row r="729" spans="1:10" x14ac:dyDescent="0.25">
      <c r="A729" s="14">
        <v>45862</v>
      </c>
      <c r="B729" s="15" t="s">
        <v>69</v>
      </c>
      <c r="C729" s="15" t="s">
        <v>70</v>
      </c>
      <c r="D729" s="15" t="s">
        <v>71</v>
      </c>
      <c r="E729" s="16">
        <v>633.76</v>
      </c>
      <c r="F729" s="16">
        <v>634.53</v>
      </c>
      <c r="G729" s="16">
        <v>628.27</v>
      </c>
      <c r="H729" s="16">
        <v>632.39</v>
      </c>
      <c r="I729" s="17">
        <v>4529515</v>
      </c>
      <c r="J729" s="16">
        <v>505912000000</v>
      </c>
    </row>
    <row r="730" spans="1:10" x14ac:dyDescent="0.25">
      <c r="A730" s="8">
        <v>45862</v>
      </c>
      <c r="B730" s="9" t="s">
        <v>73</v>
      </c>
      <c r="C730" s="9" t="s">
        <v>74</v>
      </c>
      <c r="D730" s="9" t="s">
        <v>75</v>
      </c>
      <c r="E730" s="10">
        <v>108.67</v>
      </c>
      <c r="F730" s="10">
        <v>109.43</v>
      </c>
      <c r="G730" s="10">
        <v>108.4</v>
      </c>
      <c r="H730" s="10">
        <v>109.36</v>
      </c>
      <c r="I730" s="11">
        <v>4351126</v>
      </c>
      <c r="J730" s="10">
        <v>24059200000</v>
      </c>
    </row>
    <row r="731" spans="1:10" x14ac:dyDescent="0.25">
      <c r="A731" s="14">
        <v>45862</v>
      </c>
      <c r="B731" s="15" t="s">
        <v>76</v>
      </c>
      <c r="C731" s="15" t="s">
        <v>77</v>
      </c>
      <c r="D731" s="15" t="s">
        <v>75</v>
      </c>
      <c r="E731" s="16">
        <v>115.81</v>
      </c>
      <c r="F731" s="16">
        <v>117.25</v>
      </c>
      <c r="G731" s="16">
        <v>115.07</v>
      </c>
      <c r="H731" s="16">
        <v>117.05</v>
      </c>
      <c r="I731" s="17">
        <v>1756684</v>
      </c>
      <c r="J731" s="16">
        <v>23410000000</v>
      </c>
    </row>
    <row r="732" spans="1:10" x14ac:dyDescent="0.25">
      <c r="A732" s="8">
        <v>45863</v>
      </c>
      <c r="B732" s="9" t="s">
        <v>60</v>
      </c>
      <c r="C732" s="9" t="s">
        <v>61</v>
      </c>
      <c r="D732" s="9" t="s">
        <v>62</v>
      </c>
      <c r="E732" s="10">
        <v>4129.26</v>
      </c>
      <c r="F732" s="10">
        <v>4146.45</v>
      </c>
      <c r="G732" s="10">
        <v>4095.25</v>
      </c>
      <c r="H732" s="10">
        <v>4140.4399999999996</v>
      </c>
      <c r="I732" s="11">
        <v>4528782</v>
      </c>
      <c r="J732" s="10">
        <v>5796616000000</v>
      </c>
    </row>
    <row r="733" spans="1:10" x14ac:dyDescent="0.25">
      <c r="A733" s="14">
        <v>45863</v>
      </c>
      <c r="B733" s="15" t="s">
        <v>65</v>
      </c>
      <c r="C733" s="15" t="s">
        <v>66</v>
      </c>
      <c r="D733" s="15" t="s">
        <v>67</v>
      </c>
      <c r="E733" s="16">
        <v>161.63</v>
      </c>
      <c r="F733" s="16">
        <v>162.62</v>
      </c>
      <c r="G733" s="16">
        <v>160.72</v>
      </c>
      <c r="H733" s="16">
        <v>161.88</v>
      </c>
      <c r="I733" s="17">
        <v>2382377</v>
      </c>
      <c r="J733" s="16">
        <v>40470000000</v>
      </c>
    </row>
    <row r="734" spans="1:10" x14ac:dyDescent="0.25">
      <c r="A734" s="8">
        <v>45863</v>
      </c>
      <c r="B734" s="9" t="s">
        <v>69</v>
      </c>
      <c r="C734" s="9" t="s">
        <v>70</v>
      </c>
      <c r="D734" s="9" t="s">
        <v>71</v>
      </c>
      <c r="E734" s="10">
        <v>628.91</v>
      </c>
      <c r="F734" s="10">
        <v>641.72</v>
      </c>
      <c r="G734" s="10">
        <v>623.48</v>
      </c>
      <c r="H734" s="10">
        <v>625.91</v>
      </c>
      <c r="I734" s="11">
        <v>3762359</v>
      </c>
      <c r="J734" s="10">
        <v>500728000000</v>
      </c>
    </row>
    <row r="735" spans="1:10" x14ac:dyDescent="0.25">
      <c r="A735" s="14">
        <v>45863</v>
      </c>
      <c r="B735" s="15" t="s">
        <v>73</v>
      </c>
      <c r="C735" s="15" t="s">
        <v>74</v>
      </c>
      <c r="D735" s="15" t="s">
        <v>75</v>
      </c>
      <c r="E735" s="16">
        <v>109.05</v>
      </c>
      <c r="F735" s="16">
        <v>110.51</v>
      </c>
      <c r="G735" s="16">
        <v>107.96</v>
      </c>
      <c r="H735" s="16">
        <v>109.27</v>
      </c>
      <c r="I735" s="17">
        <v>4895329</v>
      </c>
      <c r="J735" s="16">
        <v>24039400000</v>
      </c>
    </row>
    <row r="736" spans="1:10" x14ac:dyDescent="0.25">
      <c r="A736" s="8">
        <v>45863</v>
      </c>
      <c r="B736" s="9" t="s">
        <v>76</v>
      </c>
      <c r="C736" s="9" t="s">
        <v>77</v>
      </c>
      <c r="D736" s="9" t="s">
        <v>75</v>
      </c>
      <c r="E736" s="10">
        <v>118.85</v>
      </c>
      <c r="F736" s="10">
        <v>120</v>
      </c>
      <c r="G736" s="10">
        <v>117.61</v>
      </c>
      <c r="H736" s="10">
        <v>118.09</v>
      </c>
      <c r="I736" s="11">
        <v>2737557</v>
      </c>
      <c r="J736" s="10">
        <v>23618000000</v>
      </c>
    </row>
    <row r="737" spans="1:10" x14ac:dyDescent="0.25">
      <c r="A737" s="14">
        <v>45866</v>
      </c>
      <c r="B737" s="15" t="s">
        <v>60</v>
      </c>
      <c r="C737" s="15" t="s">
        <v>61</v>
      </c>
      <c r="D737" s="15" t="s">
        <v>62</v>
      </c>
      <c r="E737" s="16">
        <v>4106.62</v>
      </c>
      <c r="F737" s="16">
        <v>4135.34</v>
      </c>
      <c r="G737" s="16">
        <v>4038.36</v>
      </c>
      <c r="H737" s="16">
        <v>4051.23</v>
      </c>
      <c r="I737" s="17">
        <v>1791601</v>
      </c>
      <c r="J737" s="16">
        <v>5671722000000</v>
      </c>
    </row>
    <row r="738" spans="1:10" x14ac:dyDescent="0.25">
      <c r="A738" s="8">
        <v>45866</v>
      </c>
      <c r="B738" s="9" t="s">
        <v>65</v>
      </c>
      <c r="C738" s="9" t="s">
        <v>66</v>
      </c>
      <c r="D738" s="9" t="s">
        <v>67</v>
      </c>
      <c r="E738" s="10">
        <v>158.18</v>
      </c>
      <c r="F738" s="10">
        <v>158.22999999999999</v>
      </c>
      <c r="G738" s="10">
        <v>157.9</v>
      </c>
      <c r="H738" s="10">
        <v>158.02000000000001</v>
      </c>
      <c r="I738" s="11">
        <v>4329634</v>
      </c>
      <c r="J738" s="10">
        <v>39505000000</v>
      </c>
    </row>
    <row r="739" spans="1:10" x14ac:dyDescent="0.25">
      <c r="A739" s="14">
        <v>45866</v>
      </c>
      <c r="B739" s="15" t="s">
        <v>69</v>
      </c>
      <c r="C739" s="15" t="s">
        <v>70</v>
      </c>
      <c r="D739" s="15" t="s">
        <v>71</v>
      </c>
      <c r="E739" s="16">
        <v>630.21</v>
      </c>
      <c r="F739" s="16">
        <v>640.66999999999996</v>
      </c>
      <c r="G739" s="16">
        <v>624.22</v>
      </c>
      <c r="H739" s="16">
        <v>635.9</v>
      </c>
      <c r="I739" s="17">
        <v>4778701</v>
      </c>
      <c r="J739" s="16">
        <v>508720000000</v>
      </c>
    </row>
    <row r="740" spans="1:10" x14ac:dyDescent="0.25">
      <c r="A740" s="8">
        <v>45866</v>
      </c>
      <c r="B740" s="9" t="s">
        <v>73</v>
      </c>
      <c r="C740" s="9" t="s">
        <v>74</v>
      </c>
      <c r="D740" s="9" t="s">
        <v>75</v>
      </c>
      <c r="E740" s="10">
        <v>108.58</v>
      </c>
      <c r="F740" s="10">
        <v>110.22</v>
      </c>
      <c r="G740" s="10">
        <v>108.2</v>
      </c>
      <c r="H740" s="10">
        <v>108.25</v>
      </c>
      <c r="I740" s="11">
        <v>1519088</v>
      </c>
      <c r="J740" s="10">
        <v>23815000000</v>
      </c>
    </row>
    <row r="741" spans="1:10" x14ac:dyDescent="0.25">
      <c r="A741" s="14">
        <v>45866</v>
      </c>
      <c r="B741" s="15" t="s">
        <v>76</v>
      </c>
      <c r="C741" s="15" t="s">
        <v>77</v>
      </c>
      <c r="D741" s="15" t="s">
        <v>75</v>
      </c>
      <c r="E741" s="16">
        <v>116.1</v>
      </c>
      <c r="F741" s="16">
        <v>116.4</v>
      </c>
      <c r="G741" s="16">
        <v>116</v>
      </c>
      <c r="H741" s="16">
        <v>116.11</v>
      </c>
      <c r="I741" s="17">
        <v>1650023</v>
      </c>
      <c r="J741" s="16">
        <v>23222000000</v>
      </c>
    </row>
    <row r="742" spans="1:10" x14ac:dyDescent="0.25">
      <c r="A742" s="8">
        <v>45867</v>
      </c>
      <c r="B742" s="9" t="s">
        <v>60</v>
      </c>
      <c r="C742" s="9" t="s">
        <v>61</v>
      </c>
      <c r="D742" s="9" t="s">
        <v>62</v>
      </c>
      <c r="E742" s="10">
        <v>4143.71</v>
      </c>
      <c r="F742" s="10">
        <v>4148.8999999999996</v>
      </c>
      <c r="G742" s="10">
        <v>4136.5200000000004</v>
      </c>
      <c r="H742" s="10">
        <v>4146.2299999999996</v>
      </c>
      <c r="I742" s="11">
        <v>2011283</v>
      </c>
      <c r="J742" s="10">
        <v>5804722000000</v>
      </c>
    </row>
    <row r="743" spans="1:10" x14ac:dyDescent="0.25">
      <c r="A743" s="14">
        <v>45867</v>
      </c>
      <c r="B743" s="15" t="s">
        <v>65</v>
      </c>
      <c r="C743" s="15" t="s">
        <v>66</v>
      </c>
      <c r="D743" s="15" t="s">
        <v>67</v>
      </c>
      <c r="E743" s="16">
        <v>158.72999999999999</v>
      </c>
      <c r="F743" s="16">
        <v>158.74</v>
      </c>
      <c r="G743" s="16">
        <v>158.4</v>
      </c>
      <c r="H743" s="16">
        <v>158.68</v>
      </c>
      <c r="I743" s="17">
        <v>1159664</v>
      </c>
      <c r="J743" s="16">
        <v>39670000000</v>
      </c>
    </row>
    <row r="744" spans="1:10" x14ac:dyDescent="0.25">
      <c r="A744" s="8">
        <v>45867</v>
      </c>
      <c r="B744" s="9" t="s">
        <v>69</v>
      </c>
      <c r="C744" s="9" t="s">
        <v>70</v>
      </c>
      <c r="D744" s="9" t="s">
        <v>71</v>
      </c>
      <c r="E744" s="10">
        <v>625.36</v>
      </c>
      <c r="F744" s="10">
        <v>630.36</v>
      </c>
      <c r="G744" s="10">
        <v>622.05999999999995</v>
      </c>
      <c r="H744" s="10">
        <v>627.42999999999995</v>
      </c>
      <c r="I744" s="11">
        <v>3562217</v>
      </c>
      <c r="J744" s="10">
        <v>501944000000</v>
      </c>
    </row>
    <row r="745" spans="1:10" x14ac:dyDescent="0.25">
      <c r="A745" s="14">
        <v>45867</v>
      </c>
      <c r="B745" s="15" t="s">
        <v>73</v>
      </c>
      <c r="C745" s="15" t="s">
        <v>74</v>
      </c>
      <c r="D745" s="15" t="s">
        <v>75</v>
      </c>
      <c r="E745" s="16">
        <v>107.83</v>
      </c>
      <c r="F745" s="16">
        <v>107.95</v>
      </c>
      <c r="G745" s="16">
        <v>106.32</v>
      </c>
      <c r="H745" s="16">
        <v>107.62</v>
      </c>
      <c r="I745" s="17">
        <v>2712887</v>
      </c>
      <c r="J745" s="16">
        <v>23676400000</v>
      </c>
    </row>
    <row r="746" spans="1:10" x14ac:dyDescent="0.25">
      <c r="A746" s="8">
        <v>45867</v>
      </c>
      <c r="B746" s="9" t="s">
        <v>76</v>
      </c>
      <c r="C746" s="9" t="s">
        <v>77</v>
      </c>
      <c r="D746" s="9" t="s">
        <v>75</v>
      </c>
      <c r="E746" s="10">
        <v>115.94</v>
      </c>
      <c r="F746" s="10">
        <v>116.21</v>
      </c>
      <c r="G746" s="10">
        <v>115.23</v>
      </c>
      <c r="H746" s="10">
        <v>116</v>
      </c>
      <c r="I746" s="11">
        <v>2922731</v>
      </c>
      <c r="J746" s="10">
        <v>23200000000</v>
      </c>
    </row>
    <row r="747" spans="1:10" x14ac:dyDescent="0.25">
      <c r="A747" s="14">
        <v>45868</v>
      </c>
      <c r="B747" s="15" t="s">
        <v>60</v>
      </c>
      <c r="C747" s="15" t="s">
        <v>61</v>
      </c>
      <c r="D747" s="15" t="s">
        <v>62</v>
      </c>
      <c r="E747" s="16">
        <v>4190.79</v>
      </c>
      <c r="F747" s="16">
        <v>4201.68</v>
      </c>
      <c r="G747" s="16">
        <v>4188.41</v>
      </c>
      <c r="H747" s="16">
        <v>4198.28</v>
      </c>
      <c r="I747" s="17">
        <v>2003619</v>
      </c>
      <c r="J747" s="16">
        <v>5877592000000</v>
      </c>
    </row>
    <row r="748" spans="1:10" x14ac:dyDescent="0.25">
      <c r="A748" s="8">
        <v>45868</v>
      </c>
      <c r="B748" s="9" t="s">
        <v>65</v>
      </c>
      <c r="C748" s="9" t="s">
        <v>66</v>
      </c>
      <c r="D748" s="9" t="s">
        <v>67</v>
      </c>
      <c r="E748" s="10">
        <v>155.69999999999999</v>
      </c>
      <c r="F748" s="10">
        <v>157.19</v>
      </c>
      <c r="G748" s="10">
        <v>154.09</v>
      </c>
      <c r="H748" s="10">
        <v>156.91999999999999</v>
      </c>
      <c r="I748" s="11">
        <v>3384836</v>
      </c>
      <c r="J748" s="10">
        <v>39230000000</v>
      </c>
    </row>
    <row r="749" spans="1:10" x14ac:dyDescent="0.25">
      <c r="A749" s="14">
        <v>45868</v>
      </c>
      <c r="B749" s="15" t="s">
        <v>69</v>
      </c>
      <c r="C749" s="15" t="s">
        <v>70</v>
      </c>
      <c r="D749" s="15" t="s">
        <v>71</v>
      </c>
      <c r="E749" s="16">
        <v>614.65</v>
      </c>
      <c r="F749" s="16">
        <v>614.85</v>
      </c>
      <c r="G749" s="16">
        <v>608.47</v>
      </c>
      <c r="H749" s="16">
        <v>612.32000000000005</v>
      </c>
      <c r="I749" s="17">
        <v>1923176</v>
      </c>
      <c r="J749" s="16">
        <v>489856000000</v>
      </c>
    </row>
    <row r="750" spans="1:10" x14ac:dyDescent="0.25">
      <c r="A750" s="8">
        <v>45868</v>
      </c>
      <c r="B750" s="9" t="s">
        <v>73</v>
      </c>
      <c r="C750" s="9" t="s">
        <v>74</v>
      </c>
      <c r="D750" s="9" t="s">
        <v>75</v>
      </c>
      <c r="E750" s="10">
        <v>107.37</v>
      </c>
      <c r="F750" s="10">
        <v>107.89</v>
      </c>
      <c r="G750" s="10">
        <v>107.14</v>
      </c>
      <c r="H750" s="10">
        <v>107.27</v>
      </c>
      <c r="I750" s="11">
        <v>4610459</v>
      </c>
      <c r="J750" s="10">
        <v>23599400000</v>
      </c>
    </row>
    <row r="751" spans="1:10" x14ac:dyDescent="0.25">
      <c r="A751" s="14">
        <v>45868</v>
      </c>
      <c r="B751" s="15" t="s">
        <v>76</v>
      </c>
      <c r="C751" s="15" t="s">
        <v>77</v>
      </c>
      <c r="D751" s="15" t="s">
        <v>75</v>
      </c>
      <c r="E751" s="16">
        <v>115</v>
      </c>
      <c r="F751" s="16">
        <v>115.19</v>
      </c>
      <c r="G751" s="16">
        <v>114.82</v>
      </c>
      <c r="H751" s="16">
        <v>114.92</v>
      </c>
      <c r="I751" s="17">
        <v>2516602</v>
      </c>
      <c r="J751" s="16">
        <v>22984000000</v>
      </c>
    </row>
    <row r="752" spans="1:10" x14ac:dyDescent="0.25">
      <c r="A752" s="8">
        <v>45869</v>
      </c>
      <c r="B752" s="9" t="s">
        <v>60</v>
      </c>
      <c r="C752" s="9" t="s">
        <v>61</v>
      </c>
      <c r="D752" s="9" t="s">
        <v>62</v>
      </c>
      <c r="E752" s="10">
        <v>4256.1899999999996</v>
      </c>
      <c r="F752" s="10">
        <v>4289.08</v>
      </c>
      <c r="G752" s="10">
        <v>4255.2299999999996</v>
      </c>
      <c r="H752" s="10">
        <v>4279.25</v>
      </c>
      <c r="I752" s="11">
        <v>1598604</v>
      </c>
      <c r="J752" s="10">
        <v>5990950000000</v>
      </c>
    </row>
    <row r="753" spans="1:10" x14ac:dyDescent="0.25">
      <c r="A753" s="14">
        <v>45869</v>
      </c>
      <c r="B753" s="15" t="s">
        <v>65</v>
      </c>
      <c r="C753" s="15" t="s">
        <v>66</v>
      </c>
      <c r="D753" s="15" t="s">
        <v>67</v>
      </c>
      <c r="E753" s="16">
        <v>159.06</v>
      </c>
      <c r="F753" s="16">
        <v>161.88999999999999</v>
      </c>
      <c r="G753" s="16">
        <v>158.33000000000001</v>
      </c>
      <c r="H753" s="16">
        <v>160.44999999999999</v>
      </c>
      <c r="I753" s="17">
        <v>2826269</v>
      </c>
      <c r="J753" s="16">
        <v>40112500000</v>
      </c>
    </row>
    <row r="754" spans="1:10" x14ac:dyDescent="0.25">
      <c r="A754" s="8">
        <v>45869</v>
      </c>
      <c r="B754" s="9" t="s">
        <v>69</v>
      </c>
      <c r="C754" s="9" t="s">
        <v>70</v>
      </c>
      <c r="D754" s="9" t="s">
        <v>71</v>
      </c>
      <c r="E754" s="10">
        <v>600.49</v>
      </c>
      <c r="F754" s="10">
        <v>600.86</v>
      </c>
      <c r="G754" s="10">
        <v>595.21</v>
      </c>
      <c r="H754" s="10">
        <v>597.01</v>
      </c>
      <c r="I754" s="11">
        <v>2145175</v>
      </c>
      <c r="J754" s="10">
        <v>477608000000</v>
      </c>
    </row>
    <row r="755" spans="1:10" x14ac:dyDescent="0.25">
      <c r="A755" s="14">
        <v>45869</v>
      </c>
      <c r="B755" s="15" t="s">
        <v>73</v>
      </c>
      <c r="C755" s="15" t="s">
        <v>74</v>
      </c>
      <c r="D755" s="15" t="s">
        <v>75</v>
      </c>
      <c r="E755" s="16">
        <v>109.48</v>
      </c>
      <c r="F755" s="16">
        <v>110.5</v>
      </c>
      <c r="G755" s="16">
        <v>109.2</v>
      </c>
      <c r="H755" s="16">
        <v>110.22</v>
      </c>
      <c r="I755" s="17">
        <v>1636896</v>
      </c>
      <c r="J755" s="16">
        <v>24248400000</v>
      </c>
    </row>
    <row r="756" spans="1:10" x14ac:dyDescent="0.25">
      <c r="A756" s="8">
        <v>45869</v>
      </c>
      <c r="B756" s="9" t="s">
        <v>76</v>
      </c>
      <c r="C756" s="9" t="s">
        <v>77</v>
      </c>
      <c r="D756" s="9" t="s">
        <v>75</v>
      </c>
      <c r="E756" s="10">
        <v>113.1</v>
      </c>
      <c r="F756" s="10">
        <v>113.67</v>
      </c>
      <c r="G756" s="10">
        <v>112.56</v>
      </c>
      <c r="H756" s="10">
        <v>112.8</v>
      </c>
      <c r="I756" s="11">
        <v>3084040</v>
      </c>
      <c r="J756" s="10">
        <v>22560000000</v>
      </c>
    </row>
    <row r="757" spans="1:10" x14ac:dyDescent="0.25">
      <c r="A757" s="14">
        <v>45870</v>
      </c>
      <c r="B757" s="15" t="s">
        <v>60</v>
      </c>
      <c r="C757" s="15" t="s">
        <v>61</v>
      </c>
      <c r="D757" s="15" t="s">
        <v>62</v>
      </c>
      <c r="E757" s="16">
        <v>4304.8900000000003</v>
      </c>
      <c r="F757" s="16">
        <v>4318.8900000000003</v>
      </c>
      <c r="G757" s="16">
        <v>4279.82</v>
      </c>
      <c r="H757" s="16">
        <v>4316.95</v>
      </c>
      <c r="I757" s="17">
        <v>4750147</v>
      </c>
      <c r="J757" s="16">
        <v>6043730000000</v>
      </c>
    </row>
    <row r="758" spans="1:10" x14ac:dyDescent="0.25">
      <c r="A758" s="8">
        <v>45870</v>
      </c>
      <c r="B758" s="9" t="s">
        <v>65</v>
      </c>
      <c r="C758" s="9" t="s">
        <v>66</v>
      </c>
      <c r="D758" s="9" t="s">
        <v>67</v>
      </c>
      <c r="E758" s="10">
        <v>157.43</v>
      </c>
      <c r="F758" s="10">
        <v>157.68</v>
      </c>
      <c r="G758" s="10">
        <v>157.41</v>
      </c>
      <c r="H758" s="10">
        <v>157.44</v>
      </c>
      <c r="I758" s="11">
        <v>3202519</v>
      </c>
      <c r="J758" s="10">
        <v>39360000000</v>
      </c>
    </row>
    <row r="759" spans="1:10" x14ac:dyDescent="0.25">
      <c r="A759" s="14">
        <v>45870</v>
      </c>
      <c r="B759" s="15" t="s">
        <v>69</v>
      </c>
      <c r="C759" s="15" t="s">
        <v>70</v>
      </c>
      <c r="D759" s="15" t="s">
        <v>71</v>
      </c>
      <c r="E759" s="16">
        <v>584.16999999999996</v>
      </c>
      <c r="F759" s="16">
        <v>593.71</v>
      </c>
      <c r="G759" s="16">
        <v>580.78</v>
      </c>
      <c r="H759" s="16">
        <v>588.72</v>
      </c>
      <c r="I759" s="17">
        <v>2345370</v>
      </c>
      <c r="J759" s="16">
        <v>470976000000</v>
      </c>
    </row>
    <row r="760" spans="1:10" x14ac:dyDescent="0.25">
      <c r="A760" s="8">
        <v>45870</v>
      </c>
      <c r="B760" s="9" t="s">
        <v>73</v>
      </c>
      <c r="C760" s="9" t="s">
        <v>74</v>
      </c>
      <c r="D760" s="9" t="s">
        <v>75</v>
      </c>
      <c r="E760" s="10">
        <v>112.66</v>
      </c>
      <c r="F760" s="10">
        <v>113.01</v>
      </c>
      <c r="G760" s="10">
        <v>111.8</v>
      </c>
      <c r="H760" s="10">
        <v>112.94</v>
      </c>
      <c r="I760" s="11">
        <v>3536961</v>
      </c>
      <c r="J760" s="10">
        <v>24846800000</v>
      </c>
    </row>
    <row r="761" spans="1:10" x14ac:dyDescent="0.25">
      <c r="A761" s="14">
        <v>45870</v>
      </c>
      <c r="B761" s="15" t="s">
        <v>76</v>
      </c>
      <c r="C761" s="15" t="s">
        <v>77</v>
      </c>
      <c r="D761" s="15" t="s">
        <v>75</v>
      </c>
      <c r="E761" s="16">
        <v>116.22</v>
      </c>
      <c r="F761" s="16">
        <v>116.28</v>
      </c>
      <c r="G761" s="16">
        <v>114.73</v>
      </c>
      <c r="H761" s="16">
        <v>114.77</v>
      </c>
      <c r="I761" s="17">
        <v>4635801</v>
      </c>
      <c r="J761" s="16">
        <v>22954000000</v>
      </c>
    </row>
    <row r="762" spans="1:10" x14ac:dyDescent="0.25">
      <c r="A762" s="8">
        <v>45873</v>
      </c>
      <c r="B762" s="9" t="s">
        <v>60</v>
      </c>
      <c r="C762" s="9" t="s">
        <v>61</v>
      </c>
      <c r="D762" s="9" t="s">
        <v>62</v>
      </c>
      <c r="E762" s="10">
        <v>4345.29</v>
      </c>
      <c r="F762" s="10">
        <v>4375.59</v>
      </c>
      <c r="G762" s="10">
        <v>4332.99</v>
      </c>
      <c r="H762" s="10">
        <v>4334.8599999999997</v>
      </c>
      <c r="I762" s="11">
        <v>1914910</v>
      </c>
      <c r="J762" s="10">
        <v>6068804000000</v>
      </c>
    </row>
    <row r="763" spans="1:10" x14ac:dyDescent="0.25">
      <c r="A763" s="14">
        <v>45873</v>
      </c>
      <c r="B763" s="15" t="s">
        <v>65</v>
      </c>
      <c r="C763" s="15" t="s">
        <v>66</v>
      </c>
      <c r="D763" s="15" t="s">
        <v>67</v>
      </c>
      <c r="E763" s="16">
        <v>155.05000000000001</v>
      </c>
      <c r="F763" s="16">
        <v>155.27000000000001</v>
      </c>
      <c r="G763" s="16">
        <v>154.59</v>
      </c>
      <c r="H763" s="16">
        <v>154.66</v>
      </c>
      <c r="I763" s="17">
        <v>4812859</v>
      </c>
      <c r="J763" s="16">
        <v>38665000000</v>
      </c>
    </row>
    <row r="764" spans="1:10" x14ac:dyDescent="0.25">
      <c r="A764" s="8">
        <v>45873</v>
      </c>
      <c r="B764" s="9" t="s">
        <v>69</v>
      </c>
      <c r="C764" s="9" t="s">
        <v>70</v>
      </c>
      <c r="D764" s="9" t="s">
        <v>71</v>
      </c>
      <c r="E764" s="10">
        <v>576.71</v>
      </c>
      <c r="F764" s="10">
        <v>578.04999999999995</v>
      </c>
      <c r="G764" s="10">
        <v>575.12</v>
      </c>
      <c r="H764" s="10">
        <v>575.74</v>
      </c>
      <c r="I764" s="11">
        <v>3858526</v>
      </c>
      <c r="J764" s="10">
        <v>460592000000</v>
      </c>
    </row>
    <row r="765" spans="1:10" x14ac:dyDescent="0.25">
      <c r="A765" s="14">
        <v>45873</v>
      </c>
      <c r="B765" s="15" t="s">
        <v>73</v>
      </c>
      <c r="C765" s="15" t="s">
        <v>74</v>
      </c>
      <c r="D765" s="15" t="s">
        <v>75</v>
      </c>
      <c r="E765" s="16">
        <v>115.28</v>
      </c>
      <c r="F765" s="16">
        <v>115.6</v>
      </c>
      <c r="G765" s="16">
        <v>114.74</v>
      </c>
      <c r="H765" s="16">
        <v>115.45</v>
      </c>
      <c r="I765" s="17">
        <v>3951038</v>
      </c>
      <c r="J765" s="16">
        <v>25399000000</v>
      </c>
    </row>
    <row r="766" spans="1:10" x14ac:dyDescent="0.25">
      <c r="A766" s="8">
        <v>45873</v>
      </c>
      <c r="B766" s="9" t="s">
        <v>76</v>
      </c>
      <c r="C766" s="9" t="s">
        <v>77</v>
      </c>
      <c r="D766" s="9" t="s">
        <v>75</v>
      </c>
      <c r="E766" s="10">
        <v>112.32</v>
      </c>
      <c r="F766" s="10">
        <v>114.02</v>
      </c>
      <c r="G766" s="10">
        <v>112.31</v>
      </c>
      <c r="H766" s="10">
        <v>113.1</v>
      </c>
      <c r="I766" s="11">
        <v>3082630</v>
      </c>
      <c r="J766" s="10">
        <v>22620000000</v>
      </c>
    </row>
    <row r="767" spans="1:10" x14ac:dyDescent="0.25">
      <c r="A767" s="14">
        <v>45874</v>
      </c>
      <c r="B767" s="15" t="s">
        <v>60</v>
      </c>
      <c r="C767" s="15" t="s">
        <v>61</v>
      </c>
      <c r="D767" s="15" t="s">
        <v>62</v>
      </c>
      <c r="E767" s="16">
        <v>4298.16</v>
      </c>
      <c r="F767" s="16">
        <v>4311.1899999999996</v>
      </c>
      <c r="G767" s="16">
        <v>4295</v>
      </c>
      <c r="H767" s="16">
        <v>4297.88</v>
      </c>
      <c r="I767" s="17">
        <v>2413157</v>
      </c>
      <c r="J767" s="16">
        <v>6017032000000</v>
      </c>
    </row>
    <row r="768" spans="1:10" x14ac:dyDescent="0.25">
      <c r="A768" s="8">
        <v>45874</v>
      </c>
      <c r="B768" s="9" t="s">
        <v>65</v>
      </c>
      <c r="C768" s="9" t="s">
        <v>66</v>
      </c>
      <c r="D768" s="9" t="s">
        <v>67</v>
      </c>
      <c r="E768" s="10">
        <v>151.86000000000001</v>
      </c>
      <c r="F768" s="10">
        <v>152.43</v>
      </c>
      <c r="G768" s="10">
        <v>151.72999999999999</v>
      </c>
      <c r="H768" s="10">
        <v>152</v>
      </c>
      <c r="I768" s="11">
        <v>3692755</v>
      </c>
      <c r="J768" s="10">
        <v>38000000000</v>
      </c>
    </row>
    <row r="769" spans="1:10" x14ac:dyDescent="0.25">
      <c r="A769" s="14">
        <v>45874</v>
      </c>
      <c r="B769" s="15" t="s">
        <v>69</v>
      </c>
      <c r="C769" s="15" t="s">
        <v>70</v>
      </c>
      <c r="D769" s="15" t="s">
        <v>71</v>
      </c>
      <c r="E769" s="16">
        <v>582.47</v>
      </c>
      <c r="F769" s="16">
        <v>583.26</v>
      </c>
      <c r="G769" s="16">
        <v>582.12</v>
      </c>
      <c r="H769" s="16">
        <v>582.89</v>
      </c>
      <c r="I769" s="17">
        <v>4786515</v>
      </c>
      <c r="J769" s="16">
        <v>466312000000</v>
      </c>
    </row>
    <row r="770" spans="1:10" x14ac:dyDescent="0.25">
      <c r="A770" s="8">
        <v>45874</v>
      </c>
      <c r="B770" s="9" t="s">
        <v>73</v>
      </c>
      <c r="C770" s="9" t="s">
        <v>74</v>
      </c>
      <c r="D770" s="9" t="s">
        <v>75</v>
      </c>
      <c r="E770" s="10">
        <v>118.24</v>
      </c>
      <c r="F770" s="10">
        <v>118.3</v>
      </c>
      <c r="G770" s="10">
        <v>116.8</v>
      </c>
      <c r="H770" s="10">
        <v>116.87</v>
      </c>
      <c r="I770" s="11">
        <v>908924</v>
      </c>
      <c r="J770" s="10">
        <v>25711400000</v>
      </c>
    </row>
    <row r="771" spans="1:10" x14ac:dyDescent="0.25">
      <c r="A771" s="14">
        <v>45874</v>
      </c>
      <c r="B771" s="15" t="s">
        <v>76</v>
      </c>
      <c r="C771" s="15" t="s">
        <v>77</v>
      </c>
      <c r="D771" s="15" t="s">
        <v>75</v>
      </c>
      <c r="E771" s="16">
        <v>114.21</v>
      </c>
      <c r="F771" s="16">
        <v>114.89</v>
      </c>
      <c r="G771" s="16">
        <v>113.37</v>
      </c>
      <c r="H771" s="16">
        <v>113.81</v>
      </c>
      <c r="I771" s="17">
        <v>2827912</v>
      </c>
      <c r="J771" s="16">
        <v>22762000000</v>
      </c>
    </row>
    <row r="772" spans="1:10" x14ac:dyDescent="0.25">
      <c r="A772" s="8">
        <v>45875</v>
      </c>
      <c r="B772" s="9" t="s">
        <v>60</v>
      </c>
      <c r="C772" s="9" t="s">
        <v>61</v>
      </c>
      <c r="D772" s="9" t="s">
        <v>62</v>
      </c>
      <c r="E772" s="10">
        <v>4257.6400000000003</v>
      </c>
      <c r="F772" s="10">
        <v>4274.83</v>
      </c>
      <c r="G772" s="10">
        <v>4227.74</v>
      </c>
      <c r="H772" s="10">
        <v>4266.45</v>
      </c>
      <c r="I772" s="11">
        <v>558529</v>
      </c>
      <c r="J772" s="10">
        <v>5973030000000</v>
      </c>
    </row>
    <row r="773" spans="1:10" x14ac:dyDescent="0.25">
      <c r="A773" s="14">
        <v>45875</v>
      </c>
      <c r="B773" s="15" t="s">
        <v>65</v>
      </c>
      <c r="C773" s="15" t="s">
        <v>66</v>
      </c>
      <c r="D773" s="15" t="s">
        <v>67</v>
      </c>
      <c r="E773" s="16">
        <v>151.04</v>
      </c>
      <c r="F773" s="16">
        <v>152.51</v>
      </c>
      <c r="G773" s="16">
        <v>150.80000000000001</v>
      </c>
      <c r="H773" s="16">
        <v>151.03</v>
      </c>
      <c r="I773" s="17">
        <v>3579883</v>
      </c>
      <c r="J773" s="16">
        <v>37757500000</v>
      </c>
    </row>
    <row r="774" spans="1:10" x14ac:dyDescent="0.25">
      <c r="A774" s="8">
        <v>45875</v>
      </c>
      <c r="B774" s="9" t="s">
        <v>69</v>
      </c>
      <c r="C774" s="9" t="s">
        <v>70</v>
      </c>
      <c r="D774" s="9" t="s">
        <v>71</v>
      </c>
      <c r="E774" s="10">
        <v>587.94000000000005</v>
      </c>
      <c r="F774" s="10">
        <v>596.70000000000005</v>
      </c>
      <c r="G774" s="10">
        <v>586.08000000000004</v>
      </c>
      <c r="H774" s="10">
        <v>589.25</v>
      </c>
      <c r="I774" s="11">
        <v>3430045</v>
      </c>
      <c r="J774" s="10">
        <v>471400000000</v>
      </c>
    </row>
    <row r="775" spans="1:10" x14ac:dyDescent="0.25">
      <c r="A775" s="14">
        <v>45875</v>
      </c>
      <c r="B775" s="15" t="s">
        <v>73</v>
      </c>
      <c r="C775" s="15" t="s">
        <v>74</v>
      </c>
      <c r="D775" s="15" t="s">
        <v>75</v>
      </c>
      <c r="E775" s="16">
        <v>119.28</v>
      </c>
      <c r="F775" s="16">
        <v>119.42</v>
      </c>
      <c r="G775" s="16">
        <v>119.24</v>
      </c>
      <c r="H775" s="16">
        <v>119.4</v>
      </c>
      <c r="I775" s="17">
        <v>1485929</v>
      </c>
      <c r="J775" s="16">
        <v>26268000000</v>
      </c>
    </row>
    <row r="776" spans="1:10" x14ac:dyDescent="0.25">
      <c r="A776" s="8">
        <v>45875</v>
      </c>
      <c r="B776" s="9" t="s">
        <v>76</v>
      </c>
      <c r="C776" s="9" t="s">
        <v>77</v>
      </c>
      <c r="D776" s="9" t="s">
        <v>75</v>
      </c>
      <c r="E776" s="10">
        <v>113.96</v>
      </c>
      <c r="F776" s="10">
        <v>114.02</v>
      </c>
      <c r="G776" s="10">
        <v>113.03</v>
      </c>
      <c r="H776" s="10">
        <v>113.97</v>
      </c>
      <c r="I776" s="11">
        <v>2855934</v>
      </c>
      <c r="J776" s="10">
        <v>22794000000</v>
      </c>
    </row>
    <row r="777" spans="1:10" x14ac:dyDescent="0.25">
      <c r="A777" s="14">
        <v>45876</v>
      </c>
      <c r="B777" s="15" t="s">
        <v>60</v>
      </c>
      <c r="C777" s="15" t="s">
        <v>61</v>
      </c>
      <c r="D777" s="15" t="s">
        <v>62</v>
      </c>
      <c r="E777" s="16">
        <v>4221.97</v>
      </c>
      <c r="F777" s="16">
        <v>4235.7700000000004</v>
      </c>
      <c r="G777" s="16">
        <v>4168.16</v>
      </c>
      <c r="H777" s="16">
        <v>4217.24</v>
      </c>
      <c r="I777" s="17">
        <v>2076178</v>
      </c>
      <c r="J777" s="16">
        <v>5904136000000</v>
      </c>
    </row>
    <row r="778" spans="1:10" x14ac:dyDescent="0.25">
      <c r="A778" s="8">
        <v>45876</v>
      </c>
      <c r="B778" s="9" t="s">
        <v>65</v>
      </c>
      <c r="C778" s="9" t="s">
        <v>66</v>
      </c>
      <c r="D778" s="9" t="s">
        <v>67</v>
      </c>
      <c r="E778" s="10">
        <v>148.28</v>
      </c>
      <c r="F778" s="10">
        <v>149.16999999999999</v>
      </c>
      <c r="G778" s="10">
        <v>147.58000000000001</v>
      </c>
      <c r="H778" s="10">
        <v>147.93</v>
      </c>
      <c r="I778" s="11">
        <v>2420151</v>
      </c>
      <c r="J778" s="10">
        <v>36982500000</v>
      </c>
    </row>
    <row r="779" spans="1:10" x14ac:dyDescent="0.25">
      <c r="A779" s="14">
        <v>45876</v>
      </c>
      <c r="B779" s="15" t="s">
        <v>69</v>
      </c>
      <c r="C779" s="15" t="s">
        <v>70</v>
      </c>
      <c r="D779" s="15" t="s">
        <v>71</v>
      </c>
      <c r="E779" s="16">
        <v>588.96</v>
      </c>
      <c r="F779" s="16">
        <v>589.98</v>
      </c>
      <c r="G779" s="16">
        <v>586.16</v>
      </c>
      <c r="H779" s="16">
        <v>589.21</v>
      </c>
      <c r="I779" s="17">
        <v>756242</v>
      </c>
      <c r="J779" s="16">
        <v>471368000000</v>
      </c>
    </row>
    <row r="780" spans="1:10" x14ac:dyDescent="0.25">
      <c r="A780" s="8">
        <v>45876</v>
      </c>
      <c r="B780" s="9" t="s">
        <v>73</v>
      </c>
      <c r="C780" s="9" t="s">
        <v>74</v>
      </c>
      <c r="D780" s="9" t="s">
        <v>75</v>
      </c>
      <c r="E780" s="10">
        <v>121.9</v>
      </c>
      <c r="F780" s="10">
        <v>123.72</v>
      </c>
      <c r="G780" s="10">
        <v>120.82</v>
      </c>
      <c r="H780" s="10">
        <v>122.41</v>
      </c>
      <c r="I780" s="11">
        <v>2738171</v>
      </c>
      <c r="J780" s="10">
        <v>26930200000</v>
      </c>
    </row>
    <row r="781" spans="1:10" x14ac:dyDescent="0.25">
      <c r="A781" s="14">
        <v>45876</v>
      </c>
      <c r="B781" s="15" t="s">
        <v>76</v>
      </c>
      <c r="C781" s="15" t="s">
        <v>77</v>
      </c>
      <c r="D781" s="15" t="s">
        <v>75</v>
      </c>
      <c r="E781" s="16">
        <v>113.92</v>
      </c>
      <c r="F781" s="16">
        <v>114.25</v>
      </c>
      <c r="G781" s="16">
        <v>113.31</v>
      </c>
      <c r="H781" s="16">
        <v>113.5</v>
      </c>
      <c r="I781" s="17">
        <v>4386849</v>
      </c>
      <c r="J781" s="16">
        <v>22700000000</v>
      </c>
    </row>
    <row r="782" spans="1:10" x14ac:dyDescent="0.25">
      <c r="A782" s="8">
        <v>45877</v>
      </c>
      <c r="B782" s="9" t="s">
        <v>60</v>
      </c>
      <c r="C782" s="9" t="s">
        <v>61</v>
      </c>
      <c r="D782" s="9" t="s">
        <v>62</v>
      </c>
      <c r="E782" s="10">
        <v>4274.8100000000004</v>
      </c>
      <c r="F782" s="10">
        <v>4284.45</v>
      </c>
      <c r="G782" s="10">
        <v>4262.9399999999996</v>
      </c>
      <c r="H782" s="10">
        <v>4269.07</v>
      </c>
      <c r="I782" s="11">
        <v>885599</v>
      </c>
      <c r="J782" s="10">
        <v>5976698000000</v>
      </c>
    </row>
    <row r="783" spans="1:10" x14ac:dyDescent="0.25">
      <c r="A783" s="14">
        <v>45877</v>
      </c>
      <c r="B783" s="15" t="s">
        <v>65</v>
      </c>
      <c r="C783" s="15" t="s">
        <v>66</v>
      </c>
      <c r="D783" s="15" t="s">
        <v>67</v>
      </c>
      <c r="E783" s="16">
        <v>146.53</v>
      </c>
      <c r="F783" s="16">
        <v>147.36000000000001</v>
      </c>
      <c r="G783" s="16">
        <v>145.93</v>
      </c>
      <c r="H783" s="16">
        <v>146.57</v>
      </c>
      <c r="I783" s="17">
        <v>2864191</v>
      </c>
      <c r="J783" s="16">
        <v>36642500000</v>
      </c>
    </row>
    <row r="784" spans="1:10" x14ac:dyDescent="0.25">
      <c r="A784" s="8">
        <v>45877</v>
      </c>
      <c r="B784" s="9" t="s">
        <v>69</v>
      </c>
      <c r="C784" s="9" t="s">
        <v>70</v>
      </c>
      <c r="D784" s="9" t="s">
        <v>71</v>
      </c>
      <c r="E784" s="10">
        <v>587.55999999999995</v>
      </c>
      <c r="F784" s="10">
        <v>590.09</v>
      </c>
      <c r="G784" s="10">
        <v>579.77</v>
      </c>
      <c r="H784" s="10">
        <v>589.66</v>
      </c>
      <c r="I784" s="11">
        <v>1714650</v>
      </c>
      <c r="J784" s="10">
        <v>471728000000</v>
      </c>
    </row>
    <row r="785" spans="1:10" x14ac:dyDescent="0.25">
      <c r="A785" s="14">
        <v>45877</v>
      </c>
      <c r="B785" s="15" t="s">
        <v>73</v>
      </c>
      <c r="C785" s="15" t="s">
        <v>74</v>
      </c>
      <c r="D785" s="15" t="s">
        <v>75</v>
      </c>
      <c r="E785" s="16">
        <v>121.07</v>
      </c>
      <c r="F785" s="16">
        <v>121.8</v>
      </c>
      <c r="G785" s="16">
        <v>121.05</v>
      </c>
      <c r="H785" s="16">
        <v>121.22</v>
      </c>
      <c r="I785" s="17">
        <v>3958473</v>
      </c>
      <c r="J785" s="16">
        <v>26668400000</v>
      </c>
    </row>
    <row r="786" spans="1:10" x14ac:dyDescent="0.25">
      <c r="A786" s="8">
        <v>45877</v>
      </c>
      <c r="B786" s="9" t="s">
        <v>76</v>
      </c>
      <c r="C786" s="9" t="s">
        <v>77</v>
      </c>
      <c r="D786" s="9" t="s">
        <v>75</v>
      </c>
      <c r="E786" s="10">
        <v>113.25</v>
      </c>
      <c r="F786" s="10">
        <v>114.09</v>
      </c>
      <c r="G786" s="10">
        <v>112.9</v>
      </c>
      <c r="H786" s="10">
        <v>113.47</v>
      </c>
      <c r="I786" s="11">
        <v>4035933</v>
      </c>
      <c r="J786" s="10">
        <v>22694000000</v>
      </c>
    </row>
    <row r="787" spans="1:10" x14ac:dyDescent="0.25">
      <c r="A787" s="14">
        <v>45880</v>
      </c>
      <c r="B787" s="15" t="s">
        <v>60</v>
      </c>
      <c r="C787" s="15" t="s">
        <v>61</v>
      </c>
      <c r="D787" s="15" t="s">
        <v>62</v>
      </c>
      <c r="E787" s="16">
        <v>4217.9799999999996</v>
      </c>
      <c r="F787" s="16">
        <v>4236.17</v>
      </c>
      <c r="G787" s="16">
        <v>4195.6400000000003</v>
      </c>
      <c r="H787" s="16">
        <v>4218</v>
      </c>
      <c r="I787" s="17">
        <v>1774466</v>
      </c>
      <c r="J787" s="16">
        <v>5905200000000</v>
      </c>
    </row>
    <row r="788" spans="1:10" x14ac:dyDescent="0.25">
      <c r="A788" s="8">
        <v>45880</v>
      </c>
      <c r="B788" s="9" t="s">
        <v>65</v>
      </c>
      <c r="C788" s="9" t="s">
        <v>66</v>
      </c>
      <c r="D788" s="9" t="s">
        <v>67</v>
      </c>
      <c r="E788" s="10">
        <v>146.04</v>
      </c>
      <c r="F788" s="10">
        <v>146.41999999999999</v>
      </c>
      <c r="G788" s="10">
        <v>145.62</v>
      </c>
      <c r="H788" s="10">
        <v>146.33000000000001</v>
      </c>
      <c r="I788" s="11">
        <v>1947790</v>
      </c>
      <c r="J788" s="10">
        <v>36582500000</v>
      </c>
    </row>
    <row r="789" spans="1:10" x14ac:dyDescent="0.25">
      <c r="A789" s="14">
        <v>45880</v>
      </c>
      <c r="B789" s="15" t="s">
        <v>69</v>
      </c>
      <c r="C789" s="15" t="s">
        <v>70</v>
      </c>
      <c r="D789" s="15" t="s">
        <v>71</v>
      </c>
      <c r="E789" s="16">
        <v>606.03</v>
      </c>
      <c r="F789" s="16">
        <v>606.87</v>
      </c>
      <c r="G789" s="16">
        <v>595.95000000000005</v>
      </c>
      <c r="H789" s="16">
        <v>596.78</v>
      </c>
      <c r="I789" s="17">
        <v>932500</v>
      </c>
      <c r="J789" s="16">
        <v>477424000000</v>
      </c>
    </row>
    <row r="790" spans="1:10" x14ac:dyDescent="0.25">
      <c r="A790" s="8">
        <v>45880</v>
      </c>
      <c r="B790" s="9" t="s">
        <v>73</v>
      </c>
      <c r="C790" s="9" t="s">
        <v>74</v>
      </c>
      <c r="D790" s="9" t="s">
        <v>75</v>
      </c>
      <c r="E790" s="10">
        <v>124</v>
      </c>
      <c r="F790" s="10">
        <v>125.21</v>
      </c>
      <c r="G790" s="10">
        <v>122.77</v>
      </c>
      <c r="H790" s="10">
        <v>124.18</v>
      </c>
      <c r="I790" s="11">
        <v>2084765</v>
      </c>
      <c r="J790" s="10">
        <v>27319600000</v>
      </c>
    </row>
    <row r="791" spans="1:10" x14ac:dyDescent="0.25">
      <c r="A791" s="14">
        <v>45880</v>
      </c>
      <c r="B791" s="15" t="s">
        <v>76</v>
      </c>
      <c r="C791" s="15" t="s">
        <v>77</v>
      </c>
      <c r="D791" s="15" t="s">
        <v>75</v>
      </c>
      <c r="E791" s="16">
        <v>111.2</v>
      </c>
      <c r="F791" s="16">
        <v>112.14</v>
      </c>
      <c r="G791" s="16">
        <v>110.57</v>
      </c>
      <c r="H791" s="16">
        <v>111.42</v>
      </c>
      <c r="I791" s="17">
        <v>4827139</v>
      </c>
      <c r="J791" s="16">
        <v>22284000000</v>
      </c>
    </row>
    <row r="792" spans="1:10" x14ac:dyDescent="0.25">
      <c r="A792" s="8">
        <v>45881</v>
      </c>
      <c r="B792" s="9" t="s">
        <v>60</v>
      </c>
      <c r="C792" s="9" t="s">
        <v>61</v>
      </c>
      <c r="D792" s="9" t="s">
        <v>62</v>
      </c>
      <c r="E792" s="10">
        <v>4111.2</v>
      </c>
      <c r="F792" s="10">
        <v>4121.1099999999997</v>
      </c>
      <c r="G792" s="10">
        <v>4095.65</v>
      </c>
      <c r="H792" s="10">
        <v>4115.3100000000004</v>
      </c>
      <c r="I792" s="11">
        <v>2741077</v>
      </c>
      <c r="J792" s="10">
        <v>5761434000000</v>
      </c>
    </row>
    <row r="793" spans="1:10" x14ac:dyDescent="0.25">
      <c r="A793" s="14">
        <v>45881</v>
      </c>
      <c r="B793" s="15" t="s">
        <v>65</v>
      </c>
      <c r="C793" s="15" t="s">
        <v>66</v>
      </c>
      <c r="D793" s="15" t="s">
        <v>67</v>
      </c>
      <c r="E793" s="16">
        <v>147.52000000000001</v>
      </c>
      <c r="F793" s="16">
        <v>148.44999999999999</v>
      </c>
      <c r="G793" s="16">
        <v>146.47999999999999</v>
      </c>
      <c r="H793" s="16">
        <v>146.66</v>
      </c>
      <c r="I793" s="17">
        <v>3352325</v>
      </c>
      <c r="J793" s="16">
        <v>36665000000</v>
      </c>
    </row>
    <row r="794" spans="1:10" x14ac:dyDescent="0.25">
      <c r="A794" s="8">
        <v>45881</v>
      </c>
      <c r="B794" s="9" t="s">
        <v>69</v>
      </c>
      <c r="C794" s="9" t="s">
        <v>70</v>
      </c>
      <c r="D794" s="9" t="s">
        <v>71</v>
      </c>
      <c r="E794" s="10">
        <v>583.70000000000005</v>
      </c>
      <c r="F794" s="10">
        <v>583.79</v>
      </c>
      <c r="G794" s="10">
        <v>578.80999999999995</v>
      </c>
      <c r="H794" s="10">
        <v>581.87</v>
      </c>
      <c r="I794" s="11">
        <v>1691196</v>
      </c>
      <c r="J794" s="10">
        <v>465496000000</v>
      </c>
    </row>
    <row r="795" spans="1:10" x14ac:dyDescent="0.25">
      <c r="A795" s="14">
        <v>45881</v>
      </c>
      <c r="B795" s="15" t="s">
        <v>73</v>
      </c>
      <c r="C795" s="15" t="s">
        <v>74</v>
      </c>
      <c r="D795" s="15" t="s">
        <v>75</v>
      </c>
      <c r="E795" s="16">
        <v>121.45</v>
      </c>
      <c r="F795" s="16">
        <v>121.47</v>
      </c>
      <c r="G795" s="16">
        <v>120.92</v>
      </c>
      <c r="H795" s="16">
        <v>121.01</v>
      </c>
      <c r="I795" s="17">
        <v>1526406</v>
      </c>
      <c r="J795" s="16">
        <v>26622200000</v>
      </c>
    </row>
    <row r="796" spans="1:10" x14ac:dyDescent="0.25">
      <c r="A796" s="8">
        <v>45881</v>
      </c>
      <c r="B796" s="9" t="s">
        <v>76</v>
      </c>
      <c r="C796" s="9" t="s">
        <v>77</v>
      </c>
      <c r="D796" s="9" t="s">
        <v>75</v>
      </c>
      <c r="E796" s="10">
        <v>111.27</v>
      </c>
      <c r="F796" s="10">
        <v>112.29</v>
      </c>
      <c r="G796" s="10">
        <v>110.87</v>
      </c>
      <c r="H796" s="10">
        <v>111.56</v>
      </c>
      <c r="I796" s="11">
        <v>827317</v>
      </c>
      <c r="J796" s="10">
        <v>22312000000</v>
      </c>
    </row>
    <row r="797" spans="1:10" x14ac:dyDescent="0.25">
      <c r="A797" s="14">
        <v>45882</v>
      </c>
      <c r="B797" s="15" t="s">
        <v>60</v>
      </c>
      <c r="C797" s="15" t="s">
        <v>61</v>
      </c>
      <c r="D797" s="15" t="s">
        <v>62</v>
      </c>
      <c r="E797" s="16">
        <v>4149.7700000000004</v>
      </c>
      <c r="F797" s="16">
        <v>4151.95</v>
      </c>
      <c r="G797" s="16">
        <v>4125.63</v>
      </c>
      <c r="H797" s="16">
        <v>4143.2299999999996</v>
      </c>
      <c r="I797" s="17">
        <v>4644336</v>
      </c>
      <c r="J797" s="16">
        <v>5800522000000</v>
      </c>
    </row>
    <row r="798" spans="1:10" x14ac:dyDescent="0.25">
      <c r="A798" s="8">
        <v>45882</v>
      </c>
      <c r="B798" s="9" t="s">
        <v>65</v>
      </c>
      <c r="C798" s="9" t="s">
        <v>66</v>
      </c>
      <c r="D798" s="9" t="s">
        <v>67</v>
      </c>
      <c r="E798" s="10">
        <v>148.43</v>
      </c>
      <c r="F798" s="10">
        <v>149.05000000000001</v>
      </c>
      <c r="G798" s="10">
        <v>147.15</v>
      </c>
      <c r="H798" s="10">
        <v>147.24</v>
      </c>
      <c r="I798" s="11">
        <v>3018505</v>
      </c>
      <c r="J798" s="10">
        <v>36810000000</v>
      </c>
    </row>
    <row r="799" spans="1:10" x14ac:dyDescent="0.25">
      <c r="A799" s="14">
        <v>45882</v>
      </c>
      <c r="B799" s="15" t="s">
        <v>69</v>
      </c>
      <c r="C799" s="15" t="s">
        <v>70</v>
      </c>
      <c r="D799" s="15" t="s">
        <v>71</v>
      </c>
      <c r="E799" s="16">
        <v>583.80999999999995</v>
      </c>
      <c r="F799" s="16">
        <v>593.6</v>
      </c>
      <c r="G799" s="16">
        <v>576.39</v>
      </c>
      <c r="H799" s="16">
        <v>587.29</v>
      </c>
      <c r="I799" s="17">
        <v>2594244</v>
      </c>
      <c r="J799" s="16">
        <v>469832000000</v>
      </c>
    </row>
    <row r="800" spans="1:10" x14ac:dyDescent="0.25">
      <c r="A800" s="8">
        <v>45882</v>
      </c>
      <c r="B800" s="9" t="s">
        <v>73</v>
      </c>
      <c r="C800" s="9" t="s">
        <v>74</v>
      </c>
      <c r="D800" s="9" t="s">
        <v>75</v>
      </c>
      <c r="E800" s="10">
        <v>121.76</v>
      </c>
      <c r="F800" s="10">
        <v>122.42</v>
      </c>
      <c r="G800" s="10">
        <v>121.18</v>
      </c>
      <c r="H800" s="10">
        <v>121.99</v>
      </c>
      <c r="I800" s="11">
        <v>3364331</v>
      </c>
      <c r="J800" s="10">
        <v>26837800000</v>
      </c>
    </row>
    <row r="801" spans="1:10" x14ac:dyDescent="0.25">
      <c r="A801" s="14">
        <v>45882</v>
      </c>
      <c r="B801" s="15" t="s">
        <v>76</v>
      </c>
      <c r="C801" s="15" t="s">
        <v>77</v>
      </c>
      <c r="D801" s="15" t="s">
        <v>75</v>
      </c>
      <c r="E801" s="16">
        <v>111.3</v>
      </c>
      <c r="F801" s="16">
        <v>112.92</v>
      </c>
      <c r="G801" s="16">
        <v>110.3</v>
      </c>
      <c r="H801" s="16">
        <v>110.5</v>
      </c>
      <c r="I801" s="17">
        <v>2410459</v>
      </c>
      <c r="J801" s="16">
        <v>22100000000</v>
      </c>
    </row>
    <row r="802" spans="1:10" x14ac:dyDescent="0.25">
      <c r="A802" s="8">
        <v>45883</v>
      </c>
      <c r="B802" s="9" t="s">
        <v>60</v>
      </c>
      <c r="C802" s="9" t="s">
        <v>61</v>
      </c>
      <c r="D802" s="9" t="s">
        <v>62</v>
      </c>
      <c r="E802" s="10">
        <v>4047.43</v>
      </c>
      <c r="F802" s="10">
        <v>4096.9399999999996</v>
      </c>
      <c r="G802" s="10">
        <v>4017.38</v>
      </c>
      <c r="H802" s="10">
        <v>4086.42</v>
      </c>
      <c r="I802" s="11">
        <v>4384090</v>
      </c>
      <c r="J802" s="10">
        <v>5720988000000</v>
      </c>
    </row>
    <row r="803" spans="1:10" x14ac:dyDescent="0.25">
      <c r="A803" s="14">
        <v>45883</v>
      </c>
      <c r="B803" s="15" t="s">
        <v>65</v>
      </c>
      <c r="C803" s="15" t="s">
        <v>66</v>
      </c>
      <c r="D803" s="15" t="s">
        <v>67</v>
      </c>
      <c r="E803" s="16">
        <v>147.06</v>
      </c>
      <c r="F803" s="16">
        <v>147.71</v>
      </c>
      <c r="G803" s="16">
        <v>144.69</v>
      </c>
      <c r="H803" s="16">
        <v>144.71</v>
      </c>
      <c r="I803" s="17">
        <v>1465750</v>
      </c>
      <c r="J803" s="16">
        <v>36177500000</v>
      </c>
    </row>
    <row r="804" spans="1:10" x14ac:dyDescent="0.25">
      <c r="A804" s="8">
        <v>45883</v>
      </c>
      <c r="B804" s="9" t="s">
        <v>69</v>
      </c>
      <c r="C804" s="9" t="s">
        <v>70</v>
      </c>
      <c r="D804" s="9" t="s">
        <v>71</v>
      </c>
      <c r="E804" s="10">
        <v>581.49</v>
      </c>
      <c r="F804" s="10">
        <v>582.73</v>
      </c>
      <c r="G804" s="10">
        <v>577.73</v>
      </c>
      <c r="H804" s="10">
        <v>578.48</v>
      </c>
      <c r="I804" s="11">
        <v>1620009</v>
      </c>
      <c r="J804" s="10">
        <v>462784000000</v>
      </c>
    </row>
    <row r="805" spans="1:10" x14ac:dyDescent="0.25">
      <c r="A805" s="14">
        <v>45883</v>
      </c>
      <c r="B805" s="15" t="s">
        <v>73</v>
      </c>
      <c r="C805" s="15" t="s">
        <v>74</v>
      </c>
      <c r="D805" s="15" t="s">
        <v>75</v>
      </c>
      <c r="E805" s="16">
        <v>121.88</v>
      </c>
      <c r="F805" s="16">
        <v>122.88</v>
      </c>
      <c r="G805" s="16">
        <v>120.7</v>
      </c>
      <c r="H805" s="16">
        <v>120.96</v>
      </c>
      <c r="I805" s="17">
        <v>2232285</v>
      </c>
      <c r="J805" s="16">
        <v>26611200000</v>
      </c>
    </row>
    <row r="806" spans="1:10" x14ac:dyDescent="0.25">
      <c r="A806" s="8">
        <v>45883</v>
      </c>
      <c r="B806" s="9" t="s">
        <v>76</v>
      </c>
      <c r="C806" s="9" t="s">
        <v>77</v>
      </c>
      <c r="D806" s="9" t="s">
        <v>75</v>
      </c>
      <c r="E806" s="10">
        <v>109.25</v>
      </c>
      <c r="F806" s="10">
        <v>109.65</v>
      </c>
      <c r="G806" s="10">
        <v>108.26</v>
      </c>
      <c r="H806" s="10">
        <v>108.93</v>
      </c>
      <c r="I806" s="11">
        <v>1652631</v>
      </c>
      <c r="J806" s="10">
        <v>21786000000</v>
      </c>
    </row>
    <row r="807" spans="1:10" x14ac:dyDescent="0.25">
      <c r="A807" s="14">
        <v>45884</v>
      </c>
      <c r="B807" s="15" t="s">
        <v>60</v>
      </c>
      <c r="C807" s="15" t="s">
        <v>61</v>
      </c>
      <c r="D807" s="15" t="s">
        <v>62</v>
      </c>
      <c r="E807" s="16">
        <v>4147.3100000000004</v>
      </c>
      <c r="F807" s="16">
        <v>4167.84</v>
      </c>
      <c r="G807" s="16">
        <v>4120.05</v>
      </c>
      <c r="H807" s="16">
        <v>4131.7</v>
      </c>
      <c r="I807" s="17">
        <v>1372778</v>
      </c>
      <c r="J807" s="16">
        <v>5784380000000</v>
      </c>
    </row>
    <row r="808" spans="1:10" x14ac:dyDescent="0.25">
      <c r="A808" s="8">
        <v>45884</v>
      </c>
      <c r="B808" s="9" t="s">
        <v>65</v>
      </c>
      <c r="C808" s="9" t="s">
        <v>66</v>
      </c>
      <c r="D808" s="9" t="s">
        <v>67</v>
      </c>
      <c r="E808" s="10">
        <v>143.59</v>
      </c>
      <c r="F808" s="10">
        <v>143.88999999999999</v>
      </c>
      <c r="G808" s="10">
        <v>143.37</v>
      </c>
      <c r="H808" s="10">
        <v>143.66999999999999</v>
      </c>
      <c r="I808" s="11">
        <v>769023</v>
      </c>
      <c r="J808" s="10">
        <v>35917500000</v>
      </c>
    </row>
    <row r="809" spans="1:10" x14ac:dyDescent="0.25">
      <c r="A809" s="14">
        <v>45884</v>
      </c>
      <c r="B809" s="15" t="s">
        <v>69</v>
      </c>
      <c r="C809" s="15" t="s">
        <v>70</v>
      </c>
      <c r="D809" s="15" t="s">
        <v>71</v>
      </c>
      <c r="E809" s="16">
        <v>576.80999999999995</v>
      </c>
      <c r="F809" s="16">
        <v>582.04999999999995</v>
      </c>
      <c r="G809" s="16">
        <v>567.78</v>
      </c>
      <c r="H809" s="16">
        <v>575.15</v>
      </c>
      <c r="I809" s="17">
        <v>3701214</v>
      </c>
      <c r="J809" s="16">
        <v>460120000000</v>
      </c>
    </row>
    <row r="810" spans="1:10" x14ac:dyDescent="0.25">
      <c r="A810" s="8">
        <v>45884</v>
      </c>
      <c r="B810" s="9" t="s">
        <v>73</v>
      </c>
      <c r="C810" s="9" t="s">
        <v>74</v>
      </c>
      <c r="D810" s="9" t="s">
        <v>75</v>
      </c>
      <c r="E810" s="10">
        <v>119.09</v>
      </c>
      <c r="F810" s="10">
        <v>119.81</v>
      </c>
      <c r="G810" s="10">
        <v>117.58</v>
      </c>
      <c r="H810" s="10">
        <v>119.06</v>
      </c>
      <c r="I810" s="11">
        <v>2677789</v>
      </c>
      <c r="J810" s="10">
        <v>26193200000</v>
      </c>
    </row>
    <row r="811" spans="1:10" x14ac:dyDescent="0.25">
      <c r="A811" s="14">
        <v>45884</v>
      </c>
      <c r="B811" s="15" t="s">
        <v>76</v>
      </c>
      <c r="C811" s="15" t="s">
        <v>77</v>
      </c>
      <c r="D811" s="15" t="s">
        <v>75</v>
      </c>
      <c r="E811" s="16">
        <v>109.26</v>
      </c>
      <c r="F811" s="16">
        <v>109.84</v>
      </c>
      <c r="G811" s="16">
        <v>109.06</v>
      </c>
      <c r="H811" s="16">
        <v>109.53</v>
      </c>
      <c r="I811" s="17">
        <v>4254502</v>
      </c>
      <c r="J811" s="16">
        <v>21906000000</v>
      </c>
    </row>
    <row r="812" spans="1:10" x14ac:dyDescent="0.25">
      <c r="A812" s="8">
        <v>45887</v>
      </c>
      <c r="B812" s="9" t="s">
        <v>60</v>
      </c>
      <c r="C812" s="9" t="s">
        <v>61</v>
      </c>
      <c r="D812" s="9" t="s">
        <v>62</v>
      </c>
      <c r="E812" s="10">
        <v>4158</v>
      </c>
      <c r="F812" s="10">
        <v>4173.0600000000004</v>
      </c>
      <c r="G812" s="10">
        <v>4136.1899999999996</v>
      </c>
      <c r="H812" s="10">
        <v>4165.49</v>
      </c>
      <c r="I812" s="11">
        <v>1825754</v>
      </c>
      <c r="J812" s="10">
        <v>5831686000000</v>
      </c>
    </row>
    <row r="813" spans="1:10" x14ac:dyDescent="0.25">
      <c r="A813" s="14">
        <v>45887</v>
      </c>
      <c r="B813" s="15" t="s">
        <v>65</v>
      </c>
      <c r="C813" s="15" t="s">
        <v>66</v>
      </c>
      <c r="D813" s="15" t="s">
        <v>67</v>
      </c>
      <c r="E813" s="16">
        <v>141.13999999999999</v>
      </c>
      <c r="F813" s="16">
        <v>142.11000000000001</v>
      </c>
      <c r="G813" s="16">
        <v>140.19999999999999</v>
      </c>
      <c r="H813" s="16">
        <v>140.52000000000001</v>
      </c>
      <c r="I813" s="17">
        <v>3174534</v>
      </c>
      <c r="J813" s="16">
        <v>35130000000</v>
      </c>
    </row>
    <row r="814" spans="1:10" x14ac:dyDescent="0.25">
      <c r="A814" s="8">
        <v>45887</v>
      </c>
      <c r="B814" s="9" t="s">
        <v>69</v>
      </c>
      <c r="C814" s="9" t="s">
        <v>70</v>
      </c>
      <c r="D814" s="9" t="s">
        <v>71</v>
      </c>
      <c r="E814" s="10">
        <v>585.53</v>
      </c>
      <c r="F814" s="10">
        <v>588.49</v>
      </c>
      <c r="G814" s="10">
        <v>581.38</v>
      </c>
      <c r="H814" s="10">
        <v>582.32000000000005</v>
      </c>
      <c r="I814" s="11">
        <v>438937</v>
      </c>
      <c r="J814" s="10">
        <v>465856000000</v>
      </c>
    </row>
    <row r="815" spans="1:10" x14ac:dyDescent="0.25">
      <c r="A815" s="14">
        <v>45887</v>
      </c>
      <c r="B815" s="15" t="s">
        <v>73</v>
      </c>
      <c r="C815" s="15" t="s">
        <v>74</v>
      </c>
      <c r="D815" s="15" t="s">
        <v>75</v>
      </c>
      <c r="E815" s="16">
        <v>119.81</v>
      </c>
      <c r="F815" s="16">
        <v>120.37</v>
      </c>
      <c r="G815" s="16">
        <v>118</v>
      </c>
      <c r="H815" s="16">
        <v>119.2</v>
      </c>
      <c r="I815" s="17">
        <v>3821495</v>
      </c>
      <c r="J815" s="16">
        <v>26224000000</v>
      </c>
    </row>
    <row r="816" spans="1:10" x14ac:dyDescent="0.25">
      <c r="A816" s="8">
        <v>45887</v>
      </c>
      <c r="B816" s="9" t="s">
        <v>76</v>
      </c>
      <c r="C816" s="9" t="s">
        <v>77</v>
      </c>
      <c r="D816" s="9" t="s">
        <v>75</v>
      </c>
      <c r="E816" s="10">
        <v>110.59</v>
      </c>
      <c r="F816" s="10">
        <v>111.66</v>
      </c>
      <c r="G816" s="10">
        <v>109.75</v>
      </c>
      <c r="H816" s="10">
        <v>110.9</v>
      </c>
      <c r="I816" s="11">
        <v>4757957</v>
      </c>
      <c r="J816" s="10">
        <v>22180000000</v>
      </c>
    </row>
    <row r="817" spans="1:10" x14ac:dyDescent="0.25">
      <c r="A817" s="14">
        <v>45888</v>
      </c>
      <c r="B817" s="15" t="s">
        <v>60</v>
      </c>
      <c r="C817" s="15" t="s">
        <v>61</v>
      </c>
      <c r="D817" s="15" t="s">
        <v>62</v>
      </c>
      <c r="E817" s="16">
        <v>4287.13</v>
      </c>
      <c r="F817" s="16">
        <v>4304.28</v>
      </c>
      <c r="G817" s="16">
        <v>4286.7700000000004</v>
      </c>
      <c r="H817" s="16">
        <v>4295.21</v>
      </c>
      <c r="I817" s="17">
        <v>1393277</v>
      </c>
      <c r="J817" s="16">
        <v>6013294000000</v>
      </c>
    </row>
    <row r="818" spans="1:10" x14ac:dyDescent="0.25">
      <c r="A818" s="8">
        <v>45888</v>
      </c>
      <c r="B818" s="9" t="s">
        <v>65</v>
      </c>
      <c r="C818" s="9" t="s">
        <v>66</v>
      </c>
      <c r="D818" s="9" t="s">
        <v>67</v>
      </c>
      <c r="E818" s="10">
        <v>142.69</v>
      </c>
      <c r="F818" s="10">
        <v>143.51</v>
      </c>
      <c r="G818" s="10">
        <v>140</v>
      </c>
      <c r="H818" s="10">
        <v>142.38</v>
      </c>
      <c r="I818" s="11">
        <v>3919657</v>
      </c>
      <c r="J818" s="10">
        <v>35595000000</v>
      </c>
    </row>
    <row r="819" spans="1:10" x14ac:dyDescent="0.25">
      <c r="A819" s="14">
        <v>45888</v>
      </c>
      <c r="B819" s="15" t="s">
        <v>69</v>
      </c>
      <c r="C819" s="15" t="s">
        <v>70</v>
      </c>
      <c r="D819" s="15" t="s">
        <v>71</v>
      </c>
      <c r="E819" s="16">
        <v>582.59</v>
      </c>
      <c r="F819" s="16">
        <v>587.03</v>
      </c>
      <c r="G819" s="16">
        <v>581.97</v>
      </c>
      <c r="H819" s="16">
        <v>582.19000000000005</v>
      </c>
      <c r="I819" s="17">
        <v>4744423</v>
      </c>
      <c r="J819" s="16">
        <v>465752000000</v>
      </c>
    </row>
    <row r="820" spans="1:10" x14ac:dyDescent="0.25">
      <c r="A820" s="8">
        <v>45888</v>
      </c>
      <c r="B820" s="9" t="s">
        <v>73</v>
      </c>
      <c r="C820" s="9" t="s">
        <v>74</v>
      </c>
      <c r="D820" s="9" t="s">
        <v>75</v>
      </c>
      <c r="E820" s="10">
        <v>115.42</v>
      </c>
      <c r="F820" s="10">
        <v>116.36</v>
      </c>
      <c r="G820" s="10">
        <v>113.85</v>
      </c>
      <c r="H820" s="10">
        <v>114.73</v>
      </c>
      <c r="I820" s="11">
        <v>1119708</v>
      </c>
      <c r="J820" s="10">
        <v>25240600000</v>
      </c>
    </row>
    <row r="821" spans="1:10" x14ac:dyDescent="0.25">
      <c r="A821" s="14">
        <v>45888</v>
      </c>
      <c r="B821" s="15" t="s">
        <v>76</v>
      </c>
      <c r="C821" s="15" t="s">
        <v>77</v>
      </c>
      <c r="D821" s="15" t="s">
        <v>75</v>
      </c>
      <c r="E821" s="16">
        <v>111.24</v>
      </c>
      <c r="F821" s="16">
        <v>111.85</v>
      </c>
      <c r="G821" s="16">
        <v>110.93</v>
      </c>
      <c r="H821" s="16">
        <v>111.63</v>
      </c>
      <c r="I821" s="17">
        <v>1003112</v>
      </c>
      <c r="J821" s="16">
        <v>22326000000</v>
      </c>
    </row>
    <row r="822" spans="1:10" x14ac:dyDescent="0.25">
      <c r="A822" s="8">
        <v>45889</v>
      </c>
      <c r="B822" s="9" t="s">
        <v>60</v>
      </c>
      <c r="C822" s="9" t="s">
        <v>61</v>
      </c>
      <c r="D822" s="9" t="s">
        <v>62</v>
      </c>
      <c r="E822" s="10">
        <v>4268.71</v>
      </c>
      <c r="F822" s="10">
        <v>4337.07</v>
      </c>
      <c r="G822" s="10">
        <v>4250.1499999999996</v>
      </c>
      <c r="H822" s="10">
        <v>4311.79</v>
      </c>
      <c r="I822" s="11">
        <v>359677</v>
      </c>
      <c r="J822" s="10">
        <v>6036506000000</v>
      </c>
    </row>
    <row r="823" spans="1:10" x14ac:dyDescent="0.25">
      <c r="A823" s="14">
        <v>45889</v>
      </c>
      <c r="B823" s="15" t="s">
        <v>65</v>
      </c>
      <c r="C823" s="15" t="s">
        <v>66</v>
      </c>
      <c r="D823" s="15" t="s">
        <v>67</v>
      </c>
      <c r="E823" s="16">
        <v>143.16</v>
      </c>
      <c r="F823" s="16">
        <v>143.66999999999999</v>
      </c>
      <c r="G823" s="16">
        <v>142.88999999999999</v>
      </c>
      <c r="H823" s="16">
        <v>142.9</v>
      </c>
      <c r="I823" s="17">
        <v>2023176</v>
      </c>
      <c r="J823" s="16">
        <v>35725000000</v>
      </c>
    </row>
    <row r="824" spans="1:10" x14ac:dyDescent="0.25">
      <c r="A824" s="8">
        <v>45889</v>
      </c>
      <c r="B824" s="9" t="s">
        <v>69</v>
      </c>
      <c r="C824" s="9" t="s">
        <v>70</v>
      </c>
      <c r="D824" s="9" t="s">
        <v>71</v>
      </c>
      <c r="E824" s="10">
        <v>579.41</v>
      </c>
      <c r="F824" s="10">
        <v>583.14</v>
      </c>
      <c r="G824" s="10">
        <v>577.66999999999996</v>
      </c>
      <c r="H824" s="10">
        <v>581.23</v>
      </c>
      <c r="I824" s="11">
        <v>2427625</v>
      </c>
      <c r="J824" s="10">
        <v>464984000000</v>
      </c>
    </row>
    <row r="825" spans="1:10" x14ac:dyDescent="0.25">
      <c r="A825" s="14">
        <v>45889</v>
      </c>
      <c r="B825" s="15" t="s">
        <v>73</v>
      </c>
      <c r="C825" s="15" t="s">
        <v>74</v>
      </c>
      <c r="D825" s="15" t="s">
        <v>75</v>
      </c>
      <c r="E825" s="16">
        <v>115.51</v>
      </c>
      <c r="F825" s="16">
        <v>115.59</v>
      </c>
      <c r="G825" s="16">
        <v>114.37</v>
      </c>
      <c r="H825" s="16">
        <v>115.06</v>
      </c>
      <c r="I825" s="17">
        <v>2611569</v>
      </c>
      <c r="J825" s="16">
        <v>25313200000</v>
      </c>
    </row>
    <row r="826" spans="1:10" x14ac:dyDescent="0.25">
      <c r="A826" s="8">
        <v>45889</v>
      </c>
      <c r="B826" s="9" t="s">
        <v>76</v>
      </c>
      <c r="C826" s="9" t="s">
        <v>77</v>
      </c>
      <c r="D826" s="9" t="s">
        <v>75</v>
      </c>
      <c r="E826" s="10">
        <v>113.34</v>
      </c>
      <c r="F826" s="10">
        <v>113.39</v>
      </c>
      <c r="G826" s="10">
        <v>113.01</v>
      </c>
      <c r="H826" s="10">
        <v>113.22</v>
      </c>
      <c r="I826" s="11">
        <v>1799208</v>
      </c>
      <c r="J826" s="10">
        <v>22644000000</v>
      </c>
    </row>
    <row r="827" spans="1:10" x14ac:dyDescent="0.25">
      <c r="A827" s="14">
        <v>45890</v>
      </c>
      <c r="B827" s="15" t="s">
        <v>60</v>
      </c>
      <c r="C827" s="15" t="s">
        <v>61</v>
      </c>
      <c r="D827" s="15" t="s">
        <v>62</v>
      </c>
      <c r="E827" s="16">
        <v>4391.18</v>
      </c>
      <c r="F827" s="16">
        <v>4421.82</v>
      </c>
      <c r="G827" s="16">
        <v>4358.6400000000003</v>
      </c>
      <c r="H827" s="16">
        <v>4374.67</v>
      </c>
      <c r="I827" s="17">
        <v>2872392</v>
      </c>
      <c r="J827" s="16">
        <v>6124538000000</v>
      </c>
    </row>
    <row r="828" spans="1:10" x14ac:dyDescent="0.25">
      <c r="A828" s="8">
        <v>45890</v>
      </c>
      <c r="B828" s="9" t="s">
        <v>65</v>
      </c>
      <c r="C828" s="9" t="s">
        <v>66</v>
      </c>
      <c r="D828" s="9" t="s">
        <v>67</v>
      </c>
      <c r="E828" s="10">
        <v>139.66</v>
      </c>
      <c r="F828" s="10">
        <v>140.56</v>
      </c>
      <c r="G828" s="10">
        <v>139.16999999999999</v>
      </c>
      <c r="H828" s="10">
        <v>140.37</v>
      </c>
      <c r="I828" s="11">
        <v>1298963</v>
      </c>
      <c r="J828" s="10">
        <v>35092500000</v>
      </c>
    </row>
    <row r="829" spans="1:10" x14ac:dyDescent="0.25">
      <c r="A829" s="14">
        <v>45890</v>
      </c>
      <c r="B829" s="15" t="s">
        <v>69</v>
      </c>
      <c r="C829" s="15" t="s">
        <v>70</v>
      </c>
      <c r="D829" s="15" t="s">
        <v>71</v>
      </c>
      <c r="E829" s="16">
        <v>584.17999999999995</v>
      </c>
      <c r="F829" s="16">
        <v>584.25</v>
      </c>
      <c r="G829" s="16">
        <v>579.1</v>
      </c>
      <c r="H829" s="16">
        <v>582.70000000000005</v>
      </c>
      <c r="I829" s="17">
        <v>1657235</v>
      </c>
      <c r="J829" s="16">
        <v>466160000000</v>
      </c>
    </row>
    <row r="830" spans="1:10" x14ac:dyDescent="0.25">
      <c r="A830" s="8">
        <v>45890</v>
      </c>
      <c r="B830" s="9" t="s">
        <v>73</v>
      </c>
      <c r="C830" s="9" t="s">
        <v>74</v>
      </c>
      <c r="D830" s="9" t="s">
        <v>75</v>
      </c>
      <c r="E830" s="10">
        <v>116.74</v>
      </c>
      <c r="F830" s="10">
        <v>117.4</v>
      </c>
      <c r="G830" s="10">
        <v>116.36</v>
      </c>
      <c r="H830" s="10">
        <v>117</v>
      </c>
      <c r="I830" s="11">
        <v>736650</v>
      </c>
      <c r="J830" s="10">
        <v>25740000000</v>
      </c>
    </row>
    <row r="831" spans="1:10" x14ac:dyDescent="0.25">
      <c r="A831" s="14">
        <v>45890</v>
      </c>
      <c r="B831" s="15" t="s">
        <v>76</v>
      </c>
      <c r="C831" s="15" t="s">
        <v>77</v>
      </c>
      <c r="D831" s="15" t="s">
        <v>75</v>
      </c>
      <c r="E831" s="16">
        <v>110.27</v>
      </c>
      <c r="F831" s="16">
        <v>111.48</v>
      </c>
      <c r="G831" s="16">
        <v>108.34</v>
      </c>
      <c r="H831" s="16">
        <v>108.36</v>
      </c>
      <c r="I831" s="17">
        <v>1064106</v>
      </c>
      <c r="J831" s="16">
        <v>21672000000</v>
      </c>
    </row>
    <row r="832" spans="1:10" x14ac:dyDescent="0.25">
      <c r="A832" s="8">
        <v>45891</v>
      </c>
      <c r="B832" s="9" t="s">
        <v>60</v>
      </c>
      <c r="C832" s="9" t="s">
        <v>61</v>
      </c>
      <c r="D832" s="9" t="s">
        <v>62</v>
      </c>
      <c r="E832" s="10">
        <v>4408.47</v>
      </c>
      <c r="F832" s="10">
        <v>4444.16</v>
      </c>
      <c r="G832" s="10">
        <v>4396.2299999999996</v>
      </c>
      <c r="H832" s="10">
        <v>4408.84</v>
      </c>
      <c r="I832" s="11">
        <v>3410790</v>
      </c>
      <c r="J832" s="10">
        <v>6172376000000</v>
      </c>
    </row>
    <row r="833" spans="1:10" x14ac:dyDescent="0.25">
      <c r="A833" s="14">
        <v>45891</v>
      </c>
      <c r="B833" s="15" t="s">
        <v>65</v>
      </c>
      <c r="C833" s="15" t="s">
        <v>66</v>
      </c>
      <c r="D833" s="15" t="s">
        <v>67</v>
      </c>
      <c r="E833" s="16">
        <v>139.87</v>
      </c>
      <c r="F833" s="16">
        <v>140.13999999999999</v>
      </c>
      <c r="G833" s="16">
        <v>139.72</v>
      </c>
      <c r="H833" s="16">
        <v>139.88</v>
      </c>
      <c r="I833" s="17">
        <v>3660852</v>
      </c>
      <c r="J833" s="16">
        <v>34970000000</v>
      </c>
    </row>
    <row r="834" spans="1:10" x14ac:dyDescent="0.25">
      <c r="A834" s="8">
        <v>45891</v>
      </c>
      <c r="B834" s="9" t="s">
        <v>69</v>
      </c>
      <c r="C834" s="9" t="s">
        <v>70</v>
      </c>
      <c r="D834" s="9" t="s">
        <v>71</v>
      </c>
      <c r="E834" s="10">
        <v>574.82000000000005</v>
      </c>
      <c r="F834" s="10">
        <v>578.48</v>
      </c>
      <c r="G834" s="10">
        <v>573.34</v>
      </c>
      <c r="H834" s="10">
        <v>578.20000000000005</v>
      </c>
      <c r="I834" s="11">
        <v>1770280</v>
      </c>
      <c r="J834" s="10">
        <v>462560000000</v>
      </c>
    </row>
    <row r="835" spans="1:10" x14ac:dyDescent="0.25">
      <c r="A835" s="14">
        <v>45891</v>
      </c>
      <c r="B835" s="15" t="s">
        <v>73</v>
      </c>
      <c r="C835" s="15" t="s">
        <v>74</v>
      </c>
      <c r="D835" s="15" t="s">
        <v>75</v>
      </c>
      <c r="E835" s="16">
        <v>114.72</v>
      </c>
      <c r="F835" s="16">
        <v>115.35</v>
      </c>
      <c r="G835" s="16">
        <v>113.96</v>
      </c>
      <c r="H835" s="16">
        <v>114.24</v>
      </c>
      <c r="I835" s="17">
        <v>4646584</v>
      </c>
      <c r="J835" s="16">
        <v>25132800000</v>
      </c>
    </row>
    <row r="836" spans="1:10" x14ac:dyDescent="0.25">
      <c r="A836" s="8">
        <v>45891</v>
      </c>
      <c r="B836" s="9" t="s">
        <v>76</v>
      </c>
      <c r="C836" s="9" t="s">
        <v>77</v>
      </c>
      <c r="D836" s="9" t="s">
        <v>75</v>
      </c>
      <c r="E836" s="10">
        <v>108.29</v>
      </c>
      <c r="F836" s="10">
        <v>108.51</v>
      </c>
      <c r="G836" s="10">
        <v>107.44</v>
      </c>
      <c r="H836" s="10">
        <v>107.69</v>
      </c>
      <c r="I836" s="11">
        <v>1721725</v>
      </c>
      <c r="J836" s="10">
        <v>21538000000</v>
      </c>
    </row>
    <row r="837" spans="1:10" x14ac:dyDescent="0.25">
      <c r="A837" s="14">
        <v>45894</v>
      </c>
      <c r="B837" s="15" t="s">
        <v>60</v>
      </c>
      <c r="C837" s="15" t="s">
        <v>61</v>
      </c>
      <c r="D837" s="15" t="s">
        <v>62</v>
      </c>
      <c r="E837" s="16">
        <v>4363.1000000000004</v>
      </c>
      <c r="F837" s="16">
        <v>4378.24</v>
      </c>
      <c r="G837" s="16">
        <v>4333.82</v>
      </c>
      <c r="H837" s="16">
        <v>4362.92</v>
      </c>
      <c r="I837" s="17">
        <v>1620742</v>
      </c>
      <c r="J837" s="16">
        <v>6108088000000</v>
      </c>
    </row>
    <row r="838" spans="1:10" x14ac:dyDescent="0.25">
      <c r="A838" s="8">
        <v>45894</v>
      </c>
      <c r="B838" s="9" t="s">
        <v>65</v>
      </c>
      <c r="C838" s="9" t="s">
        <v>66</v>
      </c>
      <c r="D838" s="9" t="s">
        <v>67</v>
      </c>
      <c r="E838" s="10">
        <v>141.35</v>
      </c>
      <c r="F838" s="10">
        <v>141.82</v>
      </c>
      <c r="G838" s="10">
        <v>139.99</v>
      </c>
      <c r="H838" s="10">
        <v>140.72999999999999</v>
      </c>
      <c r="I838" s="11">
        <v>1980325</v>
      </c>
      <c r="J838" s="10">
        <v>35182500000</v>
      </c>
    </row>
    <row r="839" spans="1:10" x14ac:dyDescent="0.25">
      <c r="A839" s="14">
        <v>45894</v>
      </c>
      <c r="B839" s="15" t="s">
        <v>69</v>
      </c>
      <c r="C839" s="15" t="s">
        <v>70</v>
      </c>
      <c r="D839" s="15" t="s">
        <v>71</v>
      </c>
      <c r="E839" s="16">
        <v>585.94000000000005</v>
      </c>
      <c r="F839" s="16">
        <v>593.54999999999995</v>
      </c>
      <c r="G839" s="16">
        <v>585.09</v>
      </c>
      <c r="H839" s="16">
        <v>585.66999999999996</v>
      </c>
      <c r="I839" s="17">
        <v>1056366</v>
      </c>
      <c r="J839" s="16">
        <v>468536000000</v>
      </c>
    </row>
    <row r="840" spans="1:10" x14ac:dyDescent="0.25">
      <c r="A840" s="8">
        <v>45894</v>
      </c>
      <c r="B840" s="9" t="s">
        <v>73</v>
      </c>
      <c r="C840" s="9" t="s">
        <v>74</v>
      </c>
      <c r="D840" s="9" t="s">
        <v>75</v>
      </c>
      <c r="E840" s="10">
        <v>111.64</v>
      </c>
      <c r="F840" s="10">
        <v>112.08</v>
      </c>
      <c r="G840" s="10">
        <v>110.54</v>
      </c>
      <c r="H840" s="10">
        <v>111.08</v>
      </c>
      <c r="I840" s="11">
        <v>2619515</v>
      </c>
      <c r="J840" s="10">
        <v>24437600000</v>
      </c>
    </row>
    <row r="841" spans="1:10" x14ac:dyDescent="0.25">
      <c r="A841" s="14">
        <v>45894</v>
      </c>
      <c r="B841" s="15" t="s">
        <v>76</v>
      </c>
      <c r="C841" s="15" t="s">
        <v>77</v>
      </c>
      <c r="D841" s="15" t="s">
        <v>75</v>
      </c>
      <c r="E841" s="16">
        <v>106.94</v>
      </c>
      <c r="F841" s="16">
        <v>107.27</v>
      </c>
      <c r="G841" s="16">
        <v>104.77</v>
      </c>
      <c r="H841" s="16">
        <v>105.91</v>
      </c>
      <c r="I841" s="17">
        <v>3688632</v>
      </c>
      <c r="J841" s="16">
        <v>21182000000</v>
      </c>
    </row>
    <row r="842" spans="1:10" x14ac:dyDescent="0.25">
      <c r="A842" s="8">
        <v>45895</v>
      </c>
      <c r="B842" s="9" t="s">
        <v>60</v>
      </c>
      <c r="C842" s="9" t="s">
        <v>61</v>
      </c>
      <c r="D842" s="9" t="s">
        <v>62</v>
      </c>
      <c r="E842" s="10">
        <v>4318.42</v>
      </c>
      <c r="F842" s="10">
        <v>4330.6099999999997</v>
      </c>
      <c r="G842" s="10">
        <v>4304.74</v>
      </c>
      <c r="H842" s="10">
        <v>4306.6099999999997</v>
      </c>
      <c r="I842" s="11">
        <v>2768363</v>
      </c>
      <c r="J842" s="10">
        <v>6029254000000</v>
      </c>
    </row>
    <row r="843" spans="1:10" x14ac:dyDescent="0.25">
      <c r="A843" s="14">
        <v>45895</v>
      </c>
      <c r="B843" s="15" t="s">
        <v>65</v>
      </c>
      <c r="C843" s="15" t="s">
        <v>66</v>
      </c>
      <c r="D843" s="15" t="s">
        <v>67</v>
      </c>
      <c r="E843" s="16">
        <v>141.31</v>
      </c>
      <c r="F843" s="16">
        <v>141.61000000000001</v>
      </c>
      <c r="G843" s="16">
        <v>140.83000000000001</v>
      </c>
      <c r="H843" s="16">
        <v>141.22999999999999</v>
      </c>
      <c r="I843" s="17">
        <v>2461688</v>
      </c>
      <c r="J843" s="16">
        <v>35307500000</v>
      </c>
    </row>
    <row r="844" spans="1:10" x14ac:dyDescent="0.25">
      <c r="A844" s="8">
        <v>45895</v>
      </c>
      <c r="B844" s="9" t="s">
        <v>69</v>
      </c>
      <c r="C844" s="9" t="s">
        <v>70</v>
      </c>
      <c r="D844" s="9" t="s">
        <v>71</v>
      </c>
      <c r="E844" s="10">
        <v>597.24</v>
      </c>
      <c r="F844" s="10">
        <v>603.38</v>
      </c>
      <c r="G844" s="10">
        <v>590.67999999999995</v>
      </c>
      <c r="H844" s="10">
        <v>602.95000000000005</v>
      </c>
      <c r="I844" s="11">
        <v>4356981</v>
      </c>
      <c r="J844" s="10">
        <v>482360000000</v>
      </c>
    </row>
    <row r="845" spans="1:10" x14ac:dyDescent="0.25">
      <c r="A845" s="14">
        <v>45895</v>
      </c>
      <c r="B845" s="15" t="s">
        <v>73</v>
      </c>
      <c r="C845" s="15" t="s">
        <v>74</v>
      </c>
      <c r="D845" s="15" t="s">
        <v>75</v>
      </c>
      <c r="E845" s="16">
        <v>109.94</v>
      </c>
      <c r="F845" s="16">
        <v>110.13</v>
      </c>
      <c r="G845" s="16">
        <v>108.47</v>
      </c>
      <c r="H845" s="16">
        <v>110.07</v>
      </c>
      <c r="I845" s="17">
        <v>4149099</v>
      </c>
      <c r="J845" s="16">
        <v>24215400000</v>
      </c>
    </row>
    <row r="846" spans="1:10" x14ac:dyDescent="0.25">
      <c r="A846" s="8">
        <v>45895</v>
      </c>
      <c r="B846" s="9" t="s">
        <v>76</v>
      </c>
      <c r="C846" s="9" t="s">
        <v>77</v>
      </c>
      <c r="D846" s="9" t="s">
        <v>75</v>
      </c>
      <c r="E846" s="10">
        <v>104.52</v>
      </c>
      <c r="F846" s="10">
        <v>106.14</v>
      </c>
      <c r="G846" s="10">
        <v>103.9</v>
      </c>
      <c r="H846" s="10">
        <v>104.48</v>
      </c>
      <c r="I846" s="11">
        <v>3510095</v>
      </c>
      <c r="J846" s="10">
        <v>20896000000</v>
      </c>
    </row>
    <row r="847" spans="1:10" x14ac:dyDescent="0.25">
      <c r="A847" s="14">
        <v>45896</v>
      </c>
      <c r="B847" s="15" t="s">
        <v>60</v>
      </c>
      <c r="C847" s="15" t="s">
        <v>61</v>
      </c>
      <c r="D847" s="15" t="s">
        <v>62</v>
      </c>
      <c r="E847" s="16">
        <v>4250.99</v>
      </c>
      <c r="F847" s="16">
        <v>4323.8500000000004</v>
      </c>
      <c r="G847" s="16">
        <v>4169.7299999999996</v>
      </c>
      <c r="H847" s="16">
        <v>4274.0600000000004</v>
      </c>
      <c r="I847" s="17">
        <v>2228793</v>
      </c>
      <c r="J847" s="16">
        <v>5983684000000</v>
      </c>
    </row>
    <row r="848" spans="1:10" x14ac:dyDescent="0.25">
      <c r="A848" s="8">
        <v>45896</v>
      </c>
      <c r="B848" s="9" t="s">
        <v>65</v>
      </c>
      <c r="C848" s="9" t="s">
        <v>66</v>
      </c>
      <c r="D848" s="9" t="s">
        <v>67</v>
      </c>
      <c r="E848" s="10">
        <v>141.94</v>
      </c>
      <c r="F848" s="10">
        <v>143.05000000000001</v>
      </c>
      <c r="G848" s="10">
        <v>141.09</v>
      </c>
      <c r="H848" s="10">
        <v>142.46</v>
      </c>
      <c r="I848" s="11">
        <v>2509137</v>
      </c>
      <c r="J848" s="10">
        <v>35615000000</v>
      </c>
    </row>
    <row r="849" spans="1:10" x14ac:dyDescent="0.25">
      <c r="A849" s="14">
        <v>45896</v>
      </c>
      <c r="B849" s="15" t="s">
        <v>69</v>
      </c>
      <c r="C849" s="15" t="s">
        <v>70</v>
      </c>
      <c r="D849" s="15" t="s">
        <v>71</v>
      </c>
      <c r="E849" s="16">
        <v>612</v>
      </c>
      <c r="F849" s="16">
        <v>612.02</v>
      </c>
      <c r="G849" s="16">
        <v>609.84</v>
      </c>
      <c r="H849" s="16">
        <v>611.30999999999995</v>
      </c>
      <c r="I849" s="17">
        <v>3168844</v>
      </c>
      <c r="J849" s="16">
        <v>489048000000</v>
      </c>
    </row>
    <row r="850" spans="1:10" x14ac:dyDescent="0.25">
      <c r="A850" s="8">
        <v>45896</v>
      </c>
      <c r="B850" s="9" t="s">
        <v>73</v>
      </c>
      <c r="C850" s="9" t="s">
        <v>74</v>
      </c>
      <c r="D850" s="9" t="s">
        <v>75</v>
      </c>
      <c r="E850" s="10">
        <v>113.49</v>
      </c>
      <c r="F850" s="10">
        <v>114.46</v>
      </c>
      <c r="G850" s="10">
        <v>112.65</v>
      </c>
      <c r="H850" s="10">
        <v>114.27</v>
      </c>
      <c r="I850" s="11">
        <v>2557171</v>
      </c>
      <c r="J850" s="10">
        <v>25139400000</v>
      </c>
    </row>
    <row r="851" spans="1:10" x14ac:dyDescent="0.25">
      <c r="A851" s="14">
        <v>45896</v>
      </c>
      <c r="B851" s="15" t="s">
        <v>76</v>
      </c>
      <c r="C851" s="15" t="s">
        <v>77</v>
      </c>
      <c r="D851" s="15" t="s">
        <v>75</v>
      </c>
      <c r="E851" s="16">
        <v>104.72</v>
      </c>
      <c r="F851" s="16">
        <v>105.29</v>
      </c>
      <c r="G851" s="16">
        <v>103.45</v>
      </c>
      <c r="H851" s="16">
        <v>105.16</v>
      </c>
      <c r="I851" s="17">
        <v>1895240</v>
      </c>
      <c r="J851" s="16">
        <v>21032000000</v>
      </c>
    </row>
    <row r="852" spans="1:10" x14ac:dyDescent="0.25">
      <c r="A852" s="8">
        <v>45897</v>
      </c>
      <c r="B852" s="9" t="s">
        <v>60</v>
      </c>
      <c r="C852" s="9" t="s">
        <v>61</v>
      </c>
      <c r="D852" s="9" t="s">
        <v>62</v>
      </c>
      <c r="E852" s="10">
        <v>4232.13</v>
      </c>
      <c r="F852" s="10">
        <v>4232.2700000000004</v>
      </c>
      <c r="G852" s="10">
        <v>4225.84</v>
      </c>
      <c r="H852" s="10">
        <v>4227.17</v>
      </c>
      <c r="I852" s="11">
        <v>2000929</v>
      </c>
      <c r="J852" s="10">
        <v>5918038000000</v>
      </c>
    </row>
    <row r="853" spans="1:10" x14ac:dyDescent="0.25">
      <c r="A853" s="14">
        <v>45897</v>
      </c>
      <c r="B853" s="15" t="s">
        <v>65</v>
      </c>
      <c r="C853" s="15" t="s">
        <v>66</v>
      </c>
      <c r="D853" s="15" t="s">
        <v>67</v>
      </c>
      <c r="E853" s="16">
        <v>138.16999999999999</v>
      </c>
      <c r="F853" s="16">
        <v>139.24</v>
      </c>
      <c r="G853" s="16">
        <v>136.36000000000001</v>
      </c>
      <c r="H853" s="16">
        <v>137.38999999999999</v>
      </c>
      <c r="I853" s="17">
        <v>1194974</v>
      </c>
      <c r="J853" s="16">
        <v>34347500000</v>
      </c>
    </row>
    <row r="854" spans="1:10" x14ac:dyDescent="0.25">
      <c r="A854" s="8">
        <v>45897</v>
      </c>
      <c r="B854" s="9" t="s">
        <v>69</v>
      </c>
      <c r="C854" s="9" t="s">
        <v>70</v>
      </c>
      <c r="D854" s="9" t="s">
        <v>71</v>
      </c>
      <c r="E854" s="10">
        <v>614.14</v>
      </c>
      <c r="F854" s="10">
        <v>615.5</v>
      </c>
      <c r="G854" s="10">
        <v>608.64</v>
      </c>
      <c r="H854" s="10">
        <v>608.69000000000005</v>
      </c>
      <c r="I854" s="11">
        <v>4842212</v>
      </c>
      <c r="J854" s="10">
        <v>486952000000</v>
      </c>
    </row>
    <row r="855" spans="1:10" x14ac:dyDescent="0.25">
      <c r="A855" s="14">
        <v>45897</v>
      </c>
      <c r="B855" s="15" t="s">
        <v>73</v>
      </c>
      <c r="C855" s="15" t="s">
        <v>74</v>
      </c>
      <c r="D855" s="15" t="s">
        <v>75</v>
      </c>
      <c r="E855" s="16">
        <v>113.75</v>
      </c>
      <c r="F855" s="16">
        <v>115.46</v>
      </c>
      <c r="G855" s="16">
        <v>113.29</v>
      </c>
      <c r="H855" s="16">
        <v>114.1</v>
      </c>
      <c r="I855" s="17">
        <v>2945908</v>
      </c>
      <c r="J855" s="16">
        <v>25102000000</v>
      </c>
    </row>
    <row r="856" spans="1:10" x14ac:dyDescent="0.25">
      <c r="A856" s="8">
        <v>45897</v>
      </c>
      <c r="B856" s="9" t="s">
        <v>76</v>
      </c>
      <c r="C856" s="9" t="s">
        <v>77</v>
      </c>
      <c r="D856" s="9" t="s">
        <v>75</v>
      </c>
      <c r="E856" s="10">
        <v>100.6</v>
      </c>
      <c r="F856" s="10">
        <v>100.71</v>
      </c>
      <c r="G856" s="10">
        <v>99.31</v>
      </c>
      <c r="H856" s="10">
        <v>100</v>
      </c>
      <c r="I856" s="11">
        <v>4587699</v>
      </c>
      <c r="J856" s="10">
        <v>20000000000</v>
      </c>
    </row>
    <row r="857" spans="1:10" x14ac:dyDescent="0.25">
      <c r="A857" s="14">
        <v>45898</v>
      </c>
      <c r="B857" s="15" t="s">
        <v>60</v>
      </c>
      <c r="C857" s="15" t="s">
        <v>61</v>
      </c>
      <c r="D857" s="15" t="s">
        <v>62</v>
      </c>
      <c r="E857" s="16">
        <v>4150.97</v>
      </c>
      <c r="F857" s="16">
        <v>4155.42</v>
      </c>
      <c r="G857" s="16">
        <v>4127.8599999999997</v>
      </c>
      <c r="H857" s="16">
        <v>4143.75</v>
      </c>
      <c r="I857" s="17">
        <v>754227</v>
      </c>
      <c r="J857" s="16">
        <v>5801250000000</v>
      </c>
    </row>
    <row r="858" spans="1:10" x14ac:dyDescent="0.25">
      <c r="A858" s="8">
        <v>45898</v>
      </c>
      <c r="B858" s="9" t="s">
        <v>65</v>
      </c>
      <c r="C858" s="9" t="s">
        <v>66</v>
      </c>
      <c r="D858" s="9" t="s">
        <v>67</v>
      </c>
      <c r="E858" s="10">
        <v>135.28</v>
      </c>
      <c r="F858" s="10">
        <v>135.46</v>
      </c>
      <c r="G858" s="10">
        <v>135.02000000000001</v>
      </c>
      <c r="H858" s="10">
        <v>135.16999999999999</v>
      </c>
      <c r="I858" s="11">
        <v>1766331</v>
      </c>
      <c r="J858" s="10">
        <v>33792500000</v>
      </c>
    </row>
    <row r="859" spans="1:10" x14ac:dyDescent="0.25">
      <c r="A859" s="14">
        <v>45898</v>
      </c>
      <c r="B859" s="15" t="s">
        <v>69</v>
      </c>
      <c r="C859" s="15" t="s">
        <v>70</v>
      </c>
      <c r="D859" s="15" t="s">
        <v>71</v>
      </c>
      <c r="E859" s="16">
        <v>607.94000000000005</v>
      </c>
      <c r="F859" s="16">
        <v>610.30999999999995</v>
      </c>
      <c r="G859" s="16">
        <v>607.29</v>
      </c>
      <c r="H859" s="16">
        <v>608.85</v>
      </c>
      <c r="I859" s="17">
        <v>2947874</v>
      </c>
      <c r="J859" s="16">
        <v>487080000000</v>
      </c>
    </row>
    <row r="860" spans="1:10" x14ac:dyDescent="0.25">
      <c r="A860" s="8">
        <v>45898</v>
      </c>
      <c r="B860" s="9" t="s">
        <v>73</v>
      </c>
      <c r="C860" s="9" t="s">
        <v>74</v>
      </c>
      <c r="D860" s="9" t="s">
        <v>75</v>
      </c>
      <c r="E860" s="10">
        <v>114.02</v>
      </c>
      <c r="F860" s="10">
        <v>114.15</v>
      </c>
      <c r="G860" s="10">
        <v>113.73</v>
      </c>
      <c r="H860" s="10">
        <v>113.87</v>
      </c>
      <c r="I860" s="11">
        <v>2478527</v>
      </c>
      <c r="J860" s="10">
        <v>25051400000</v>
      </c>
    </row>
    <row r="861" spans="1:10" x14ac:dyDescent="0.25">
      <c r="A861" s="14">
        <v>45898</v>
      </c>
      <c r="B861" s="15" t="s">
        <v>76</v>
      </c>
      <c r="C861" s="15" t="s">
        <v>77</v>
      </c>
      <c r="D861" s="15" t="s">
        <v>75</v>
      </c>
      <c r="E861" s="16">
        <v>101.94</v>
      </c>
      <c r="F861" s="16">
        <v>102.19</v>
      </c>
      <c r="G861" s="16">
        <v>101.35</v>
      </c>
      <c r="H861" s="16">
        <v>101.58</v>
      </c>
      <c r="I861" s="17">
        <v>3178101</v>
      </c>
      <c r="J861" s="16">
        <v>20316000000</v>
      </c>
    </row>
    <row r="862" spans="1:10" x14ac:dyDescent="0.25">
      <c r="A862" s="8">
        <v>45901</v>
      </c>
      <c r="B862" s="9" t="s">
        <v>60</v>
      </c>
      <c r="C862" s="9" t="s">
        <v>61</v>
      </c>
      <c r="D862" s="9" t="s">
        <v>62</v>
      </c>
      <c r="E862" s="10">
        <v>4095.95</v>
      </c>
      <c r="F862" s="10">
        <v>4124.6899999999996</v>
      </c>
      <c r="G862" s="10">
        <v>4083.46</v>
      </c>
      <c r="H862" s="10">
        <v>4098.8100000000004</v>
      </c>
      <c r="I862" s="11">
        <v>3660414</v>
      </c>
      <c r="J862" s="10">
        <v>5738334000000</v>
      </c>
    </row>
    <row r="863" spans="1:10" x14ac:dyDescent="0.25">
      <c r="A863" s="14">
        <v>45901</v>
      </c>
      <c r="B863" s="15" t="s">
        <v>65</v>
      </c>
      <c r="C863" s="15" t="s">
        <v>66</v>
      </c>
      <c r="D863" s="15" t="s">
        <v>67</v>
      </c>
      <c r="E863" s="16">
        <v>138.25</v>
      </c>
      <c r="F863" s="16">
        <v>138.38</v>
      </c>
      <c r="G863" s="16">
        <v>137.57</v>
      </c>
      <c r="H863" s="16">
        <v>137.68</v>
      </c>
      <c r="I863" s="17">
        <v>2217356</v>
      </c>
      <c r="J863" s="16">
        <v>34420000000</v>
      </c>
    </row>
    <row r="864" spans="1:10" x14ac:dyDescent="0.25">
      <c r="A864" s="8">
        <v>45901</v>
      </c>
      <c r="B864" s="9" t="s">
        <v>69</v>
      </c>
      <c r="C864" s="9" t="s">
        <v>70</v>
      </c>
      <c r="D864" s="9" t="s">
        <v>71</v>
      </c>
      <c r="E864" s="10">
        <v>614.70000000000005</v>
      </c>
      <c r="F864" s="10">
        <v>621.92999999999995</v>
      </c>
      <c r="G864" s="10">
        <v>612.61</v>
      </c>
      <c r="H864" s="10">
        <v>620.59</v>
      </c>
      <c r="I864" s="11">
        <v>1944697</v>
      </c>
      <c r="J864" s="10">
        <v>496472000000</v>
      </c>
    </row>
    <row r="865" spans="1:10" x14ac:dyDescent="0.25">
      <c r="A865" s="14">
        <v>45901</v>
      </c>
      <c r="B865" s="15" t="s">
        <v>73</v>
      </c>
      <c r="C865" s="15" t="s">
        <v>74</v>
      </c>
      <c r="D865" s="15" t="s">
        <v>75</v>
      </c>
      <c r="E865" s="16">
        <v>111.84</v>
      </c>
      <c r="F865" s="16">
        <v>113.22</v>
      </c>
      <c r="G865" s="16">
        <v>110.04</v>
      </c>
      <c r="H865" s="16">
        <v>110.52</v>
      </c>
      <c r="I865" s="17">
        <v>381724</v>
      </c>
      <c r="J865" s="16">
        <v>24314400000</v>
      </c>
    </row>
    <row r="866" spans="1:10" x14ac:dyDescent="0.25">
      <c r="A866" s="8">
        <v>45901</v>
      </c>
      <c r="B866" s="9" t="s">
        <v>76</v>
      </c>
      <c r="C866" s="9" t="s">
        <v>77</v>
      </c>
      <c r="D866" s="9" t="s">
        <v>75</v>
      </c>
      <c r="E866" s="10">
        <v>102.4</v>
      </c>
      <c r="F866" s="10">
        <v>103.26</v>
      </c>
      <c r="G866" s="10">
        <v>100.81</v>
      </c>
      <c r="H866" s="10">
        <v>102.08</v>
      </c>
      <c r="I866" s="11">
        <v>2948512</v>
      </c>
      <c r="J866" s="10">
        <v>20416000000</v>
      </c>
    </row>
    <row r="867" spans="1:10" x14ac:dyDescent="0.25">
      <c r="A867" s="14">
        <v>45902</v>
      </c>
      <c r="B867" s="15" t="s">
        <v>60</v>
      </c>
      <c r="C867" s="15" t="s">
        <v>61</v>
      </c>
      <c r="D867" s="15" t="s">
        <v>62</v>
      </c>
      <c r="E867" s="16">
        <v>4096.29</v>
      </c>
      <c r="F867" s="16">
        <v>4109.3100000000004</v>
      </c>
      <c r="G867" s="16">
        <v>4056.24</v>
      </c>
      <c r="H867" s="16">
        <v>4086.37</v>
      </c>
      <c r="I867" s="17">
        <v>3642037</v>
      </c>
      <c r="J867" s="16">
        <v>5720918000000</v>
      </c>
    </row>
    <row r="868" spans="1:10" x14ac:dyDescent="0.25">
      <c r="A868" s="8">
        <v>45902</v>
      </c>
      <c r="B868" s="9" t="s">
        <v>65</v>
      </c>
      <c r="C868" s="9" t="s">
        <v>66</v>
      </c>
      <c r="D868" s="9" t="s">
        <v>67</v>
      </c>
      <c r="E868" s="10">
        <v>138.71</v>
      </c>
      <c r="F868" s="10">
        <v>139.1</v>
      </c>
      <c r="G868" s="10">
        <v>138.53</v>
      </c>
      <c r="H868" s="10">
        <v>139.01</v>
      </c>
      <c r="I868" s="11">
        <v>1107838</v>
      </c>
      <c r="J868" s="10">
        <v>34752500000</v>
      </c>
    </row>
    <row r="869" spans="1:10" x14ac:dyDescent="0.25">
      <c r="A869" s="14">
        <v>45902</v>
      </c>
      <c r="B869" s="15" t="s">
        <v>69</v>
      </c>
      <c r="C869" s="15" t="s">
        <v>70</v>
      </c>
      <c r="D869" s="15" t="s">
        <v>71</v>
      </c>
      <c r="E869" s="16">
        <v>627.67999999999995</v>
      </c>
      <c r="F869" s="16">
        <v>631.99</v>
      </c>
      <c r="G869" s="16">
        <v>626.28</v>
      </c>
      <c r="H869" s="16">
        <v>628.34</v>
      </c>
      <c r="I869" s="17">
        <v>4976577</v>
      </c>
      <c r="J869" s="16">
        <v>502672000000</v>
      </c>
    </row>
    <row r="870" spans="1:10" x14ac:dyDescent="0.25">
      <c r="A870" s="8">
        <v>45902</v>
      </c>
      <c r="B870" s="9" t="s">
        <v>73</v>
      </c>
      <c r="C870" s="9" t="s">
        <v>74</v>
      </c>
      <c r="D870" s="9" t="s">
        <v>75</v>
      </c>
      <c r="E870" s="10">
        <v>111.71</v>
      </c>
      <c r="F870" s="10">
        <v>112</v>
      </c>
      <c r="G870" s="10">
        <v>111.26</v>
      </c>
      <c r="H870" s="10">
        <v>111.9</v>
      </c>
      <c r="I870" s="11">
        <v>1968981</v>
      </c>
      <c r="J870" s="10">
        <v>24618000000</v>
      </c>
    </row>
    <row r="871" spans="1:10" x14ac:dyDescent="0.25">
      <c r="A871" s="14">
        <v>45902</v>
      </c>
      <c r="B871" s="15" t="s">
        <v>76</v>
      </c>
      <c r="C871" s="15" t="s">
        <v>77</v>
      </c>
      <c r="D871" s="15" t="s">
        <v>75</v>
      </c>
      <c r="E871" s="16">
        <v>102.2</v>
      </c>
      <c r="F871" s="16">
        <v>103.25</v>
      </c>
      <c r="G871" s="16">
        <v>101.65</v>
      </c>
      <c r="H871" s="16">
        <v>102.51</v>
      </c>
      <c r="I871" s="17">
        <v>2687471</v>
      </c>
      <c r="J871" s="16">
        <v>20502000000</v>
      </c>
    </row>
    <row r="872" spans="1:10" x14ac:dyDescent="0.25">
      <c r="A872" s="8">
        <v>45903</v>
      </c>
      <c r="B872" s="9" t="s">
        <v>60</v>
      </c>
      <c r="C872" s="9" t="s">
        <v>61</v>
      </c>
      <c r="D872" s="9" t="s">
        <v>62</v>
      </c>
      <c r="E872" s="10">
        <v>4030.95</v>
      </c>
      <c r="F872" s="10">
        <v>4069.04</v>
      </c>
      <c r="G872" s="10">
        <v>3978.44</v>
      </c>
      <c r="H872" s="10">
        <v>4059.04</v>
      </c>
      <c r="I872" s="11">
        <v>3496655</v>
      </c>
      <c r="J872" s="10">
        <v>5682656000000</v>
      </c>
    </row>
    <row r="873" spans="1:10" x14ac:dyDescent="0.25">
      <c r="A873" s="14">
        <v>45903</v>
      </c>
      <c r="B873" s="15" t="s">
        <v>65</v>
      </c>
      <c r="C873" s="15" t="s">
        <v>66</v>
      </c>
      <c r="D873" s="15" t="s">
        <v>67</v>
      </c>
      <c r="E873" s="16">
        <v>139.31</v>
      </c>
      <c r="F873" s="16">
        <v>140.25</v>
      </c>
      <c r="G873" s="16">
        <v>138.5</v>
      </c>
      <c r="H873" s="16">
        <v>140.16999999999999</v>
      </c>
      <c r="I873" s="17">
        <v>1705725</v>
      </c>
      <c r="J873" s="16">
        <v>35042500000</v>
      </c>
    </row>
    <row r="874" spans="1:10" x14ac:dyDescent="0.25">
      <c r="A874" s="8">
        <v>45903</v>
      </c>
      <c r="B874" s="9" t="s">
        <v>69</v>
      </c>
      <c r="C874" s="9" t="s">
        <v>70</v>
      </c>
      <c r="D874" s="9" t="s">
        <v>71</v>
      </c>
      <c r="E874" s="10">
        <v>614.72</v>
      </c>
      <c r="F874" s="10">
        <v>623.45000000000005</v>
      </c>
      <c r="G874" s="10">
        <v>608.75</v>
      </c>
      <c r="H874" s="10">
        <v>614.70000000000005</v>
      </c>
      <c r="I874" s="11">
        <v>898477</v>
      </c>
      <c r="J874" s="10">
        <v>491760000000</v>
      </c>
    </row>
    <row r="875" spans="1:10" x14ac:dyDescent="0.25">
      <c r="A875" s="14">
        <v>45903</v>
      </c>
      <c r="B875" s="15" t="s">
        <v>73</v>
      </c>
      <c r="C875" s="15" t="s">
        <v>74</v>
      </c>
      <c r="D875" s="15" t="s">
        <v>75</v>
      </c>
      <c r="E875" s="16">
        <v>113.01</v>
      </c>
      <c r="F875" s="16">
        <v>113.74</v>
      </c>
      <c r="G875" s="16">
        <v>112.61</v>
      </c>
      <c r="H875" s="16">
        <v>112.96</v>
      </c>
      <c r="I875" s="17">
        <v>2744074</v>
      </c>
      <c r="J875" s="16">
        <v>24851200000</v>
      </c>
    </row>
    <row r="876" spans="1:10" x14ac:dyDescent="0.25">
      <c r="A876" s="8">
        <v>45903</v>
      </c>
      <c r="B876" s="9" t="s">
        <v>76</v>
      </c>
      <c r="C876" s="9" t="s">
        <v>77</v>
      </c>
      <c r="D876" s="9" t="s">
        <v>75</v>
      </c>
      <c r="E876" s="10">
        <v>102.01</v>
      </c>
      <c r="F876" s="10">
        <v>103.09</v>
      </c>
      <c r="G876" s="10">
        <v>100.66</v>
      </c>
      <c r="H876" s="10">
        <v>102.56</v>
      </c>
      <c r="I876" s="11">
        <v>3346447</v>
      </c>
      <c r="J876" s="10">
        <v>20512000000</v>
      </c>
    </row>
    <row r="877" spans="1:10" x14ac:dyDescent="0.25">
      <c r="A877" s="14">
        <v>45904</v>
      </c>
      <c r="B877" s="15" t="s">
        <v>60</v>
      </c>
      <c r="C877" s="15" t="s">
        <v>61</v>
      </c>
      <c r="D877" s="15" t="s">
        <v>62</v>
      </c>
      <c r="E877" s="16">
        <v>4137.6000000000004</v>
      </c>
      <c r="F877" s="16">
        <v>4138.13</v>
      </c>
      <c r="G877" s="16">
        <v>4097.45</v>
      </c>
      <c r="H877" s="16">
        <v>4115.7700000000004</v>
      </c>
      <c r="I877" s="17">
        <v>1703566</v>
      </c>
      <c r="J877" s="16">
        <v>5762078000000</v>
      </c>
    </row>
    <row r="878" spans="1:10" x14ac:dyDescent="0.25">
      <c r="A878" s="8">
        <v>45904</v>
      </c>
      <c r="B878" s="9" t="s">
        <v>65</v>
      </c>
      <c r="C878" s="9" t="s">
        <v>66</v>
      </c>
      <c r="D878" s="9" t="s">
        <v>67</v>
      </c>
      <c r="E878" s="10">
        <v>140.38</v>
      </c>
      <c r="F878" s="10">
        <v>140.6</v>
      </c>
      <c r="G878" s="10">
        <v>140.15</v>
      </c>
      <c r="H878" s="10">
        <v>140.57</v>
      </c>
      <c r="I878" s="11">
        <v>971631</v>
      </c>
      <c r="J878" s="10">
        <v>35142500000</v>
      </c>
    </row>
    <row r="879" spans="1:10" x14ac:dyDescent="0.25">
      <c r="A879" s="14">
        <v>45904</v>
      </c>
      <c r="B879" s="15" t="s">
        <v>69</v>
      </c>
      <c r="C879" s="15" t="s">
        <v>70</v>
      </c>
      <c r="D879" s="15" t="s">
        <v>71</v>
      </c>
      <c r="E879" s="16">
        <v>601.37</v>
      </c>
      <c r="F879" s="16">
        <v>602.55999999999995</v>
      </c>
      <c r="G879" s="16">
        <v>596.67999999999995</v>
      </c>
      <c r="H879" s="16">
        <v>597.24</v>
      </c>
      <c r="I879" s="17">
        <v>4269370</v>
      </c>
      <c r="J879" s="16">
        <v>477792000000</v>
      </c>
    </row>
    <row r="880" spans="1:10" x14ac:dyDescent="0.25">
      <c r="A880" s="8">
        <v>45904</v>
      </c>
      <c r="B880" s="9" t="s">
        <v>73</v>
      </c>
      <c r="C880" s="9" t="s">
        <v>74</v>
      </c>
      <c r="D880" s="9" t="s">
        <v>75</v>
      </c>
      <c r="E880" s="10">
        <v>112.61</v>
      </c>
      <c r="F880" s="10">
        <v>112.67</v>
      </c>
      <c r="G880" s="10">
        <v>111.39</v>
      </c>
      <c r="H880" s="10">
        <v>111.5</v>
      </c>
      <c r="I880" s="11">
        <v>2501609</v>
      </c>
      <c r="J880" s="10">
        <v>24530000000</v>
      </c>
    </row>
    <row r="881" spans="1:10" x14ac:dyDescent="0.25">
      <c r="A881" s="14">
        <v>45904</v>
      </c>
      <c r="B881" s="15" t="s">
        <v>76</v>
      </c>
      <c r="C881" s="15" t="s">
        <v>77</v>
      </c>
      <c r="D881" s="15" t="s">
        <v>75</v>
      </c>
      <c r="E881" s="16">
        <v>104.16</v>
      </c>
      <c r="F881" s="16">
        <v>104.42</v>
      </c>
      <c r="G881" s="16">
        <v>103.92</v>
      </c>
      <c r="H881" s="16">
        <v>104.39</v>
      </c>
      <c r="I881" s="17">
        <v>3570267</v>
      </c>
      <c r="J881" s="16">
        <v>20878000000</v>
      </c>
    </row>
    <row r="882" spans="1:10" x14ac:dyDescent="0.25">
      <c r="A882" s="8">
        <v>45905</v>
      </c>
      <c r="B882" s="9" t="s">
        <v>60</v>
      </c>
      <c r="C882" s="9" t="s">
        <v>61</v>
      </c>
      <c r="D882" s="9" t="s">
        <v>62</v>
      </c>
      <c r="E882" s="10">
        <v>4099.63</v>
      </c>
      <c r="F882" s="10">
        <v>4122.66</v>
      </c>
      <c r="G882" s="10">
        <v>4089.82</v>
      </c>
      <c r="H882" s="10">
        <v>4094.13</v>
      </c>
      <c r="I882" s="11">
        <v>1731163</v>
      </c>
      <c r="J882" s="10">
        <v>5731782000000</v>
      </c>
    </row>
    <row r="883" spans="1:10" x14ac:dyDescent="0.25">
      <c r="A883" s="14">
        <v>45905</v>
      </c>
      <c r="B883" s="15" t="s">
        <v>65</v>
      </c>
      <c r="C883" s="15" t="s">
        <v>66</v>
      </c>
      <c r="D883" s="15" t="s">
        <v>67</v>
      </c>
      <c r="E883" s="16">
        <v>143.49</v>
      </c>
      <c r="F883" s="16">
        <v>145.16</v>
      </c>
      <c r="G883" s="16">
        <v>143.19</v>
      </c>
      <c r="H883" s="16">
        <v>144.88</v>
      </c>
      <c r="I883" s="17">
        <v>3027986</v>
      </c>
      <c r="J883" s="16">
        <v>36220000000</v>
      </c>
    </row>
    <row r="884" spans="1:10" x14ac:dyDescent="0.25">
      <c r="A884" s="8">
        <v>45905</v>
      </c>
      <c r="B884" s="9" t="s">
        <v>69</v>
      </c>
      <c r="C884" s="9" t="s">
        <v>70</v>
      </c>
      <c r="D884" s="9" t="s">
        <v>71</v>
      </c>
      <c r="E884" s="10">
        <v>603.97</v>
      </c>
      <c r="F884" s="10">
        <v>608.04999999999995</v>
      </c>
      <c r="G884" s="10">
        <v>596.19000000000005</v>
      </c>
      <c r="H884" s="10">
        <v>602.70000000000005</v>
      </c>
      <c r="I884" s="11">
        <v>1433425</v>
      </c>
      <c r="J884" s="10">
        <v>482160000000</v>
      </c>
    </row>
    <row r="885" spans="1:10" x14ac:dyDescent="0.25">
      <c r="A885" s="14">
        <v>45905</v>
      </c>
      <c r="B885" s="15" t="s">
        <v>73</v>
      </c>
      <c r="C885" s="15" t="s">
        <v>74</v>
      </c>
      <c r="D885" s="15" t="s">
        <v>75</v>
      </c>
      <c r="E885" s="16">
        <v>108.69</v>
      </c>
      <c r="F885" s="16">
        <v>110.01</v>
      </c>
      <c r="G885" s="16">
        <v>108.43</v>
      </c>
      <c r="H885" s="16">
        <v>108.71</v>
      </c>
      <c r="I885" s="17">
        <v>4129763</v>
      </c>
      <c r="J885" s="16">
        <v>23916200000</v>
      </c>
    </row>
    <row r="886" spans="1:10" x14ac:dyDescent="0.25">
      <c r="A886" s="8">
        <v>45905</v>
      </c>
      <c r="B886" s="9" t="s">
        <v>76</v>
      </c>
      <c r="C886" s="9" t="s">
        <v>77</v>
      </c>
      <c r="D886" s="9" t="s">
        <v>75</v>
      </c>
      <c r="E886" s="10">
        <v>102.9</v>
      </c>
      <c r="F886" s="10">
        <v>103.76</v>
      </c>
      <c r="G886" s="10">
        <v>101.98</v>
      </c>
      <c r="H886" s="10">
        <v>103.12</v>
      </c>
      <c r="I886" s="11">
        <v>2897627</v>
      </c>
      <c r="J886" s="10">
        <v>20624000000</v>
      </c>
    </row>
    <row r="887" spans="1:10" x14ac:dyDescent="0.25">
      <c r="A887" s="14">
        <v>45908</v>
      </c>
      <c r="B887" s="15" t="s">
        <v>60</v>
      </c>
      <c r="C887" s="15" t="s">
        <v>61</v>
      </c>
      <c r="D887" s="15" t="s">
        <v>62</v>
      </c>
      <c r="E887" s="16">
        <v>4065.69</v>
      </c>
      <c r="F887" s="16">
        <v>4097.04</v>
      </c>
      <c r="G887" s="16">
        <v>4045.5</v>
      </c>
      <c r="H887" s="16">
        <v>4057.21</v>
      </c>
      <c r="I887" s="17">
        <v>1051233</v>
      </c>
      <c r="J887" s="16">
        <v>5680094000000</v>
      </c>
    </row>
    <row r="888" spans="1:10" x14ac:dyDescent="0.25">
      <c r="A888" s="8">
        <v>45908</v>
      </c>
      <c r="B888" s="9" t="s">
        <v>65</v>
      </c>
      <c r="C888" s="9" t="s">
        <v>66</v>
      </c>
      <c r="D888" s="9" t="s">
        <v>67</v>
      </c>
      <c r="E888" s="10">
        <v>142.97</v>
      </c>
      <c r="F888" s="10">
        <v>143.36000000000001</v>
      </c>
      <c r="G888" s="10">
        <v>142.91</v>
      </c>
      <c r="H888" s="10">
        <v>142.91</v>
      </c>
      <c r="I888" s="11">
        <v>1443371</v>
      </c>
      <c r="J888" s="10">
        <v>35727500000</v>
      </c>
    </row>
    <row r="889" spans="1:10" x14ac:dyDescent="0.25">
      <c r="A889" s="14">
        <v>45908</v>
      </c>
      <c r="B889" s="15" t="s">
        <v>69</v>
      </c>
      <c r="C889" s="15" t="s">
        <v>70</v>
      </c>
      <c r="D889" s="15" t="s">
        <v>71</v>
      </c>
      <c r="E889" s="16">
        <v>610.5</v>
      </c>
      <c r="F889" s="16">
        <v>613.55999999999995</v>
      </c>
      <c r="G889" s="16">
        <v>605.92999999999995</v>
      </c>
      <c r="H889" s="16">
        <v>605.99</v>
      </c>
      <c r="I889" s="17">
        <v>4426621</v>
      </c>
      <c r="J889" s="16">
        <v>484792000000</v>
      </c>
    </row>
    <row r="890" spans="1:10" x14ac:dyDescent="0.25">
      <c r="A890" s="8">
        <v>45908</v>
      </c>
      <c r="B890" s="9" t="s">
        <v>73</v>
      </c>
      <c r="C890" s="9" t="s">
        <v>74</v>
      </c>
      <c r="D890" s="9" t="s">
        <v>75</v>
      </c>
      <c r="E890" s="10">
        <v>110.49</v>
      </c>
      <c r="F890" s="10">
        <v>110.82</v>
      </c>
      <c r="G890" s="10">
        <v>109.55</v>
      </c>
      <c r="H890" s="10">
        <v>109.92</v>
      </c>
      <c r="I890" s="11">
        <v>2239575</v>
      </c>
      <c r="J890" s="10">
        <v>24182400000</v>
      </c>
    </row>
    <row r="891" spans="1:10" x14ac:dyDescent="0.25">
      <c r="A891" s="14">
        <v>45908</v>
      </c>
      <c r="B891" s="15" t="s">
        <v>76</v>
      </c>
      <c r="C891" s="15" t="s">
        <v>77</v>
      </c>
      <c r="D891" s="15" t="s">
        <v>75</v>
      </c>
      <c r="E891" s="16">
        <v>103.23</v>
      </c>
      <c r="F891" s="16">
        <v>103.53</v>
      </c>
      <c r="G891" s="16">
        <v>102.23</v>
      </c>
      <c r="H891" s="16">
        <v>102.48</v>
      </c>
      <c r="I891" s="17">
        <v>3966713</v>
      </c>
      <c r="J891" s="16">
        <v>20496000000</v>
      </c>
    </row>
    <row r="892" spans="1:10" x14ac:dyDescent="0.25">
      <c r="A892" s="8">
        <v>45909</v>
      </c>
      <c r="B892" s="9" t="s">
        <v>60</v>
      </c>
      <c r="C892" s="9" t="s">
        <v>61</v>
      </c>
      <c r="D892" s="9" t="s">
        <v>62</v>
      </c>
      <c r="E892" s="10">
        <v>4029.34</v>
      </c>
      <c r="F892" s="10">
        <v>4041.16</v>
      </c>
      <c r="G892" s="10">
        <v>4026.75</v>
      </c>
      <c r="H892" s="10">
        <v>4032.2</v>
      </c>
      <c r="I892" s="11">
        <v>2506038</v>
      </c>
      <c r="J892" s="10">
        <v>5645080000000</v>
      </c>
    </row>
    <row r="893" spans="1:10" x14ac:dyDescent="0.25">
      <c r="A893" s="14">
        <v>45909</v>
      </c>
      <c r="B893" s="15" t="s">
        <v>65</v>
      </c>
      <c r="C893" s="15" t="s">
        <v>66</v>
      </c>
      <c r="D893" s="15" t="s">
        <v>67</v>
      </c>
      <c r="E893" s="16">
        <v>140.82</v>
      </c>
      <c r="F893" s="16">
        <v>142.21</v>
      </c>
      <c r="G893" s="16">
        <v>140.07</v>
      </c>
      <c r="H893" s="16">
        <v>141.18</v>
      </c>
      <c r="I893" s="17">
        <v>2580569</v>
      </c>
      <c r="J893" s="16">
        <v>35295000000</v>
      </c>
    </row>
    <row r="894" spans="1:10" x14ac:dyDescent="0.25">
      <c r="A894" s="8">
        <v>45909</v>
      </c>
      <c r="B894" s="9" t="s">
        <v>69</v>
      </c>
      <c r="C894" s="9" t="s">
        <v>70</v>
      </c>
      <c r="D894" s="9" t="s">
        <v>71</v>
      </c>
      <c r="E894" s="10">
        <v>602.87</v>
      </c>
      <c r="F894" s="10">
        <v>610.63</v>
      </c>
      <c r="G894" s="10">
        <v>601.07000000000005</v>
      </c>
      <c r="H894" s="10">
        <v>609.23</v>
      </c>
      <c r="I894" s="11">
        <v>1830142</v>
      </c>
      <c r="J894" s="10">
        <v>487384000000</v>
      </c>
    </row>
    <row r="895" spans="1:10" x14ac:dyDescent="0.25">
      <c r="A895" s="14">
        <v>45909</v>
      </c>
      <c r="B895" s="15" t="s">
        <v>73</v>
      </c>
      <c r="C895" s="15" t="s">
        <v>74</v>
      </c>
      <c r="D895" s="15" t="s">
        <v>75</v>
      </c>
      <c r="E895" s="16">
        <v>108.36</v>
      </c>
      <c r="F895" s="16">
        <v>108.63</v>
      </c>
      <c r="G895" s="16">
        <v>108.04</v>
      </c>
      <c r="H895" s="16">
        <v>108.31</v>
      </c>
      <c r="I895" s="17">
        <v>4098086</v>
      </c>
      <c r="J895" s="16">
        <v>23828200000</v>
      </c>
    </row>
    <row r="896" spans="1:10" x14ac:dyDescent="0.25">
      <c r="A896" s="8">
        <v>45909</v>
      </c>
      <c r="B896" s="9" t="s">
        <v>76</v>
      </c>
      <c r="C896" s="9" t="s">
        <v>77</v>
      </c>
      <c r="D896" s="9" t="s">
        <v>75</v>
      </c>
      <c r="E896" s="10">
        <v>102.2</v>
      </c>
      <c r="F896" s="10">
        <v>103.33</v>
      </c>
      <c r="G896" s="10">
        <v>102.14</v>
      </c>
      <c r="H896" s="10">
        <v>102.2</v>
      </c>
      <c r="I896" s="11">
        <v>4787659</v>
      </c>
      <c r="J896" s="10">
        <v>20440000000</v>
      </c>
    </row>
    <row r="897" spans="1:10" x14ac:dyDescent="0.25">
      <c r="A897" s="14">
        <v>45910</v>
      </c>
      <c r="B897" s="15" t="s">
        <v>60</v>
      </c>
      <c r="C897" s="15" t="s">
        <v>61</v>
      </c>
      <c r="D897" s="15" t="s">
        <v>62</v>
      </c>
      <c r="E897" s="16">
        <v>4044.07</v>
      </c>
      <c r="F897" s="16">
        <v>4129.8900000000003</v>
      </c>
      <c r="G897" s="16">
        <v>4032.06</v>
      </c>
      <c r="H897" s="16">
        <v>4059.66</v>
      </c>
      <c r="I897" s="17">
        <v>1348904</v>
      </c>
      <c r="J897" s="16">
        <v>5683524000000</v>
      </c>
    </row>
    <row r="898" spans="1:10" x14ac:dyDescent="0.25">
      <c r="A898" s="8">
        <v>45910</v>
      </c>
      <c r="B898" s="9" t="s">
        <v>65</v>
      </c>
      <c r="C898" s="9" t="s">
        <v>66</v>
      </c>
      <c r="D898" s="9" t="s">
        <v>67</v>
      </c>
      <c r="E898" s="10">
        <v>140.47</v>
      </c>
      <c r="F898" s="10">
        <v>142.24</v>
      </c>
      <c r="G898" s="10">
        <v>140.4</v>
      </c>
      <c r="H898" s="10">
        <v>141.31</v>
      </c>
      <c r="I898" s="11">
        <v>3168172</v>
      </c>
      <c r="J898" s="10">
        <v>35327500000</v>
      </c>
    </row>
    <row r="899" spans="1:10" x14ac:dyDescent="0.25">
      <c r="A899" s="14">
        <v>45910</v>
      </c>
      <c r="B899" s="15" t="s">
        <v>69</v>
      </c>
      <c r="C899" s="15" t="s">
        <v>70</v>
      </c>
      <c r="D899" s="15" t="s">
        <v>71</v>
      </c>
      <c r="E899" s="16">
        <v>614.54</v>
      </c>
      <c r="F899" s="16">
        <v>622.11</v>
      </c>
      <c r="G899" s="16">
        <v>610.39</v>
      </c>
      <c r="H899" s="16">
        <v>616.23</v>
      </c>
      <c r="I899" s="17">
        <v>3415504</v>
      </c>
      <c r="J899" s="16">
        <v>492984000000</v>
      </c>
    </row>
    <row r="900" spans="1:10" x14ac:dyDescent="0.25">
      <c r="A900" s="8">
        <v>45910</v>
      </c>
      <c r="B900" s="9" t="s">
        <v>73</v>
      </c>
      <c r="C900" s="9" t="s">
        <v>74</v>
      </c>
      <c r="D900" s="9" t="s">
        <v>75</v>
      </c>
      <c r="E900" s="10">
        <v>105.53</v>
      </c>
      <c r="F900" s="10">
        <v>105.87</v>
      </c>
      <c r="G900" s="10">
        <v>104.74</v>
      </c>
      <c r="H900" s="10">
        <v>105.82</v>
      </c>
      <c r="I900" s="11">
        <v>770083</v>
      </c>
      <c r="J900" s="10">
        <v>23280400000</v>
      </c>
    </row>
    <row r="901" spans="1:10" x14ac:dyDescent="0.25">
      <c r="A901" s="14">
        <v>45910</v>
      </c>
      <c r="B901" s="15" t="s">
        <v>76</v>
      </c>
      <c r="C901" s="15" t="s">
        <v>77</v>
      </c>
      <c r="D901" s="15" t="s">
        <v>75</v>
      </c>
      <c r="E901" s="16">
        <v>104.81</v>
      </c>
      <c r="F901" s="16">
        <v>104.9</v>
      </c>
      <c r="G901" s="16">
        <v>103.98</v>
      </c>
      <c r="H901" s="16">
        <v>104.48</v>
      </c>
      <c r="I901" s="17">
        <v>1823402</v>
      </c>
      <c r="J901" s="16">
        <v>20896000000</v>
      </c>
    </row>
    <row r="902" spans="1:10" x14ac:dyDescent="0.25">
      <c r="A902" s="8">
        <v>45911</v>
      </c>
      <c r="B902" s="9" t="s">
        <v>60</v>
      </c>
      <c r="C902" s="9" t="s">
        <v>61</v>
      </c>
      <c r="D902" s="9" t="s">
        <v>62</v>
      </c>
      <c r="E902" s="10">
        <v>4102</v>
      </c>
      <c r="F902" s="10">
        <v>4160.88</v>
      </c>
      <c r="G902" s="10">
        <v>4076.74</v>
      </c>
      <c r="H902" s="10">
        <v>4087</v>
      </c>
      <c r="I902" s="11">
        <v>2388447</v>
      </c>
      <c r="J902" s="10">
        <v>5721800000000</v>
      </c>
    </row>
    <row r="903" spans="1:10" x14ac:dyDescent="0.25">
      <c r="A903" s="14">
        <v>45911</v>
      </c>
      <c r="B903" s="15" t="s">
        <v>65</v>
      </c>
      <c r="C903" s="15" t="s">
        <v>66</v>
      </c>
      <c r="D903" s="15" t="s">
        <v>67</v>
      </c>
      <c r="E903" s="16">
        <v>137.71</v>
      </c>
      <c r="F903" s="16">
        <v>139.94999999999999</v>
      </c>
      <c r="G903" s="16">
        <v>135.72999999999999</v>
      </c>
      <c r="H903" s="16">
        <v>136.77000000000001</v>
      </c>
      <c r="I903" s="17">
        <v>581104</v>
      </c>
      <c r="J903" s="16">
        <v>34192500000</v>
      </c>
    </row>
    <row r="904" spans="1:10" x14ac:dyDescent="0.25">
      <c r="A904" s="8">
        <v>45911</v>
      </c>
      <c r="B904" s="9" t="s">
        <v>69</v>
      </c>
      <c r="C904" s="9" t="s">
        <v>70</v>
      </c>
      <c r="D904" s="9" t="s">
        <v>71</v>
      </c>
      <c r="E904" s="10">
        <v>621.08000000000004</v>
      </c>
      <c r="F904" s="10">
        <v>628.77</v>
      </c>
      <c r="G904" s="10">
        <v>614.97</v>
      </c>
      <c r="H904" s="10">
        <v>617.85</v>
      </c>
      <c r="I904" s="11">
        <v>3564199</v>
      </c>
      <c r="J904" s="10">
        <v>494280000000</v>
      </c>
    </row>
    <row r="905" spans="1:10" x14ac:dyDescent="0.25">
      <c r="A905" s="14">
        <v>45911</v>
      </c>
      <c r="B905" s="15" t="s">
        <v>73</v>
      </c>
      <c r="C905" s="15" t="s">
        <v>74</v>
      </c>
      <c r="D905" s="15" t="s">
        <v>75</v>
      </c>
      <c r="E905" s="16">
        <v>107.15</v>
      </c>
      <c r="F905" s="16">
        <v>107.46</v>
      </c>
      <c r="G905" s="16">
        <v>106.48</v>
      </c>
      <c r="H905" s="16">
        <v>106.8</v>
      </c>
      <c r="I905" s="17">
        <v>653881</v>
      </c>
      <c r="J905" s="16">
        <v>23496000000</v>
      </c>
    </row>
    <row r="906" spans="1:10" x14ac:dyDescent="0.25">
      <c r="A906" s="8">
        <v>45911</v>
      </c>
      <c r="B906" s="9" t="s">
        <v>76</v>
      </c>
      <c r="C906" s="9" t="s">
        <v>77</v>
      </c>
      <c r="D906" s="9" t="s">
        <v>75</v>
      </c>
      <c r="E906" s="10">
        <v>104.44</v>
      </c>
      <c r="F906" s="10">
        <v>105.49</v>
      </c>
      <c r="G906" s="10">
        <v>103.75</v>
      </c>
      <c r="H906" s="10">
        <v>104.27</v>
      </c>
      <c r="I906" s="11">
        <v>3323477</v>
      </c>
      <c r="J906" s="10">
        <v>20854000000</v>
      </c>
    </row>
    <row r="907" spans="1:10" x14ac:dyDescent="0.25">
      <c r="A907" s="14">
        <v>45912</v>
      </c>
      <c r="B907" s="15" t="s">
        <v>60</v>
      </c>
      <c r="C907" s="15" t="s">
        <v>61</v>
      </c>
      <c r="D907" s="15" t="s">
        <v>62</v>
      </c>
      <c r="E907" s="16">
        <v>4136.58</v>
      </c>
      <c r="F907" s="16">
        <v>4186.82</v>
      </c>
      <c r="G907" s="16">
        <v>4093.68</v>
      </c>
      <c r="H907" s="16">
        <v>4113.96</v>
      </c>
      <c r="I907" s="17">
        <v>1247312</v>
      </c>
      <c r="J907" s="16">
        <v>5759544000000</v>
      </c>
    </row>
    <row r="908" spans="1:10" x14ac:dyDescent="0.25">
      <c r="A908" s="8">
        <v>45912</v>
      </c>
      <c r="B908" s="9" t="s">
        <v>65</v>
      </c>
      <c r="C908" s="9" t="s">
        <v>66</v>
      </c>
      <c r="D908" s="9" t="s">
        <v>67</v>
      </c>
      <c r="E908" s="10">
        <v>136.99</v>
      </c>
      <c r="F908" s="10">
        <v>138.16</v>
      </c>
      <c r="G908" s="10">
        <v>135.05000000000001</v>
      </c>
      <c r="H908" s="10">
        <v>136.87</v>
      </c>
      <c r="I908" s="11">
        <v>3620280</v>
      </c>
      <c r="J908" s="10">
        <v>34217500000</v>
      </c>
    </row>
    <row r="909" spans="1:10" x14ac:dyDescent="0.25">
      <c r="A909" s="14">
        <v>45912</v>
      </c>
      <c r="B909" s="15" t="s">
        <v>69</v>
      </c>
      <c r="C909" s="15" t="s">
        <v>70</v>
      </c>
      <c r="D909" s="15" t="s">
        <v>71</v>
      </c>
      <c r="E909" s="16">
        <v>619.53</v>
      </c>
      <c r="F909" s="16">
        <v>619.69000000000005</v>
      </c>
      <c r="G909" s="16">
        <v>618.89</v>
      </c>
      <c r="H909" s="16">
        <v>618.91999999999996</v>
      </c>
      <c r="I909" s="17">
        <v>4286859</v>
      </c>
      <c r="J909" s="16">
        <v>495136000000</v>
      </c>
    </row>
    <row r="910" spans="1:10" x14ac:dyDescent="0.25">
      <c r="A910" s="8">
        <v>45912</v>
      </c>
      <c r="B910" s="9" t="s">
        <v>73</v>
      </c>
      <c r="C910" s="9" t="s">
        <v>74</v>
      </c>
      <c r="D910" s="9" t="s">
        <v>75</v>
      </c>
      <c r="E910" s="10">
        <v>106.47</v>
      </c>
      <c r="F910" s="10">
        <v>106.93</v>
      </c>
      <c r="G910" s="10">
        <v>106.39</v>
      </c>
      <c r="H910" s="10">
        <v>106.66</v>
      </c>
      <c r="I910" s="11">
        <v>3138890</v>
      </c>
      <c r="J910" s="10">
        <v>23465200000</v>
      </c>
    </row>
    <row r="911" spans="1:10" x14ac:dyDescent="0.25">
      <c r="A911" s="14">
        <v>45912</v>
      </c>
      <c r="B911" s="15" t="s">
        <v>76</v>
      </c>
      <c r="C911" s="15" t="s">
        <v>77</v>
      </c>
      <c r="D911" s="15" t="s">
        <v>75</v>
      </c>
      <c r="E911" s="16">
        <v>103.12</v>
      </c>
      <c r="F911" s="16">
        <v>105.67</v>
      </c>
      <c r="G911" s="16">
        <v>101.94</v>
      </c>
      <c r="H911" s="16">
        <v>104.27</v>
      </c>
      <c r="I911" s="17">
        <v>801430</v>
      </c>
      <c r="J911" s="16">
        <v>20854000000</v>
      </c>
    </row>
    <row r="912" spans="1:10" x14ac:dyDescent="0.25">
      <c r="A912" s="8">
        <v>45915</v>
      </c>
      <c r="B912" s="9" t="s">
        <v>60</v>
      </c>
      <c r="C912" s="9" t="s">
        <v>61</v>
      </c>
      <c r="D912" s="9" t="s">
        <v>62</v>
      </c>
      <c r="E912" s="10">
        <v>4092.82</v>
      </c>
      <c r="F912" s="10">
        <v>4107.74</v>
      </c>
      <c r="G912" s="10">
        <v>4077.62</v>
      </c>
      <c r="H912" s="10">
        <v>4092.31</v>
      </c>
      <c r="I912" s="11">
        <v>2957003</v>
      </c>
      <c r="J912" s="10">
        <v>5729234000000</v>
      </c>
    </row>
    <row r="913" spans="1:10" x14ac:dyDescent="0.25">
      <c r="A913" s="14">
        <v>45915</v>
      </c>
      <c r="B913" s="15" t="s">
        <v>65</v>
      </c>
      <c r="C913" s="15" t="s">
        <v>66</v>
      </c>
      <c r="D913" s="15" t="s">
        <v>67</v>
      </c>
      <c r="E913" s="16">
        <v>136.68</v>
      </c>
      <c r="F913" s="16">
        <v>138.59</v>
      </c>
      <c r="G913" s="16">
        <v>136.46</v>
      </c>
      <c r="H913" s="16">
        <v>138.07</v>
      </c>
      <c r="I913" s="17">
        <v>3980240</v>
      </c>
      <c r="J913" s="16">
        <v>34517500000</v>
      </c>
    </row>
    <row r="914" spans="1:10" x14ac:dyDescent="0.25">
      <c r="A914" s="8">
        <v>45915</v>
      </c>
      <c r="B914" s="9" t="s">
        <v>69</v>
      </c>
      <c r="C914" s="9" t="s">
        <v>70</v>
      </c>
      <c r="D914" s="9" t="s">
        <v>71</v>
      </c>
      <c r="E914" s="10">
        <v>618.84</v>
      </c>
      <c r="F914" s="10">
        <v>619.86</v>
      </c>
      <c r="G914" s="10">
        <v>613.12</v>
      </c>
      <c r="H914" s="10">
        <v>614.80999999999995</v>
      </c>
      <c r="I914" s="11">
        <v>631253</v>
      </c>
      <c r="J914" s="10">
        <v>491848000000</v>
      </c>
    </row>
    <row r="915" spans="1:10" x14ac:dyDescent="0.25">
      <c r="A915" s="14">
        <v>45915</v>
      </c>
      <c r="B915" s="15" t="s">
        <v>73</v>
      </c>
      <c r="C915" s="15" t="s">
        <v>74</v>
      </c>
      <c r="D915" s="15" t="s">
        <v>75</v>
      </c>
      <c r="E915" s="16">
        <v>108.47</v>
      </c>
      <c r="F915" s="16">
        <v>109.4</v>
      </c>
      <c r="G915" s="16">
        <v>108.38</v>
      </c>
      <c r="H915" s="16">
        <v>108.68</v>
      </c>
      <c r="I915" s="17">
        <v>4411189</v>
      </c>
      <c r="J915" s="16">
        <v>23909600000</v>
      </c>
    </row>
    <row r="916" spans="1:10" x14ac:dyDescent="0.25">
      <c r="A916" s="8">
        <v>45915</v>
      </c>
      <c r="B916" s="9" t="s">
        <v>76</v>
      </c>
      <c r="C916" s="9" t="s">
        <v>77</v>
      </c>
      <c r="D916" s="9" t="s">
        <v>75</v>
      </c>
      <c r="E916" s="10">
        <v>104.66</v>
      </c>
      <c r="F916" s="10">
        <v>105.16</v>
      </c>
      <c r="G916" s="10">
        <v>103.88</v>
      </c>
      <c r="H916" s="10">
        <v>104.23</v>
      </c>
      <c r="I916" s="11">
        <v>4951653</v>
      </c>
      <c r="J916" s="10">
        <v>20846000000</v>
      </c>
    </row>
    <row r="917" spans="1:10" x14ac:dyDescent="0.25">
      <c r="A917" s="14">
        <v>45916</v>
      </c>
      <c r="B917" s="15" t="s">
        <v>60</v>
      </c>
      <c r="C917" s="15" t="s">
        <v>61</v>
      </c>
      <c r="D917" s="15" t="s">
        <v>62</v>
      </c>
      <c r="E917" s="16">
        <v>4174.62</v>
      </c>
      <c r="F917" s="16">
        <v>4196.57</v>
      </c>
      <c r="G917" s="16">
        <v>4139.87</v>
      </c>
      <c r="H917" s="16">
        <v>4165.3500000000004</v>
      </c>
      <c r="I917" s="17">
        <v>2509133</v>
      </c>
      <c r="J917" s="16">
        <v>5831490000000</v>
      </c>
    </row>
    <row r="918" spans="1:10" x14ac:dyDescent="0.25">
      <c r="A918" s="8">
        <v>45916</v>
      </c>
      <c r="B918" s="9" t="s">
        <v>65</v>
      </c>
      <c r="C918" s="9" t="s">
        <v>66</v>
      </c>
      <c r="D918" s="9" t="s">
        <v>67</v>
      </c>
      <c r="E918" s="10">
        <v>135.9</v>
      </c>
      <c r="F918" s="10">
        <v>136.21</v>
      </c>
      <c r="G918" s="10">
        <v>135.69</v>
      </c>
      <c r="H918" s="10">
        <v>136.07</v>
      </c>
      <c r="I918" s="11">
        <v>457033</v>
      </c>
      <c r="J918" s="10">
        <v>34017500000</v>
      </c>
    </row>
    <row r="919" spans="1:10" x14ac:dyDescent="0.25">
      <c r="A919" s="14">
        <v>45916</v>
      </c>
      <c r="B919" s="15" t="s">
        <v>69</v>
      </c>
      <c r="C919" s="15" t="s">
        <v>70</v>
      </c>
      <c r="D919" s="15" t="s">
        <v>71</v>
      </c>
      <c r="E919" s="16">
        <v>604.13</v>
      </c>
      <c r="F919" s="16">
        <v>607.49</v>
      </c>
      <c r="G919" s="16">
        <v>600.99</v>
      </c>
      <c r="H919" s="16">
        <v>605.02</v>
      </c>
      <c r="I919" s="17">
        <v>2990177</v>
      </c>
      <c r="J919" s="16">
        <v>484016000000</v>
      </c>
    </row>
    <row r="920" spans="1:10" x14ac:dyDescent="0.25">
      <c r="A920" s="8">
        <v>45916</v>
      </c>
      <c r="B920" s="9" t="s">
        <v>73</v>
      </c>
      <c r="C920" s="9" t="s">
        <v>74</v>
      </c>
      <c r="D920" s="9" t="s">
        <v>75</v>
      </c>
      <c r="E920" s="10">
        <v>108.27</v>
      </c>
      <c r="F920" s="10">
        <v>109.52</v>
      </c>
      <c r="G920" s="10">
        <v>107.44</v>
      </c>
      <c r="H920" s="10">
        <v>108.53</v>
      </c>
      <c r="I920" s="11">
        <v>4473744</v>
      </c>
      <c r="J920" s="10">
        <v>23876600000</v>
      </c>
    </row>
    <row r="921" spans="1:10" x14ac:dyDescent="0.25">
      <c r="A921" s="14">
        <v>45916</v>
      </c>
      <c r="B921" s="15" t="s">
        <v>76</v>
      </c>
      <c r="C921" s="15" t="s">
        <v>77</v>
      </c>
      <c r="D921" s="15" t="s">
        <v>75</v>
      </c>
      <c r="E921" s="16">
        <v>103.88</v>
      </c>
      <c r="F921" s="16">
        <v>103.93</v>
      </c>
      <c r="G921" s="16">
        <v>103.4</v>
      </c>
      <c r="H921" s="16">
        <v>103.55</v>
      </c>
      <c r="I921" s="17">
        <v>3737689</v>
      </c>
      <c r="J921" s="16">
        <v>20710000000</v>
      </c>
    </row>
    <row r="922" spans="1:10" x14ac:dyDescent="0.25">
      <c r="A922" s="8">
        <v>45917</v>
      </c>
      <c r="B922" s="9" t="s">
        <v>60</v>
      </c>
      <c r="C922" s="9" t="s">
        <v>61</v>
      </c>
      <c r="D922" s="9" t="s">
        <v>62</v>
      </c>
      <c r="E922" s="10">
        <v>4147.05</v>
      </c>
      <c r="F922" s="10">
        <v>4159.4799999999996</v>
      </c>
      <c r="G922" s="10">
        <v>4134.8599999999997</v>
      </c>
      <c r="H922" s="10">
        <v>4155.42</v>
      </c>
      <c r="I922" s="11">
        <v>1388625</v>
      </c>
      <c r="J922" s="10">
        <v>5817588000000</v>
      </c>
    </row>
    <row r="923" spans="1:10" x14ac:dyDescent="0.25">
      <c r="A923" s="14">
        <v>45917</v>
      </c>
      <c r="B923" s="15" t="s">
        <v>65</v>
      </c>
      <c r="C923" s="15" t="s">
        <v>66</v>
      </c>
      <c r="D923" s="15" t="s">
        <v>67</v>
      </c>
      <c r="E923" s="16">
        <v>135.99</v>
      </c>
      <c r="F923" s="16">
        <v>136.11000000000001</v>
      </c>
      <c r="G923" s="16">
        <v>135.74</v>
      </c>
      <c r="H923" s="16">
        <v>135.78</v>
      </c>
      <c r="I923" s="17">
        <v>1907396</v>
      </c>
      <c r="J923" s="16">
        <v>33945000000</v>
      </c>
    </row>
    <row r="924" spans="1:10" x14ac:dyDescent="0.25">
      <c r="A924" s="8">
        <v>45917</v>
      </c>
      <c r="B924" s="9" t="s">
        <v>69</v>
      </c>
      <c r="C924" s="9" t="s">
        <v>70</v>
      </c>
      <c r="D924" s="9" t="s">
        <v>71</v>
      </c>
      <c r="E924" s="10">
        <v>614.75</v>
      </c>
      <c r="F924" s="10">
        <v>618.47</v>
      </c>
      <c r="G924" s="10">
        <v>611.03</v>
      </c>
      <c r="H924" s="10">
        <v>614.94000000000005</v>
      </c>
      <c r="I924" s="11">
        <v>2446968</v>
      </c>
      <c r="J924" s="10">
        <v>491952000000</v>
      </c>
    </row>
    <row r="925" spans="1:10" x14ac:dyDescent="0.25">
      <c r="A925" s="14">
        <v>45917</v>
      </c>
      <c r="B925" s="15" t="s">
        <v>73</v>
      </c>
      <c r="C925" s="15" t="s">
        <v>74</v>
      </c>
      <c r="D925" s="15" t="s">
        <v>75</v>
      </c>
      <c r="E925" s="16">
        <v>106.51</v>
      </c>
      <c r="F925" s="16">
        <v>107.08</v>
      </c>
      <c r="G925" s="16">
        <v>106.33</v>
      </c>
      <c r="H925" s="16">
        <v>106.87</v>
      </c>
      <c r="I925" s="17">
        <v>409774</v>
      </c>
      <c r="J925" s="16">
        <v>23511400000</v>
      </c>
    </row>
    <row r="926" spans="1:10" x14ac:dyDescent="0.25">
      <c r="A926" s="8">
        <v>45917</v>
      </c>
      <c r="B926" s="9" t="s">
        <v>76</v>
      </c>
      <c r="C926" s="9" t="s">
        <v>77</v>
      </c>
      <c r="D926" s="9" t="s">
        <v>75</v>
      </c>
      <c r="E926" s="10">
        <v>104.53</v>
      </c>
      <c r="F926" s="10">
        <v>104.77</v>
      </c>
      <c r="G926" s="10">
        <v>102.78</v>
      </c>
      <c r="H926" s="10">
        <v>102.94</v>
      </c>
      <c r="I926" s="11">
        <v>809190</v>
      </c>
      <c r="J926" s="10">
        <v>20588000000</v>
      </c>
    </row>
    <row r="927" spans="1:10" x14ac:dyDescent="0.25">
      <c r="A927" s="14">
        <v>45918</v>
      </c>
      <c r="B927" s="15" t="s">
        <v>60</v>
      </c>
      <c r="C927" s="15" t="s">
        <v>61</v>
      </c>
      <c r="D927" s="15" t="s">
        <v>62</v>
      </c>
      <c r="E927" s="16">
        <v>4163.32</v>
      </c>
      <c r="F927" s="16">
        <v>4198.59</v>
      </c>
      <c r="G927" s="16">
        <v>4121.1899999999996</v>
      </c>
      <c r="H927" s="16">
        <v>4190.1099999999997</v>
      </c>
      <c r="I927" s="17">
        <v>3395972</v>
      </c>
      <c r="J927" s="16">
        <v>5866154000000</v>
      </c>
    </row>
    <row r="928" spans="1:10" x14ac:dyDescent="0.25">
      <c r="A928" s="8">
        <v>45918</v>
      </c>
      <c r="B928" s="9" t="s">
        <v>65</v>
      </c>
      <c r="C928" s="9" t="s">
        <v>66</v>
      </c>
      <c r="D928" s="9" t="s">
        <v>67</v>
      </c>
      <c r="E928" s="10">
        <v>136</v>
      </c>
      <c r="F928" s="10">
        <v>136.36000000000001</v>
      </c>
      <c r="G928" s="10">
        <v>135.01</v>
      </c>
      <c r="H928" s="10">
        <v>136</v>
      </c>
      <c r="I928" s="11">
        <v>2849336</v>
      </c>
      <c r="J928" s="10">
        <v>34000000000</v>
      </c>
    </row>
    <row r="929" spans="1:10" x14ac:dyDescent="0.25">
      <c r="A929" s="14">
        <v>45918</v>
      </c>
      <c r="B929" s="15" t="s">
        <v>69</v>
      </c>
      <c r="C929" s="15" t="s">
        <v>70</v>
      </c>
      <c r="D929" s="15" t="s">
        <v>71</v>
      </c>
      <c r="E929" s="16">
        <v>607.47</v>
      </c>
      <c r="F929" s="16">
        <v>610.46</v>
      </c>
      <c r="G929" s="16">
        <v>605.88</v>
      </c>
      <c r="H929" s="16">
        <v>608.26</v>
      </c>
      <c r="I929" s="17">
        <v>1149137</v>
      </c>
      <c r="J929" s="16">
        <v>486608000000</v>
      </c>
    </row>
    <row r="930" spans="1:10" x14ac:dyDescent="0.25">
      <c r="A930" s="8">
        <v>45918</v>
      </c>
      <c r="B930" s="9" t="s">
        <v>73</v>
      </c>
      <c r="C930" s="9" t="s">
        <v>74</v>
      </c>
      <c r="D930" s="9" t="s">
        <v>75</v>
      </c>
      <c r="E930" s="10">
        <v>106.58</v>
      </c>
      <c r="F930" s="10">
        <v>107.62</v>
      </c>
      <c r="G930" s="10">
        <v>106.19</v>
      </c>
      <c r="H930" s="10">
        <v>106.55</v>
      </c>
      <c r="I930" s="11">
        <v>1800704</v>
      </c>
      <c r="J930" s="10">
        <v>23441000000</v>
      </c>
    </row>
    <row r="931" spans="1:10" x14ac:dyDescent="0.25">
      <c r="A931" s="14">
        <v>45918</v>
      </c>
      <c r="B931" s="15" t="s">
        <v>76</v>
      </c>
      <c r="C931" s="15" t="s">
        <v>77</v>
      </c>
      <c r="D931" s="15" t="s">
        <v>75</v>
      </c>
      <c r="E931" s="16">
        <v>104.71</v>
      </c>
      <c r="F931" s="16">
        <v>105.71</v>
      </c>
      <c r="G931" s="16">
        <v>104.33</v>
      </c>
      <c r="H931" s="16">
        <v>105.36</v>
      </c>
      <c r="I931" s="17">
        <v>3302814</v>
      </c>
      <c r="J931" s="16">
        <v>21072000000</v>
      </c>
    </row>
    <row r="932" spans="1:10" x14ac:dyDescent="0.25">
      <c r="A932" s="8">
        <v>45919</v>
      </c>
      <c r="B932" s="9" t="s">
        <v>60</v>
      </c>
      <c r="C932" s="9" t="s">
        <v>61</v>
      </c>
      <c r="D932" s="9" t="s">
        <v>62</v>
      </c>
      <c r="E932" s="10">
        <v>4146.24</v>
      </c>
      <c r="F932" s="10">
        <v>4192.1899999999996</v>
      </c>
      <c r="G932" s="10">
        <v>4132.29</v>
      </c>
      <c r="H932" s="10">
        <v>4179.76</v>
      </c>
      <c r="I932" s="11">
        <v>4913444</v>
      </c>
      <c r="J932" s="10">
        <v>5851664000000</v>
      </c>
    </row>
    <row r="933" spans="1:10" x14ac:dyDescent="0.25">
      <c r="A933" s="14">
        <v>45919</v>
      </c>
      <c r="B933" s="15" t="s">
        <v>65</v>
      </c>
      <c r="C933" s="15" t="s">
        <v>66</v>
      </c>
      <c r="D933" s="15" t="s">
        <v>67</v>
      </c>
      <c r="E933" s="16">
        <v>136.44999999999999</v>
      </c>
      <c r="F933" s="16">
        <v>137.26</v>
      </c>
      <c r="G933" s="16">
        <v>135.88</v>
      </c>
      <c r="H933" s="16">
        <v>136.1</v>
      </c>
      <c r="I933" s="17">
        <v>4016255</v>
      </c>
      <c r="J933" s="16">
        <v>34025000000</v>
      </c>
    </row>
    <row r="934" spans="1:10" x14ac:dyDescent="0.25">
      <c r="A934" s="8">
        <v>45919</v>
      </c>
      <c r="B934" s="9" t="s">
        <v>69</v>
      </c>
      <c r="C934" s="9" t="s">
        <v>70</v>
      </c>
      <c r="D934" s="9" t="s">
        <v>71</v>
      </c>
      <c r="E934" s="10">
        <v>626.38</v>
      </c>
      <c r="F934" s="10">
        <v>630.77</v>
      </c>
      <c r="G934" s="10">
        <v>610.21</v>
      </c>
      <c r="H934" s="10">
        <v>627.58000000000004</v>
      </c>
      <c r="I934" s="11">
        <v>3758986</v>
      </c>
      <c r="J934" s="10">
        <v>502064000000</v>
      </c>
    </row>
    <row r="935" spans="1:10" x14ac:dyDescent="0.25">
      <c r="A935" s="14">
        <v>45919</v>
      </c>
      <c r="B935" s="15" t="s">
        <v>73</v>
      </c>
      <c r="C935" s="15" t="s">
        <v>74</v>
      </c>
      <c r="D935" s="15" t="s">
        <v>75</v>
      </c>
      <c r="E935" s="16">
        <v>104.89</v>
      </c>
      <c r="F935" s="16">
        <v>104.97</v>
      </c>
      <c r="G935" s="16">
        <v>104</v>
      </c>
      <c r="H935" s="16">
        <v>104.7</v>
      </c>
      <c r="I935" s="17">
        <v>2319327</v>
      </c>
      <c r="J935" s="16">
        <v>23034000000</v>
      </c>
    </row>
    <row r="936" spans="1:10" x14ac:dyDescent="0.25">
      <c r="A936" s="8">
        <v>45919</v>
      </c>
      <c r="B936" s="9" t="s">
        <v>76</v>
      </c>
      <c r="C936" s="9" t="s">
        <v>77</v>
      </c>
      <c r="D936" s="9" t="s">
        <v>75</v>
      </c>
      <c r="E936" s="10">
        <v>104.37</v>
      </c>
      <c r="F936" s="10">
        <v>104.59</v>
      </c>
      <c r="G936" s="10">
        <v>104.18</v>
      </c>
      <c r="H936" s="10">
        <v>104.28</v>
      </c>
      <c r="I936" s="11">
        <v>4095035</v>
      </c>
      <c r="J936" s="10">
        <v>20856000000</v>
      </c>
    </row>
    <row r="937" spans="1:10" x14ac:dyDescent="0.25">
      <c r="A937" s="14">
        <v>45922</v>
      </c>
      <c r="B937" s="15" t="s">
        <v>60</v>
      </c>
      <c r="C937" s="15" t="s">
        <v>61</v>
      </c>
      <c r="D937" s="15" t="s">
        <v>62</v>
      </c>
      <c r="E937" s="16">
        <v>4038.17</v>
      </c>
      <c r="F937" s="16">
        <v>4068.92</v>
      </c>
      <c r="G937" s="16">
        <v>4027.64</v>
      </c>
      <c r="H937" s="16">
        <v>4057.62</v>
      </c>
      <c r="I937" s="17">
        <v>2686409</v>
      </c>
      <c r="J937" s="16">
        <v>5680668000000</v>
      </c>
    </row>
    <row r="938" spans="1:10" x14ac:dyDescent="0.25">
      <c r="A938" s="8">
        <v>45922</v>
      </c>
      <c r="B938" s="9" t="s">
        <v>65</v>
      </c>
      <c r="C938" s="9" t="s">
        <v>66</v>
      </c>
      <c r="D938" s="9" t="s">
        <v>67</v>
      </c>
      <c r="E938" s="10">
        <v>134.1</v>
      </c>
      <c r="F938" s="10">
        <v>134.83000000000001</v>
      </c>
      <c r="G938" s="10">
        <v>133.19</v>
      </c>
      <c r="H938" s="10">
        <v>133.68</v>
      </c>
      <c r="I938" s="11">
        <v>2161320</v>
      </c>
      <c r="J938" s="10">
        <v>33420000000</v>
      </c>
    </row>
    <row r="939" spans="1:10" x14ac:dyDescent="0.25">
      <c r="A939" s="14">
        <v>45922</v>
      </c>
      <c r="B939" s="15" t="s">
        <v>69</v>
      </c>
      <c r="C939" s="15" t="s">
        <v>70</v>
      </c>
      <c r="D939" s="15" t="s">
        <v>71</v>
      </c>
      <c r="E939" s="16">
        <v>627.38</v>
      </c>
      <c r="F939" s="16">
        <v>628.34</v>
      </c>
      <c r="G939" s="16">
        <v>623.12</v>
      </c>
      <c r="H939" s="16">
        <v>627.15</v>
      </c>
      <c r="I939" s="17">
        <v>2614896</v>
      </c>
      <c r="J939" s="16">
        <v>501720000000</v>
      </c>
    </row>
    <row r="940" spans="1:10" x14ac:dyDescent="0.25">
      <c r="A940" s="8">
        <v>45922</v>
      </c>
      <c r="B940" s="9" t="s">
        <v>73</v>
      </c>
      <c r="C940" s="9" t="s">
        <v>74</v>
      </c>
      <c r="D940" s="9" t="s">
        <v>75</v>
      </c>
      <c r="E940" s="10">
        <v>106.36</v>
      </c>
      <c r="F940" s="10">
        <v>106.86</v>
      </c>
      <c r="G940" s="10">
        <v>105.36</v>
      </c>
      <c r="H940" s="10">
        <v>105.5</v>
      </c>
      <c r="I940" s="11">
        <v>4161861</v>
      </c>
      <c r="J940" s="10">
        <v>23210000000</v>
      </c>
    </row>
    <row r="941" spans="1:10" x14ac:dyDescent="0.25">
      <c r="A941" s="14">
        <v>45922</v>
      </c>
      <c r="B941" s="15" t="s">
        <v>76</v>
      </c>
      <c r="C941" s="15" t="s">
        <v>77</v>
      </c>
      <c r="D941" s="15" t="s">
        <v>75</v>
      </c>
      <c r="E941" s="16">
        <v>103.43</v>
      </c>
      <c r="F941" s="16">
        <v>103.71</v>
      </c>
      <c r="G941" s="16">
        <v>103.07</v>
      </c>
      <c r="H941" s="16">
        <v>103.3</v>
      </c>
      <c r="I941" s="17">
        <v>2395951</v>
      </c>
      <c r="J941" s="16">
        <v>20660000000</v>
      </c>
    </row>
    <row r="942" spans="1:10" x14ac:dyDescent="0.25">
      <c r="A942" s="8">
        <v>45923</v>
      </c>
      <c r="B942" s="9" t="s">
        <v>60</v>
      </c>
      <c r="C942" s="9" t="s">
        <v>61</v>
      </c>
      <c r="D942" s="9" t="s">
        <v>62</v>
      </c>
      <c r="E942" s="10">
        <v>4070.28</v>
      </c>
      <c r="F942" s="10">
        <v>4129.3900000000003</v>
      </c>
      <c r="G942" s="10">
        <v>4042.71</v>
      </c>
      <c r="H942" s="10">
        <v>4122.2700000000004</v>
      </c>
      <c r="I942" s="11">
        <v>947613</v>
      </c>
      <c r="J942" s="10">
        <v>5771178000000</v>
      </c>
    </row>
    <row r="943" spans="1:10" x14ac:dyDescent="0.25">
      <c r="A943" s="14">
        <v>45923</v>
      </c>
      <c r="B943" s="15" t="s">
        <v>65</v>
      </c>
      <c r="C943" s="15" t="s">
        <v>66</v>
      </c>
      <c r="D943" s="15" t="s">
        <v>67</v>
      </c>
      <c r="E943" s="16">
        <v>134.81</v>
      </c>
      <c r="F943" s="16">
        <v>135.13</v>
      </c>
      <c r="G943" s="16">
        <v>132.91999999999999</v>
      </c>
      <c r="H943" s="16">
        <v>133.30000000000001</v>
      </c>
      <c r="I943" s="17">
        <v>1099971</v>
      </c>
      <c r="J943" s="16">
        <v>33325000000</v>
      </c>
    </row>
    <row r="944" spans="1:10" x14ac:dyDescent="0.25">
      <c r="A944" s="8">
        <v>45923</v>
      </c>
      <c r="B944" s="9" t="s">
        <v>69</v>
      </c>
      <c r="C944" s="9" t="s">
        <v>70</v>
      </c>
      <c r="D944" s="9" t="s">
        <v>71</v>
      </c>
      <c r="E944" s="10">
        <v>620.71</v>
      </c>
      <c r="F944" s="10">
        <v>623.07000000000005</v>
      </c>
      <c r="G944" s="10">
        <v>619.92999999999995</v>
      </c>
      <c r="H944" s="10">
        <v>620.17999999999995</v>
      </c>
      <c r="I944" s="11">
        <v>769113</v>
      </c>
      <c r="J944" s="10">
        <v>496144000000</v>
      </c>
    </row>
    <row r="945" spans="1:10" x14ac:dyDescent="0.25">
      <c r="A945" s="14">
        <v>45923</v>
      </c>
      <c r="B945" s="15" t="s">
        <v>73</v>
      </c>
      <c r="C945" s="15" t="s">
        <v>74</v>
      </c>
      <c r="D945" s="15" t="s">
        <v>75</v>
      </c>
      <c r="E945" s="16">
        <v>103.46</v>
      </c>
      <c r="F945" s="16">
        <v>104.12</v>
      </c>
      <c r="G945" s="16">
        <v>103.11</v>
      </c>
      <c r="H945" s="16">
        <v>104</v>
      </c>
      <c r="I945" s="17">
        <v>3943209</v>
      </c>
      <c r="J945" s="16">
        <v>22880000000</v>
      </c>
    </row>
    <row r="946" spans="1:10" x14ac:dyDescent="0.25">
      <c r="A946" s="8">
        <v>45923</v>
      </c>
      <c r="B946" s="9" t="s">
        <v>76</v>
      </c>
      <c r="C946" s="9" t="s">
        <v>77</v>
      </c>
      <c r="D946" s="9" t="s">
        <v>75</v>
      </c>
      <c r="E946" s="10">
        <v>100.62</v>
      </c>
      <c r="F946" s="10">
        <v>101.43</v>
      </c>
      <c r="G946" s="10">
        <v>100.23</v>
      </c>
      <c r="H946" s="10">
        <v>101.01</v>
      </c>
      <c r="I946" s="11">
        <v>395918</v>
      </c>
      <c r="J946" s="10">
        <v>20202000000</v>
      </c>
    </row>
    <row r="947" spans="1:10" x14ac:dyDescent="0.25">
      <c r="A947" s="14">
        <v>45924</v>
      </c>
      <c r="B947" s="15" t="s">
        <v>60</v>
      </c>
      <c r="C947" s="15" t="s">
        <v>61</v>
      </c>
      <c r="D947" s="15" t="s">
        <v>62</v>
      </c>
      <c r="E947" s="16">
        <v>4090.73</v>
      </c>
      <c r="F947" s="16">
        <v>4121.58</v>
      </c>
      <c r="G947" s="16">
        <v>4056.23</v>
      </c>
      <c r="H947" s="16">
        <v>4059.77</v>
      </c>
      <c r="I947" s="17">
        <v>4698846</v>
      </c>
      <c r="J947" s="16">
        <v>5683678000000</v>
      </c>
    </row>
    <row r="948" spans="1:10" x14ac:dyDescent="0.25">
      <c r="A948" s="8">
        <v>45924</v>
      </c>
      <c r="B948" s="9" t="s">
        <v>65</v>
      </c>
      <c r="C948" s="9" t="s">
        <v>66</v>
      </c>
      <c r="D948" s="9" t="s">
        <v>67</v>
      </c>
      <c r="E948" s="10">
        <v>135.74</v>
      </c>
      <c r="F948" s="10">
        <v>136.09</v>
      </c>
      <c r="G948" s="10">
        <v>134.97999999999999</v>
      </c>
      <c r="H948" s="10">
        <v>135.22999999999999</v>
      </c>
      <c r="I948" s="11">
        <v>723790</v>
      </c>
      <c r="J948" s="10">
        <v>33807500000</v>
      </c>
    </row>
    <row r="949" spans="1:10" x14ac:dyDescent="0.25">
      <c r="A949" s="14">
        <v>45924</v>
      </c>
      <c r="B949" s="15" t="s">
        <v>69</v>
      </c>
      <c r="C949" s="15" t="s">
        <v>70</v>
      </c>
      <c r="D949" s="15" t="s">
        <v>71</v>
      </c>
      <c r="E949" s="16">
        <v>629.17999999999995</v>
      </c>
      <c r="F949" s="16">
        <v>637.19000000000005</v>
      </c>
      <c r="G949" s="16">
        <v>613.79</v>
      </c>
      <c r="H949" s="16">
        <v>636.51</v>
      </c>
      <c r="I949" s="17">
        <v>4533976</v>
      </c>
      <c r="J949" s="16">
        <v>509208000000</v>
      </c>
    </row>
    <row r="950" spans="1:10" x14ac:dyDescent="0.25">
      <c r="A950" s="8">
        <v>45924</v>
      </c>
      <c r="B950" s="9" t="s">
        <v>73</v>
      </c>
      <c r="C950" s="9" t="s">
        <v>74</v>
      </c>
      <c r="D950" s="9" t="s">
        <v>75</v>
      </c>
      <c r="E950" s="10">
        <v>105.42</v>
      </c>
      <c r="F950" s="10">
        <v>105.9</v>
      </c>
      <c r="G950" s="10">
        <v>105.31</v>
      </c>
      <c r="H950" s="10">
        <v>105.51</v>
      </c>
      <c r="I950" s="11">
        <v>4291758</v>
      </c>
      <c r="J950" s="10">
        <v>23212200000</v>
      </c>
    </row>
    <row r="951" spans="1:10" x14ac:dyDescent="0.25">
      <c r="A951" s="14">
        <v>45924</v>
      </c>
      <c r="B951" s="15" t="s">
        <v>76</v>
      </c>
      <c r="C951" s="15" t="s">
        <v>77</v>
      </c>
      <c r="D951" s="15" t="s">
        <v>75</v>
      </c>
      <c r="E951" s="16">
        <v>100.19</v>
      </c>
      <c r="F951" s="16">
        <v>100.42</v>
      </c>
      <c r="G951" s="16">
        <v>100.08</v>
      </c>
      <c r="H951" s="16">
        <v>100.22</v>
      </c>
      <c r="I951" s="17">
        <v>1013694</v>
      </c>
      <c r="J951" s="16">
        <v>20044000000</v>
      </c>
    </row>
    <row r="952" spans="1:10" x14ac:dyDescent="0.25">
      <c r="A952" s="8">
        <v>45925</v>
      </c>
      <c r="B952" s="9" t="s">
        <v>60</v>
      </c>
      <c r="C952" s="9" t="s">
        <v>61</v>
      </c>
      <c r="D952" s="9" t="s">
        <v>62</v>
      </c>
      <c r="E952" s="10">
        <v>4008.33</v>
      </c>
      <c r="F952" s="10">
        <v>4028.71</v>
      </c>
      <c r="G952" s="10">
        <v>3990.85</v>
      </c>
      <c r="H952" s="10">
        <v>4009.06</v>
      </c>
      <c r="I952" s="11">
        <v>1961854</v>
      </c>
      <c r="J952" s="10">
        <v>5612684000000</v>
      </c>
    </row>
    <row r="953" spans="1:10" x14ac:dyDescent="0.25">
      <c r="A953" s="14">
        <v>45925</v>
      </c>
      <c r="B953" s="15" t="s">
        <v>65</v>
      </c>
      <c r="C953" s="15" t="s">
        <v>66</v>
      </c>
      <c r="D953" s="15" t="s">
        <v>67</v>
      </c>
      <c r="E953" s="16">
        <v>132</v>
      </c>
      <c r="F953" s="16">
        <v>133.53</v>
      </c>
      <c r="G953" s="16">
        <v>131.88</v>
      </c>
      <c r="H953" s="16">
        <v>132.19999999999999</v>
      </c>
      <c r="I953" s="17">
        <v>4697709</v>
      </c>
      <c r="J953" s="16">
        <v>33050000000</v>
      </c>
    </row>
    <row r="954" spans="1:10" x14ac:dyDescent="0.25">
      <c r="A954" s="8">
        <v>45925</v>
      </c>
      <c r="B954" s="9" t="s">
        <v>69</v>
      </c>
      <c r="C954" s="9" t="s">
        <v>70</v>
      </c>
      <c r="D954" s="9" t="s">
        <v>71</v>
      </c>
      <c r="E954" s="10">
        <v>636.72</v>
      </c>
      <c r="F954" s="10">
        <v>638.67999999999995</v>
      </c>
      <c r="G954" s="10">
        <v>635.97</v>
      </c>
      <c r="H954" s="10">
        <v>638.47</v>
      </c>
      <c r="I954" s="11">
        <v>1051574</v>
      </c>
      <c r="J954" s="10">
        <v>510776000000</v>
      </c>
    </row>
    <row r="955" spans="1:10" x14ac:dyDescent="0.25">
      <c r="A955" s="14">
        <v>45925</v>
      </c>
      <c r="B955" s="15" t="s">
        <v>73</v>
      </c>
      <c r="C955" s="15" t="s">
        <v>74</v>
      </c>
      <c r="D955" s="15" t="s">
        <v>75</v>
      </c>
      <c r="E955" s="16">
        <v>104.15</v>
      </c>
      <c r="F955" s="16">
        <v>104.8</v>
      </c>
      <c r="G955" s="16">
        <v>103.59</v>
      </c>
      <c r="H955" s="16">
        <v>104.03</v>
      </c>
      <c r="I955" s="17">
        <v>1897943</v>
      </c>
      <c r="J955" s="16">
        <v>22886600000</v>
      </c>
    </row>
    <row r="956" spans="1:10" x14ac:dyDescent="0.25">
      <c r="A956" s="8">
        <v>45925</v>
      </c>
      <c r="B956" s="9" t="s">
        <v>76</v>
      </c>
      <c r="C956" s="9" t="s">
        <v>77</v>
      </c>
      <c r="D956" s="9" t="s">
        <v>75</v>
      </c>
      <c r="E956" s="10">
        <v>99.37</v>
      </c>
      <c r="F956" s="10">
        <v>100.33</v>
      </c>
      <c r="G956" s="10">
        <v>98.7</v>
      </c>
      <c r="H956" s="10">
        <v>100.31</v>
      </c>
      <c r="I956" s="11">
        <v>4009527</v>
      </c>
      <c r="J956" s="10">
        <v>20062000000</v>
      </c>
    </row>
    <row r="957" spans="1:10" x14ac:dyDescent="0.25">
      <c r="A957" s="14">
        <v>45926</v>
      </c>
      <c r="B957" s="15" t="s">
        <v>60</v>
      </c>
      <c r="C957" s="15" t="s">
        <v>61</v>
      </c>
      <c r="D957" s="15" t="s">
        <v>62</v>
      </c>
      <c r="E957" s="16">
        <v>4017.63</v>
      </c>
      <c r="F957" s="16">
        <v>4042.4</v>
      </c>
      <c r="G957" s="16">
        <v>3993.42</v>
      </c>
      <c r="H957" s="16">
        <v>4038.69</v>
      </c>
      <c r="I957" s="17">
        <v>2258652</v>
      </c>
      <c r="J957" s="16">
        <v>5654166000000</v>
      </c>
    </row>
    <row r="958" spans="1:10" x14ac:dyDescent="0.25">
      <c r="A958" s="8">
        <v>45926</v>
      </c>
      <c r="B958" s="9" t="s">
        <v>65</v>
      </c>
      <c r="C958" s="9" t="s">
        <v>66</v>
      </c>
      <c r="D958" s="9" t="s">
        <v>67</v>
      </c>
      <c r="E958" s="10">
        <v>132.82</v>
      </c>
      <c r="F958" s="10">
        <v>133.80000000000001</v>
      </c>
      <c r="G958" s="10">
        <v>132.72</v>
      </c>
      <c r="H958" s="10">
        <v>132.84</v>
      </c>
      <c r="I958" s="11">
        <v>757498</v>
      </c>
      <c r="J958" s="10">
        <v>33210000000</v>
      </c>
    </row>
    <row r="959" spans="1:10" x14ac:dyDescent="0.25">
      <c r="A959" s="14">
        <v>45926</v>
      </c>
      <c r="B959" s="15" t="s">
        <v>69</v>
      </c>
      <c r="C959" s="15" t="s">
        <v>70</v>
      </c>
      <c r="D959" s="15" t="s">
        <v>71</v>
      </c>
      <c r="E959" s="16">
        <v>619.87</v>
      </c>
      <c r="F959" s="16">
        <v>620.16999999999996</v>
      </c>
      <c r="G959" s="16">
        <v>612.97</v>
      </c>
      <c r="H959" s="16">
        <v>614.03</v>
      </c>
      <c r="I959" s="17">
        <v>2713277</v>
      </c>
      <c r="J959" s="16">
        <v>491224000000</v>
      </c>
    </row>
    <row r="960" spans="1:10" x14ac:dyDescent="0.25">
      <c r="A960" s="8">
        <v>45926</v>
      </c>
      <c r="B960" s="9" t="s">
        <v>73</v>
      </c>
      <c r="C960" s="9" t="s">
        <v>74</v>
      </c>
      <c r="D960" s="9" t="s">
        <v>75</v>
      </c>
      <c r="E960" s="10">
        <v>106.44</v>
      </c>
      <c r="F960" s="10">
        <v>106.55</v>
      </c>
      <c r="G960" s="10">
        <v>105.73</v>
      </c>
      <c r="H960" s="10">
        <v>105.75</v>
      </c>
      <c r="I960" s="11">
        <v>2053299</v>
      </c>
      <c r="J960" s="10">
        <v>23265000000</v>
      </c>
    </row>
    <row r="961" spans="1:10" x14ac:dyDescent="0.25">
      <c r="A961" s="14">
        <v>45926</v>
      </c>
      <c r="B961" s="15" t="s">
        <v>76</v>
      </c>
      <c r="C961" s="15" t="s">
        <v>77</v>
      </c>
      <c r="D961" s="15" t="s">
        <v>75</v>
      </c>
      <c r="E961" s="16">
        <v>101.39</v>
      </c>
      <c r="F961" s="16">
        <v>101.43</v>
      </c>
      <c r="G961" s="16">
        <v>100.83</v>
      </c>
      <c r="H961" s="16">
        <v>101.16</v>
      </c>
      <c r="I961" s="17">
        <v>2469780</v>
      </c>
      <c r="J961" s="16">
        <v>20232000000</v>
      </c>
    </row>
    <row r="962" spans="1:10" x14ac:dyDescent="0.25">
      <c r="A962" s="8">
        <v>45929</v>
      </c>
      <c r="B962" s="9" t="s">
        <v>60</v>
      </c>
      <c r="C962" s="9" t="s">
        <v>61</v>
      </c>
      <c r="D962" s="9" t="s">
        <v>62</v>
      </c>
      <c r="E962" s="10">
        <v>3958.82</v>
      </c>
      <c r="F962" s="10">
        <v>3972.17</v>
      </c>
      <c r="G962" s="10">
        <v>3910.07</v>
      </c>
      <c r="H962" s="10">
        <v>3951.57</v>
      </c>
      <c r="I962" s="11">
        <v>3459205</v>
      </c>
      <c r="J962" s="10">
        <v>5532198000000</v>
      </c>
    </row>
    <row r="963" spans="1:10" x14ac:dyDescent="0.25">
      <c r="A963" s="14">
        <v>45929</v>
      </c>
      <c r="B963" s="15" t="s">
        <v>65</v>
      </c>
      <c r="C963" s="15" t="s">
        <v>66</v>
      </c>
      <c r="D963" s="15" t="s">
        <v>67</v>
      </c>
      <c r="E963" s="16">
        <v>132.72</v>
      </c>
      <c r="F963" s="16">
        <v>134.08000000000001</v>
      </c>
      <c r="G963" s="16">
        <v>131.94</v>
      </c>
      <c r="H963" s="16">
        <v>132.03</v>
      </c>
      <c r="I963" s="17">
        <v>1728744</v>
      </c>
      <c r="J963" s="16">
        <v>33007500000</v>
      </c>
    </row>
    <row r="964" spans="1:10" x14ac:dyDescent="0.25">
      <c r="A964" s="8">
        <v>45929</v>
      </c>
      <c r="B964" s="9" t="s">
        <v>69</v>
      </c>
      <c r="C964" s="9" t="s">
        <v>70</v>
      </c>
      <c r="D964" s="9" t="s">
        <v>71</v>
      </c>
      <c r="E964" s="10">
        <v>619.88</v>
      </c>
      <c r="F964" s="10">
        <v>621.1</v>
      </c>
      <c r="G964" s="10">
        <v>618.58000000000004</v>
      </c>
      <c r="H964" s="10">
        <v>619.75</v>
      </c>
      <c r="I964" s="11">
        <v>369912</v>
      </c>
      <c r="J964" s="10">
        <v>495800000000</v>
      </c>
    </row>
    <row r="965" spans="1:10" x14ac:dyDescent="0.25">
      <c r="A965" s="14">
        <v>45929</v>
      </c>
      <c r="B965" s="15" t="s">
        <v>73</v>
      </c>
      <c r="C965" s="15" t="s">
        <v>74</v>
      </c>
      <c r="D965" s="15" t="s">
        <v>75</v>
      </c>
      <c r="E965" s="16">
        <v>104.58</v>
      </c>
      <c r="F965" s="16">
        <v>105.7</v>
      </c>
      <c r="G965" s="16">
        <v>104.08</v>
      </c>
      <c r="H965" s="16">
        <v>105.15</v>
      </c>
      <c r="I965" s="17">
        <v>3321737</v>
      </c>
      <c r="J965" s="16">
        <v>23133000000</v>
      </c>
    </row>
    <row r="966" spans="1:10" x14ac:dyDescent="0.25">
      <c r="A966" s="8">
        <v>45929</v>
      </c>
      <c r="B966" s="9" t="s">
        <v>76</v>
      </c>
      <c r="C966" s="9" t="s">
        <v>77</v>
      </c>
      <c r="D966" s="9" t="s">
        <v>75</v>
      </c>
      <c r="E966" s="10">
        <v>101.38</v>
      </c>
      <c r="F966" s="10">
        <v>101.5</v>
      </c>
      <c r="G966" s="10">
        <v>100.59</v>
      </c>
      <c r="H966" s="10">
        <v>100.8</v>
      </c>
      <c r="I966" s="11">
        <v>3493553</v>
      </c>
      <c r="J966" s="10">
        <v>20160000000</v>
      </c>
    </row>
    <row r="967" spans="1:10" x14ac:dyDescent="0.25">
      <c r="A967" s="14">
        <v>45930</v>
      </c>
      <c r="B967" s="15" t="s">
        <v>60</v>
      </c>
      <c r="C967" s="15" t="s">
        <v>61</v>
      </c>
      <c r="D967" s="15" t="s">
        <v>62</v>
      </c>
      <c r="E967" s="16">
        <v>3888.85</v>
      </c>
      <c r="F967" s="16">
        <v>3937.71</v>
      </c>
      <c r="G967" s="16">
        <v>3886.23</v>
      </c>
      <c r="H967" s="16">
        <v>3932.76</v>
      </c>
      <c r="I967" s="17">
        <v>4365640</v>
      </c>
      <c r="J967" s="16">
        <v>5505864000000</v>
      </c>
    </row>
    <row r="968" spans="1:10" x14ac:dyDescent="0.25">
      <c r="A968" s="8">
        <v>45930</v>
      </c>
      <c r="B968" s="9" t="s">
        <v>65</v>
      </c>
      <c r="C968" s="9" t="s">
        <v>66</v>
      </c>
      <c r="D968" s="9" t="s">
        <v>67</v>
      </c>
      <c r="E968" s="10">
        <v>133.69</v>
      </c>
      <c r="F968" s="10">
        <v>134.66999999999999</v>
      </c>
      <c r="G968" s="10">
        <v>133.19999999999999</v>
      </c>
      <c r="H968" s="10">
        <v>133.87</v>
      </c>
      <c r="I968" s="11">
        <v>480258</v>
      </c>
      <c r="J968" s="10">
        <v>33467500000</v>
      </c>
    </row>
    <row r="969" spans="1:10" x14ac:dyDescent="0.25">
      <c r="A969" s="14">
        <v>45930</v>
      </c>
      <c r="B969" s="15" t="s">
        <v>69</v>
      </c>
      <c r="C969" s="15" t="s">
        <v>70</v>
      </c>
      <c r="D969" s="15" t="s">
        <v>71</v>
      </c>
      <c r="E969" s="16">
        <v>629.97</v>
      </c>
      <c r="F969" s="16">
        <v>641.01</v>
      </c>
      <c r="G969" s="16">
        <v>627.15</v>
      </c>
      <c r="H969" s="16">
        <v>631.38</v>
      </c>
      <c r="I969" s="17">
        <v>4409854</v>
      </c>
      <c r="J969" s="16">
        <v>505104000000</v>
      </c>
    </row>
    <row r="970" spans="1:10" x14ac:dyDescent="0.25">
      <c r="A970" s="8">
        <v>45930</v>
      </c>
      <c r="B970" s="9" t="s">
        <v>73</v>
      </c>
      <c r="C970" s="9" t="s">
        <v>74</v>
      </c>
      <c r="D970" s="9" t="s">
        <v>75</v>
      </c>
      <c r="E970" s="10">
        <v>104.45</v>
      </c>
      <c r="F970" s="10">
        <v>104.75</v>
      </c>
      <c r="G970" s="10">
        <v>104.01</v>
      </c>
      <c r="H970" s="10">
        <v>104.47</v>
      </c>
      <c r="I970" s="11">
        <v>2281429</v>
      </c>
      <c r="J970" s="10">
        <v>22983400000</v>
      </c>
    </row>
    <row r="971" spans="1:10" x14ac:dyDescent="0.25">
      <c r="A971" s="14">
        <v>45930</v>
      </c>
      <c r="B971" s="15" t="s">
        <v>76</v>
      </c>
      <c r="C971" s="15" t="s">
        <v>77</v>
      </c>
      <c r="D971" s="15" t="s">
        <v>75</v>
      </c>
      <c r="E971" s="16">
        <v>101.98</v>
      </c>
      <c r="F971" s="16">
        <v>104.24</v>
      </c>
      <c r="G971" s="16">
        <v>101.92</v>
      </c>
      <c r="H971" s="16">
        <v>102.56</v>
      </c>
      <c r="I971" s="17">
        <v>820175</v>
      </c>
      <c r="J971" s="16">
        <v>20512000000</v>
      </c>
    </row>
    <row r="972" spans="1:10" x14ac:dyDescent="0.25">
      <c r="A972" s="8">
        <v>45931</v>
      </c>
      <c r="B972" s="9" t="s">
        <v>60</v>
      </c>
      <c r="C972" s="9" t="s">
        <v>61</v>
      </c>
      <c r="D972" s="9" t="s">
        <v>62</v>
      </c>
      <c r="E972" s="10">
        <v>3848.3</v>
      </c>
      <c r="F972" s="10">
        <v>3893.23</v>
      </c>
      <c r="G972" s="10">
        <v>3804.64</v>
      </c>
      <c r="H972" s="10">
        <v>3807.25</v>
      </c>
      <c r="I972" s="11">
        <v>4955168</v>
      </c>
      <c r="J972" s="10">
        <v>5330150000000</v>
      </c>
    </row>
    <row r="973" spans="1:10" x14ac:dyDescent="0.25">
      <c r="A973" s="14">
        <v>45931</v>
      </c>
      <c r="B973" s="15" t="s">
        <v>65</v>
      </c>
      <c r="C973" s="15" t="s">
        <v>66</v>
      </c>
      <c r="D973" s="15" t="s">
        <v>67</v>
      </c>
      <c r="E973" s="16">
        <v>131.55000000000001</v>
      </c>
      <c r="F973" s="16">
        <v>132.26</v>
      </c>
      <c r="G973" s="16">
        <v>131.31</v>
      </c>
      <c r="H973" s="16">
        <v>131.63</v>
      </c>
      <c r="I973" s="17">
        <v>3595436</v>
      </c>
      <c r="J973" s="16">
        <v>32907500000</v>
      </c>
    </row>
    <row r="974" spans="1:10" x14ac:dyDescent="0.25">
      <c r="A974" s="8">
        <v>45931</v>
      </c>
      <c r="B974" s="9" t="s">
        <v>69</v>
      </c>
      <c r="C974" s="9" t="s">
        <v>70</v>
      </c>
      <c r="D974" s="9" t="s">
        <v>71</v>
      </c>
      <c r="E974" s="10">
        <v>629.27</v>
      </c>
      <c r="F974" s="10">
        <v>631.07000000000005</v>
      </c>
      <c r="G974" s="10">
        <v>619.82000000000005</v>
      </c>
      <c r="H974" s="10">
        <v>626.71</v>
      </c>
      <c r="I974" s="11">
        <v>2207804</v>
      </c>
      <c r="J974" s="10">
        <v>501368000000</v>
      </c>
    </row>
    <row r="975" spans="1:10" x14ac:dyDescent="0.25">
      <c r="A975" s="14">
        <v>45931</v>
      </c>
      <c r="B975" s="15" t="s">
        <v>73</v>
      </c>
      <c r="C975" s="15" t="s">
        <v>74</v>
      </c>
      <c r="D975" s="15" t="s">
        <v>75</v>
      </c>
      <c r="E975" s="16">
        <v>107.18</v>
      </c>
      <c r="F975" s="16">
        <v>108.15</v>
      </c>
      <c r="G975" s="16">
        <v>106.62</v>
      </c>
      <c r="H975" s="16">
        <v>107.27</v>
      </c>
      <c r="I975" s="17">
        <v>2920456</v>
      </c>
      <c r="J975" s="16">
        <v>23599400000</v>
      </c>
    </row>
    <row r="976" spans="1:10" x14ac:dyDescent="0.25">
      <c r="A976" s="8">
        <v>45931</v>
      </c>
      <c r="B976" s="9" t="s">
        <v>76</v>
      </c>
      <c r="C976" s="9" t="s">
        <v>77</v>
      </c>
      <c r="D976" s="9" t="s">
        <v>75</v>
      </c>
      <c r="E976" s="10">
        <v>103.74</v>
      </c>
      <c r="F976" s="10">
        <v>104.14</v>
      </c>
      <c r="G976" s="10">
        <v>103.19</v>
      </c>
      <c r="H976" s="10">
        <v>103.32</v>
      </c>
      <c r="I976" s="11">
        <v>4841205</v>
      </c>
      <c r="J976" s="10">
        <v>20664000000</v>
      </c>
    </row>
    <row r="977" spans="1:10" x14ac:dyDescent="0.25">
      <c r="A977" s="14">
        <v>45932</v>
      </c>
      <c r="B977" s="15" t="s">
        <v>60</v>
      </c>
      <c r="C977" s="15" t="s">
        <v>61</v>
      </c>
      <c r="D977" s="15" t="s">
        <v>62</v>
      </c>
      <c r="E977" s="16">
        <v>3797.82</v>
      </c>
      <c r="F977" s="16">
        <v>3806.04</v>
      </c>
      <c r="G977" s="16">
        <v>3779.12</v>
      </c>
      <c r="H977" s="16">
        <v>3782.84</v>
      </c>
      <c r="I977" s="17">
        <v>4693998</v>
      </c>
      <c r="J977" s="16">
        <v>5295976000000</v>
      </c>
    </row>
    <row r="978" spans="1:10" x14ac:dyDescent="0.25">
      <c r="A978" s="8">
        <v>45932</v>
      </c>
      <c r="B978" s="9" t="s">
        <v>65</v>
      </c>
      <c r="C978" s="9" t="s">
        <v>66</v>
      </c>
      <c r="D978" s="9" t="s">
        <v>67</v>
      </c>
      <c r="E978" s="10">
        <v>133.41999999999999</v>
      </c>
      <c r="F978" s="10">
        <v>134.03</v>
      </c>
      <c r="G978" s="10">
        <v>131.88</v>
      </c>
      <c r="H978" s="10">
        <v>133.29</v>
      </c>
      <c r="I978" s="11">
        <v>1625802</v>
      </c>
      <c r="J978" s="10">
        <v>33322500000</v>
      </c>
    </row>
    <row r="979" spans="1:10" x14ac:dyDescent="0.25">
      <c r="A979" s="14">
        <v>45932</v>
      </c>
      <c r="B979" s="15" t="s">
        <v>69</v>
      </c>
      <c r="C979" s="15" t="s">
        <v>70</v>
      </c>
      <c r="D979" s="15" t="s">
        <v>71</v>
      </c>
      <c r="E979" s="16">
        <v>618.11</v>
      </c>
      <c r="F979" s="16">
        <v>620.71</v>
      </c>
      <c r="G979" s="16">
        <v>612.36</v>
      </c>
      <c r="H979" s="16">
        <v>620.28</v>
      </c>
      <c r="I979" s="17">
        <v>1293104</v>
      </c>
      <c r="J979" s="16">
        <v>496224000000</v>
      </c>
    </row>
    <row r="980" spans="1:10" x14ac:dyDescent="0.25">
      <c r="A980" s="8">
        <v>45932</v>
      </c>
      <c r="B980" s="9" t="s">
        <v>73</v>
      </c>
      <c r="C980" s="9" t="s">
        <v>74</v>
      </c>
      <c r="D980" s="9" t="s">
        <v>75</v>
      </c>
      <c r="E980" s="10">
        <v>108.53</v>
      </c>
      <c r="F980" s="10">
        <v>110.05</v>
      </c>
      <c r="G980" s="10">
        <v>108.4</v>
      </c>
      <c r="H980" s="10">
        <v>108.93</v>
      </c>
      <c r="I980" s="11">
        <v>3773220</v>
      </c>
      <c r="J980" s="10">
        <v>23964600000</v>
      </c>
    </row>
    <row r="981" spans="1:10" x14ac:dyDescent="0.25">
      <c r="A981" s="14">
        <v>45932</v>
      </c>
      <c r="B981" s="15" t="s">
        <v>76</v>
      </c>
      <c r="C981" s="15" t="s">
        <v>77</v>
      </c>
      <c r="D981" s="15" t="s">
        <v>75</v>
      </c>
      <c r="E981" s="16">
        <v>103.64</v>
      </c>
      <c r="F981" s="16">
        <v>104.32</v>
      </c>
      <c r="G981" s="16">
        <v>103.47</v>
      </c>
      <c r="H981" s="16">
        <v>104.1</v>
      </c>
      <c r="I981" s="17">
        <v>2596768</v>
      </c>
      <c r="J981" s="16">
        <v>20820000000</v>
      </c>
    </row>
    <row r="982" spans="1:10" x14ac:dyDescent="0.25">
      <c r="A982" s="8">
        <v>45933</v>
      </c>
      <c r="B982" s="9" t="s">
        <v>60</v>
      </c>
      <c r="C982" s="9" t="s">
        <v>61</v>
      </c>
      <c r="D982" s="9" t="s">
        <v>62</v>
      </c>
      <c r="E982" s="10">
        <v>3804.75</v>
      </c>
      <c r="F982" s="10">
        <v>3820.78</v>
      </c>
      <c r="G982" s="10">
        <v>3800</v>
      </c>
      <c r="H982" s="10">
        <v>3820.49</v>
      </c>
      <c r="I982" s="11">
        <v>2538605</v>
      </c>
      <c r="J982" s="10">
        <v>5348686000000</v>
      </c>
    </row>
    <row r="983" spans="1:10" x14ac:dyDescent="0.25">
      <c r="A983" s="14">
        <v>45933</v>
      </c>
      <c r="B983" s="15" t="s">
        <v>65</v>
      </c>
      <c r="C983" s="15" t="s">
        <v>66</v>
      </c>
      <c r="D983" s="15" t="s">
        <v>67</v>
      </c>
      <c r="E983" s="16">
        <v>133.66</v>
      </c>
      <c r="F983" s="16">
        <v>134.82</v>
      </c>
      <c r="G983" s="16">
        <v>132.75</v>
      </c>
      <c r="H983" s="16">
        <v>133.97999999999999</v>
      </c>
      <c r="I983" s="17">
        <v>2237033</v>
      </c>
      <c r="J983" s="16">
        <v>33495000000</v>
      </c>
    </row>
    <row r="984" spans="1:10" x14ac:dyDescent="0.25">
      <c r="A984" s="8">
        <v>45933</v>
      </c>
      <c r="B984" s="9" t="s">
        <v>69</v>
      </c>
      <c r="C984" s="9" t="s">
        <v>70</v>
      </c>
      <c r="D984" s="9" t="s">
        <v>71</v>
      </c>
      <c r="E984" s="10">
        <v>617.04</v>
      </c>
      <c r="F984" s="10">
        <v>621.34</v>
      </c>
      <c r="G984" s="10">
        <v>614.91</v>
      </c>
      <c r="H984" s="10">
        <v>618.14</v>
      </c>
      <c r="I984" s="11">
        <v>4232273</v>
      </c>
      <c r="J984" s="10">
        <v>494512000000</v>
      </c>
    </row>
    <row r="985" spans="1:10" x14ac:dyDescent="0.25">
      <c r="A985" s="14">
        <v>45933</v>
      </c>
      <c r="B985" s="15" t="s">
        <v>73</v>
      </c>
      <c r="C985" s="15" t="s">
        <v>74</v>
      </c>
      <c r="D985" s="15" t="s">
        <v>75</v>
      </c>
      <c r="E985" s="16">
        <v>107.23</v>
      </c>
      <c r="F985" s="16">
        <v>107.43</v>
      </c>
      <c r="G985" s="16">
        <v>106.42</v>
      </c>
      <c r="H985" s="16">
        <v>107.28</v>
      </c>
      <c r="I985" s="17">
        <v>4422544</v>
      </c>
      <c r="J985" s="16">
        <v>23601600000</v>
      </c>
    </row>
    <row r="986" spans="1:10" x14ac:dyDescent="0.25">
      <c r="A986" s="8">
        <v>45933</v>
      </c>
      <c r="B986" s="9" t="s">
        <v>76</v>
      </c>
      <c r="C986" s="9" t="s">
        <v>77</v>
      </c>
      <c r="D986" s="9" t="s">
        <v>75</v>
      </c>
      <c r="E986" s="10">
        <v>103.2</v>
      </c>
      <c r="F986" s="10">
        <v>103.28</v>
      </c>
      <c r="G986" s="10">
        <v>103.07</v>
      </c>
      <c r="H986" s="10">
        <v>103.27</v>
      </c>
      <c r="I986" s="11">
        <v>2563738</v>
      </c>
      <c r="J986" s="10">
        <v>20654000000</v>
      </c>
    </row>
    <row r="987" spans="1:10" x14ac:dyDescent="0.25">
      <c r="A987" s="14">
        <v>45936</v>
      </c>
      <c r="B987" s="15" t="s">
        <v>60</v>
      </c>
      <c r="C987" s="15" t="s">
        <v>61</v>
      </c>
      <c r="D987" s="15" t="s">
        <v>62</v>
      </c>
      <c r="E987" s="16">
        <v>3879.34</v>
      </c>
      <c r="F987" s="16">
        <v>3900.29</v>
      </c>
      <c r="G987" s="16">
        <v>3872.56</v>
      </c>
      <c r="H987" s="16">
        <v>3891.18</v>
      </c>
      <c r="I987" s="17">
        <v>2001491</v>
      </c>
      <c r="J987" s="16">
        <v>5447652000000</v>
      </c>
    </row>
    <row r="988" spans="1:10" x14ac:dyDescent="0.25">
      <c r="A988" s="8">
        <v>45936</v>
      </c>
      <c r="B988" s="9" t="s">
        <v>65</v>
      </c>
      <c r="C988" s="9" t="s">
        <v>66</v>
      </c>
      <c r="D988" s="9" t="s">
        <v>67</v>
      </c>
      <c r="E988" s="10">
        <v>134.04</v>
      </c>
      <c r="F988" s="10">
        <v>134.44</v>
      </c>
      <c r="G988" s="10">
        <v>131.24</v>
      </c>
      <c r="H988" s="10">
        <v>134.01</v>
      </c>
      <c r="I988" s="11">
        <v>4409938</v>
      </c>
      <c r="J988" s="10">
        <v>33502500000</v>
      </c>
    </row>
    <row r="989" spans="1:10" x14ac:dyDescent="0.25">
      <c r="A989" s="14">
        <v>45936</v>
      </c>
      <c r="B989" s="15" t="s">
        <v>69</v>
      </c>
      <c r="C989" s="15" t="s">
        <v>70</v>
      </c>
      <c r="D989" s="15" t="s">
        <v>71</v>
      </c>
      <c r="E989" s="16">
        <v>606.32000000000005</v>
      </c>
      <c r="F989" s="16">
        <v>610.03</v>
      </c>
      <c r="G989" s="16">
        <v>597.30999999999995</v>
      </c>
      <c r="H989" s="16">
        <v>608.6</v>
      </c>
      <c r="I989" s="17">
        <v>3886597</v>
      </c>
      <c r="J989" s="16">
        <v>486880000000</v>
      </c>
    </row>
    <row r="990" spans="1:10" x14ac:dyDescent="0.25">
      <c r="A990" s="8">
        <v>45936</v>
      </c>
      <c r="B990" s="9" t="s">
        <v>73</v>
      </c>
      <c r="C990" s="9" t="s">
        <v>74</v>
      </c>
      <c r="D990" s="9" t="s">
        <v>75</v>
      </c>
      <c r="E990" s="10">
        <v>106.91</v>
      </c>
      <c r="F990" s="10">
        <v>107.05</v>
      </c>
      <c r="G990" s="10">
        <v>106.83</v>
      </c>
      <c r="H990" s="10">
        <v>106.9</v>
      </c>
      <c r="I990" s="11">
        <v>4797630</v>
      </c>
      <c r="J990" s="10">
        <v>23518000000</v>
      </c>
    </row>
    <row r="991" spans="1:10" x14ac:dyDescent="0.25">
      <c r="A991" s="14">
        <v>45936</v>
      </c>
      <c r="B991" s="15" t="s">
        <v>76</v>
      </c>
      <c r="C991" s="15" t="s">
        <v>77</v>
      </c>
      <c r="D991" s="15" t="s">
        <v>75</v>
      </c>
      <c r="E991" s="16">
        <v>101.78</v>
      </c>
      <c r="F991" s="16">
        <v>103.42</v>
      </c>
      <c r="G991" s="16">
        <v>101.52</v>
      </c>
      <c r="H991" s="16">
        <v>103.02</v>
      </c>
      <c r="I991" s="17">
        <v>4667521</v>
      </c>
      <c r="J991" s="16">
        <v>20604000000</v>
      </c>
    </row>
    <row r="992" spans="1:10" x14ac:dyDescent="0.25">
      <c r="A992" s="8">
        <v>45937</v>
      </c>
      <c r="B992" s="9" t="s">
        <v>60</v>
      </c>
      <c r="C992" s="9" t="s">
        <v>61</v>
      </c>
      <c r="D992" s="9" t="s">
        <v>62</v>
      </c>
      <c r="E992" s="10">
        <v>3941.83</v>
      </c>
      <c r="F992" s="10">
        <v>3963.93</v>
      </c>
      <c r="G992" s="10">
        <v>3895.32</v>
      </c>
      <c r="H992" s="10">
        <v>3912.18</v>
      </c>
      <c r="I992" s="11">
        <v>4811973</v>
      </c>
      <c r="J992" s="10">
        <v>5477052000000</v>
      </c>
    </row>
    <row r="993" spans="1:10" x14ac:dyDescent="0.25">
      <c r="A993" s="14">
        <v>45937</v>
      </c>
      <c r="B993" s="15" t="s">
        <v>65</v>
      </c>
      <c r="C993" s="15" t="s">
        <v>66</v>
      </c>
      <c r="D993" s="15" t="s">
        <v>67</v>
      </c>
      <c r="E993" s="16">
        <v>131.16999999999999</v>
      </c>
      <c r="F993" s="16">
        <v>132.53</v>
      </c>
      <c r="G993" s="16">
        <v>130.13</v>
      </c>
      <c r="H993" s="16">
        <v>131.47</v>
      </c>
      <c r="I993" s="17">
        <v>4629584</v>
      </c>
      <c r="J993" s="16">
        <v>32867500000</v>
      </c>
    </row>
    <row r="994" spans="1:10" x14ac:dyDescent="0.25">
      <c r="A994" s="8">
        <v>45937</v>
      </c>
      <c r="B994" s="9" t="s">
        <v>69</v>
      </c>
      <c r="C994" s="9" t="s">
        <v>70</v>
      </c>
      <c r="D994" s="9" t="s">
        <v>71</v>
      </c>
      <c r="E994" s="10">
        <v>610.95000000000005</v>
      </c>
      <c r="F994" s="10">
        <v>623.41999999999996</v>
      </c>
      <c r="G994" s="10">
        <v>609.01</v>
      </c>
      <c r="H994" s="10">
        <v>621.75</v>
      </c>
      <c r="I994" s="11">
        <v>2698425</v>
      </c>
      <c r="J994" s="10">
        <v>497400000000</v>
      </c>
    </row>
    <row r="995" spans="1:10" x14ac:dyDescent="0.25">
      <c r="A995" s="14">
        <v>45937</v>
      </c>
      <c r="B995" s="15" t="s">
        <v>73</v>
      </c>
      <c r="C995" s="15" t="s">
        <v>74</v>
      </c>
      <c r="D995" s="15" t="s">
        <v>75</v>
      </c>
      <c r="E995" s="16">
        <v>108.53</v>
      </c>
      <c r="F995" s="16">
        <v>109.41</v>
      </c>
      <c r="G995" s="16">
        <v>108.31</v>
      </c>
      <c r="H995" s="16">
        <v>108.98</v>
      </c>
      <c r="I995" s="17">
        <v>757570</v>
      </c>
      <c r="J995" s="16">
        <v>23975600000</v>
      </c>
    </row>
    <row r="996" spans="1:10" x14ac:dyDescent="0.25">
      <c r="A996" s="8">
        <v>45937</v>
      </c>
      <c r="B996" s="9" t="s">
        <v>76</v>
      </c>
      <c r="C996" s="9" t="s">
        <v>77</v>
      </c>
      <c r="D996" s="9" t="s">
        <v>75</v>
      </c>
      <c r="E996" s="10">
        <v>101.81</v>
      </c>
      <c r="F996" s="10">
        <v>103.45</v>
      </c>
      <c r="G996" s="10">
        <v>100.67</v>
      </c>
      <c r="H996" s="10">
        <v>100.92</v>
      </c>
      <c r="I996" s="11">
        <v>4499821</v>
      </c>
      <c r="J996" s="10">
        <v>20184000000</v>
      </c>
    </row>
    <row r="997" spans="1:10" x14ac:dyDescent="0.25">
      <c r="A997" s="14">
        <v>45938</v>
      </c>
      <c r="B997" s="15" t="s">
        <v>60</v>
      </c>
      <c r="C997" s="15" t="s">
        <v>61</v>
      </c>
      <c r="D997" s="15" t="s">
        <v>62</v>
      </c>
      <c r="E997" s="16">
        <v>3932.15</v>
      </c>
      <c r="F997" s="16">
        <v>3973.55</v>
      </c>
      <c r="G997" s="16">
        <v>3896.49</v>
      </c>
      <c r="H997" s="16">
        <v>3968.76</v>
      </c>
      <c r="I997" s="17">
        <v>4883595</v>
      </c>
      <c r="J997" s="16">
        <v>5556264000000</v>
      </c>
    </row>
    <row r="998" spans="1:10" x14ac:dyDescent="0.25">
      <c r="A998" s="8">
        <v>45938</v>
      </c>
      <c r="B998" s="9" t="s">
        <v>65</v>
      </c>
      <c r="C998" s="9" t="s">
        <v>66</v>
      </c>
      <c r="D998" s="9" t="s">
        <v>67</v>
      </c>
      <c r="E998" s="10">
        <v>132.84</v>
      </c>
      <c r="F998" s="10">
        <v>133.66</v>
      </c>
      <c r="G998" s="10">
        <v>132.19999999999999</v>
      </c>
      <c r="H998" s="10">
        <v>133.06</v>
      </c>
      <c r="I998" s="11">
        <v>1993928</v>
      </c>
      <c r="J998" s="10">
        <v>33265000000</v>
      </c>
    </row>
    <row r="999" spans="1:10" x14ac:dyDescent="0.25">
      <c r="A999" s="14">
        <v>45938</v>
      </c>
      <c r="B999" s="15" t="s">
        <v>69</v>
      </c>
      <c r="C999" s="15" t="s">
        <v>70</v>
      </c>
      <c r="D999" s="15" t="s">
        <v>71</v>
      </c>
      <c r="E999" s="16">
        <v>623.65</v>
      </c>
      <c r="F999" s="16">
        <v>625.25</v>
      </c>
      <c r="G999" s="16">
        <v>622.19000000000005</v>
      </c>
      <c r="H999" s="16">
        <v>623.17999999999995</v>
      </c>
      <c r="I999" s="17">
        <v>1675681</v>
      </c>
      <c r="J999" s="16">
        <v>498544000000</v>
      </c>
    </row>
    <row r="1000" spans="1:10" x14ac:dyDescent="0.25">
      <c r="A1000" s="8">
        <v>45938</v>
      </c>
      <c r="B1000" s="9" t="s">
        <v>73</v>
      </c>
      <c r="C1000" s="9" t="s">
        <v>74</v>
      </c>
      <c r="D1000" s="9" t="s">
        <v>75</v>
      </c>
      <c r="E1000" s="10">
        <v>108.84</v>
      </c>
      <c r="F1000" s="10">
        <v>109.28</v>
      </c>
      <c r="G1000" s="10">
        <v>108.12</v>
      </c>
      <c r="H1000" s="10">
        <v>108.54</v>
      </c>
      <c r="I1000" s="11">
        <v>4694098</v>
      </c>
      <c r="J1000" s="10">
        <v>23878800000</v>
      </c>
    </row>
    <row r="1001" spans="1:10" x14ac:dyDescent="0.25">
      <c r="A1001" s="14">
        <v>45938</v>
      </c>
      <c r="B1001" s="15" t="s">
        <v>76</v>
      </c>
      <c r="C1001" s="15" t="s">
        <v>77</v>
      </c>
      <c r="D1001" s="15" t="s">
        <v>75</v>
      </c>
      <c r="E1001" s="16">
        <v>102.03</v>
      </c>
      <c r="F1001" s="16">
        <v>102.38</v>
      </c>
      <c r="G1001" s="16">
        <v>100.76</v>
      </c>
      <c r="H1001" s="16">
        <v>102.34</v>
      </c>
      <c r="I1001" s="17">
        <v>1641335</v>
      </c>
      <c r="J1001" s="16">
        <v>20468000000</v>
      </c>
    </row>
    <row r="1002" spans="1:10" x14ac:dyDescent="0.25">
      <c r="A1002" s="8">
        <v>45939</v>
      </c>
      <c r="B1002" s="9" t="s">
        <v>60</v>
      </c>
      <c r="C1002" s="9" t="s">
        <v>61</v>
      </c>
      <c r="D1002" s="9" t="s">
        <v>62</v>
      </c>
      <c r="E1002" s="10">
        <v>3927.41</v>
      </c>
      <c r="F1002" s="10">
        <v>3948.65</v>
      </c>
      <c r="G1002" s="10">
        <v>3919.48</v>
      </c>
      <c r="H1002" s="10">
        <v>3935.98</v>
      </c>
      <c r="I1002" s="11">
        <v>1559043</v>
      </c>
      <c r="J1002" s="10">
        <v>5510372000000</v>
      </c>
    </row>
    <row r="1003" spans="1:10" x14ac:dyDescent="0.25">
      <c r="A1003" s="14">
        <v>45939</v>
      </c>
      <c r="B1003" s="15" t="s">
        <v>65</v>
      </c>
      <c r="C1003" s="15" t="s">
        <v>66</v>
      </c>
      <c r="D1003" s="15" t="s">
        <v>67</v>
      </c>
      <c r="E1003" s="16">
        <v>128.71</v>
      </c>
      <c r="F1003" s="16">
        <v>129.01</v>
      </c>
      <c r="G1003" s="16">
        <v>128.22</v>
      </c>
      <c r="H1003" s="16">
        <v>128.83000000000001</v>
      </c>
      <c r="I1003" s="17">
        <v>730423</v>
      </c>
      <c r="J1003" s="16">
        <v>32207500000</v>
      </c>
    </row>
    <row r="1004" spans="1:10" x14ac:dyDescent="0.25">
      <c r="A1004" s="8">
        <v>45939</v>
      </c>
      <c r="B1004" s="9" t="s">
        <v>69</v>
      </c>
      <c r="C1004" s="9" t="s">
        <v>70</v>
      </c>
      <c r="D1004" s="9" t="s">
        <v>71</v>
      </c>
      <c r="E1004" s="10">
        <v>616.26</v>
      </c>
      <c r="F1004" s="10">
        <v>618.30999999999995</v>
      </c>
      <c r="G1004" s="10">
        <v>615.63</v>
      </c>
      <c r="H1004" s="10">
        <v>617.30999999999995</v>
      </c>
      <c r="I1004" s="11">
        <v>1286114</v>
      </c>
      <c r="J1004" s="10">
        <v>493848000000</v>
      </c>
    </row>
    <row r="1005" spans="1:10" x14ac:dyDescent="0.25">
      <c r="A1005" s="14">
        <v>45939</v>
      </c>
      <c r="B1005" s="15" t="s">
        <v>73</v>
      </c>
      <c r="C1005" s="15" t="s">
        <v>74</v>
      </c>
      <c r="D1005" s="15" t="s">
        <v>75</v>
      </c>
      <c r="E1005" s="16">
        <v>106.8</v>
      </c>
      <c r="F1005" s="16">
        <v>108.55</v>
      </c>
      <c r="G1005" s="16">
        <v>105.51</v>
      </c>
      <c r="H1005" s="16">
        <v>105.52</v>
      </c>
      <c r="I1005" s="17">
        <v>2423248</v>
      </c>
      <c r="J1005" s="16">
        <v>23214400000</v>
      </c>
    </row>
    <row r="1006" spans="1:10" x14ac:dyDescent="0.25">
      <c r="A1006" s="8">
        <v>45939</v>
      </c>
      <c r="B1006" s="9" t="s">
        <v>76</v>
      </c>
      <c r="C1006" s="9" t="s">
        <v>77</v>
      </c>
      <c r="D1006" s="9" t="s">
        <v>75</v>
      </c>
      <c r="E1006" s="10">
        <v>104.16</v>
      </c>
      <c r="F1006" s="10">
        <v>104.23</v>
      </c>
      <c r="G1006" s="10">
        <v>102.65</v>
      </c>
      <c r="H1006" s="10">
        <v>103.61</v>
      </c>
      <c r="I1006" s="11">
        <v>4439499</v>
      </c>
      <c r="J1006" s="10">
        <v>20722000000</v>
      </c>
    </row>
    <row r="1007" spans="1:10" x14ac:dyDescent="0.25">
      <c r="A1007" s="14">
        <v>45940</v>
      </c>
      <c r="B1007" s="15" t="s">
        <v>60</v>
      </c>
      <c r="C1007" s="15" t="s">
        <v>61</v>
      </c>
      <c r="D1007" s="15" t="s">
        <v>62</v>
      </c>
      <c r="E1007" s="16">
        <v>3937.68</v>
      </c>
      <c r="F1007" s="16">
        <v>3940.88</v>
      </c>
      <c r="G1007" s="16">
        <v>3895.8</v>
      </c>
      <c r="H1007" s="16">
        <v>3917.25</v>
      </c>
      <c r="I1007" s="17">
        <v>3740599</v>
      </c>
      <c r="J1007" s="16">
        <v>5484150000000</v>
      </c>
    </row>
    <row r="1008" spans="1:10" x14ac:dyDescent="0.25">
      <c r="A1008" s="8">
        <v>45940</v>
      </c>
      <c r="B1008" s="9" t="s">
        <v>65</v>
      </c>
      <c r="C1008" s="9" t="s">
        <v>66</v>
      </c>
      <c r="D1008" s="9" t="s">
        <v>67</v>
      </c>
      <c r="E1008" s="10">
        <v>126.41</v>
      </c>
      <c r="F1008" s="10">
        <v>126.9</v>
      </c>
      <c r="G1008" s="10">
        <v>124.32</v>
      </c>
      <c r="H1008" s="10">
        <v>125.04</v>
      </c>
      <c r="I1008" s="11">
        <v>4977057</v>
      </c>
      <c r="J1008" s="10">
        <v>31260000000</v>
      </c>
    </row>
    <row r="1009" spans="1:10" x14ac:dyDescent="0.25">
      <c r="A1009" s="14">
        <v>45940</v>
      </c>
      <c r="B1009" s="15" t="s">
        <v>69</v>
      </c>
      <c r="C1009" s="15" t="s">
        <v>70</v>
      </c>
      <c r="D1009" s="15" t="s">
        <v>71</v>
      </c>
      <c r="E1009" s="16">
        <v>618.22</v>
      </c>
      <c r="F1009" s="16">
        <v>619.66</v>
      </c>
      <c r="G1009" s="16">
        <v>615.16999999999996</v>
      </c>
      <c r="H1009" s="16">
        <v>616</v>
      </c>
      <c r="I1009" s="17">
        <v>761909</v>
      </c>
      <c r="J1009" s="16">
        <v>492800000000</v>
      </c>
    </row>
    <row r="1010" spans="1:10" x14ac:dyDescent="0.25">
      <c r="A1010" s="8">
        <v>45940</v>
      </c>
      <c r="B1010" s="9" t="s">
        <v>73</v>
      </c>
      <c r="C1010" s="9" t="s">
        <v>74</v>
      </c>
      <c r="D1010" s="9" t="s">
        <v>75</v>
      </c>
      <c r="E1010" s="10">
        <v>105.29</v>
      </c>
      <c r="F1010" s="10">
        <v>105.48</v>
      </c>
      <c r="G1010" s="10">
        <v>104.53</v>
      </c>
      <c r="H1010" s="10">
        <v>105.33</v>
      </c>
      <c r="I1010" s="11">
        <v>2803509</v>
      </c>
      <c r="J1010" s="10">
        <v>23172600000</v>
      </c>
    </row>
    <row r="1011" spans="1:10" x14ac:dyDescent="0.25">
      <c r="A1011" s="14">
        <v>45940</v>
      </c>
      <c r="B1011" s="15" t="s">
        <v>76</v>
      </c>
      <c r="C1011" s="15" t="s">
        <v>77</v>
      </c>
      <c r="D1011" s="15" t="s">
        <v>75</v>
      </c>
      <c r="E1011" s="16">
        <v>101.8</v>
      </c>
      <c r="F1011" s="16">
        <v>101.97</v>
      </c>
      <c r="G1011" s="16">
        <v>101.5</v>
      </c>
      <c r="H1011" s="16">
        <v>101.55</v>
      </c>
      <c r="I1011" s="17">
        <v>1795255</v>
      </c>
      <c r="J1011" s="16">
        <v>20310000000</v>
      </c>
    </row>
    <row r="1012" spans="1:10" x14ac:dyDescent="0.25">
      <c r="A1012" s="8">
        <v>45943</v>
      </c>
      <c r="B1012" s="9" t="s">
        <v>60</v>
      </c>
      <c r="C1012" s="9" t="s">
        <v>61</v>
      </c>
      <c r="D1012" s="9" t="s">
        <v>62</v>
      </c>
      <c r="E1012" s="10">
        <v>3943.45</v>
      </c>
      <c r="F1012" s="10">
        <v>3965.36</v>
      </c>
      <c r="G1012" s="10">
        <v>3917.47</v>
      </c>
      <c r="H1012" s="10">
        <v>3944.88</v>
      </c>
      <c r="I1012" s="11">
        <v>1788300</v>
      </c>
      <c r="J1012" s="10">
        <v>5522832000000</v>
      </c>
    </row>
    <row r="1013" spans="1:10" x14ac:dyDescent="0.25">
      <c r="A1013" s="14">
        <v>45943</v>
      </c>
      <c r="B1013" s="15" t="s">
        <v>65</v>
      </c>
      <c r="C1013" s="15" t="s">
        <v>66</v>
      </c>
      <c r="D1013" s="15" t="s">
        <v>67</v>
      </c>
      <c r="E1013" s="16">
        <v>122.6</v>
      </c>
      <c r="F1013" s="16">
        <v>124.2</v>
      </c>
      <c r="G1013" s="16">
        <v>122.26</v>
      </c>
      <c r="H1013" s="16">
        <v>122.96</v>
      </c>
      <c r="I1013" s="17">
        <v>600648</v>
      </c>
      <c r="J1013" s="16">
        <v>30740000000</v>
      </c>
    </row>
    <row r="1014" spans="1:10" x14ac:dyDescent="0.25">
      <c r="A1014" s="8">
        <v>45943</v>
      </c>
      <c r="B1014" s="9" t="s">
        <v>69</v>
      </c>
      <c r="C1014" s="9" t="s">
        <v>70</v>
      </c>
      <c r="D1014" s="9" t="s">
        <v>71</v>
      </c>
      <c r="E1014" s="10">
        <v>622.62</v>
      </c>
      <c r="F1014" s="10">
        <v>624.94000000000005</v>
      </c>
      <c r="G1014" s="10">
        <v>619.32000000000005</v>
      </c>
      <c r="H1014" s="10">
        <v>619.70000000000005</v>
      </c>
      <c r="I1014" s="11">
        <v>3884652</v>
      </c>
      <c r="J1014" s="10">
        <v>495760000000</v>
      </c>
    </row>
    <row r="1015" spans="1:10" x14ac:dyDescent="0.25">
      <c r="A1015" s="14">
        <v>45943</v>
      </c>
      <c r="B1015" s="15" t="s">
        <v>73</v>
      </c>
      <c r="C1015" s="15" t="s">
        <v>74</v>
      </c>
      <c r="D1015" s="15" t="s">
        <v>75</v>
      </c>
      <c r="E1015" s="16">
        <v>106.48</v>
      </c>
      <c r="F1015" s="16">
        <v>106.65</v>
      </c>
      <c r="G1015" s="16">
        <v>106.22</v>
      </c>
      <c r="H1015" s="16">
        <v>106.42</v>
      </c>
      <c r="I1015" s="17">
        <v>1323605</v>
      </c>
      <c r="J1015" s="16">
        <v>23412400000</v>
      </c>
    </row>
    <row r="1016" spans="1:10" x14ac:dyDescent="0.25">
      <c r="A1016" s="8">
        <v>45943</v>
      </c>
      <c r="B1016" s="9" t="s">
        <v>76</v>
      </c>
      <c r="C1016" s="9" t="s">
        <v>77</v>
      </c>
      <c r="D1016" s="9" t="s">
        <v>75</v>
      </c>
      <c r="E1016" s="10">
        <v>101.15</v>
      </c>
      <c r="F1016" s="10">
        <v>101.76</v>
      </c>
      <c r="G1016" s="10">
        <v>100.18</v>
      </c>
      <c r="H1016" s="10">
        <v>101.28</v>
      </c>
      <c r="I1016" s="11">
        <v>788087</v>
      </c>
      <c r="J1016" s="10">
        <v>20256000000</v>
      </c>
    </row>
    <row r="1017" spans="1:10" x14ac:dyDescent="0.25">
      <c r="A1017" s="14">
        <v>45944</v>
      </c>
      <c r="B1017" s="15" t="s">
        <v>60</v>
      </c>
      <c r="C1017" s="15" t="s">
        <v>61</v>
      </c>
      <c r="D1017" s="15" t="s">
        <v>62</v>
      </c>
      <c r="E1017" s="16">
        <v>3933.46</v>
      </c>
      <c r="F1017" s="16">
        <v>3972.82</v>
      </c>
      <c r="G1017" s="16">
        <v>3901.19</v>
      </c>
      <c r="H1017" s="16">
        <v>3946.24</v>
      </c>
      <c r="I1017" s="17">
        <v>1035427</v>
      </c>
      <c r="J1017" s="16">
        <v>5524736000000</v>
      </c>
    </row>
    <row r="1018" spans="1:10" x14ac:dyDescent="0.25">
      <c r="A1018" s="8">
        <v>45944</v>
      </c>
      <c r="B1018" s="9" t="s">
        <v>65</v>
      </c>
      <c r="C1018" s="9" t="s">
        <v>66</v>
      </c>
      <c r="D1018" s="9" t="s">
        <v>67</v>
      </c>
      <c r="E1018" s="10">
        <v>120.18</v>
      </c>
      <c r="F1018" s="10">
        <v>120.33</v>
      </c>
      <c r="G1018" s="10">
        <v>117.6</v>
      </c>
      <c r="H1018" s="10">
        <v>118.38</v>
      </c>
      <c r="I1018" s="11">
        <v>2954898</v>
      </c>
      <c r="J1018" s="10">
        <v>29595000000</v>
      </c>
    </row>
    <row r="1019" spans="1:10" x14ac:dyDescent="0.25">
      <c r="A1019" s="14">
        <v>45944</v>
      </c>
      <c r="B1019" s="15" t="s">
        <v>69</v>
      </c>
      <c r="C1019" s="15" t="s">
        <v>70</v>
      </c>
      <c r="D1019" s="15" t="s">
        <v>71</v>
      </c>
      <c r="E1019" s="16">
        <v>608.84</v>
      </c>
      <c r="F1019" s="16">
        <v>609.23</v>
      </c>
      <c r="G1019" s="16">
        <v>602.48</v>
      </c>
      <c r="H1019" s="16">
        <v>606.69000000000005</v>
      </c>
      <c r="I1019" s="17">
        <v>1388112</v>
      </c>
      <c r="J1019" s="16">
        <v>485352000000</v>
      </c>
    </row>
    <row r="1020" spans="1:10" x14ac:dyDescent="0.25">
      <c r="A1020" s="8">
        <v>45944</v>
      </c>
      <c r="B1020" s="9" t="s">
        <v>73</v>
      </c>
      <c r="C1020" s="9" t="s">
        <v>74</v>
      </c>
      <c r="D1020" s="9" t="s">
        <v>75</v>
      </c>
      <c r="E1020" s="10">
        <v>105.03</v>
      </c>
      <c r="F1020" s="10">
        <v>105.68</v>
      </c>
      <c r="G1020" s="10">
        <v>104.9</v>
      </c>
      <c r="H1020" s="10">
        <v>105.53</v>
      </c>
      <c r="I1020" s="11">
        <v>2252210</v>
      </c>
      <c r="J1020" s="10">
        <v>23216600000</v>
      </c>
    </row>
    <row r="1021" spans="1:10" x14ac:dyDescent="0.25">
      <c r="A1021" s="14">
        <v>45944</v>
      </c>
      <c r="B1021" s="15" t="s">
        <v>76</v>
      </c>
      <c r="C1021" s="15" t="s">
        <v>77</v>
      </c>
      <c r="D1021" s="15" t="s">
        <v>75</v>
      </c>
      <c r="E1021" s="16">
        <v>99.53</v>
      </c>
      <c r="F1021" s="16">
        <v>100.1</v>
      </c>
      <c r="G1021" s="16">
        <v>97.39</v>
      </c>
      <c r="H1021" s="16">
        <v>97.39</v>
      </c>
      <c r="I1021" s="17">
        <v>501215</v>
      </c>
      <c r="J1021" s="16">
        <v>19478000000</v>
      </c>
    </row>
    <row r="1022" spans="1:10" x14ac:dyDescent="0.25">
      <c r="A1022" s="8">
        <v>45945</v>
      </c>
      <c r="B1022" s="9" t="s">
        <v>60</v>
      </c>
      <c r="C1022" s="9" t="s">
        <v>61</v>
      </c>
      <c r="D1022" s="9" t="s">
        <v>62</v>
      </c>
      <c r="E1022" s="10">
        <v>3843.93</v>
      </c>
      <c r="F1022" s="10">
        <v>3855.94</v>
      </c>
      <c r="G1022" s="10">
        <v>3842.28</v>
      </c>
      <c r="H1022" s="10">
        <v>3850.69</v>
      </c>
      <c r="I1022" s="11">
        <v>3778186</v>
      </c>
      <c r="J1022" s="10">
        <v>5390966000000</v>
      </c>
    </row>
    <row r="1023" spans="1:10" x14ac:dyDescent="0.25">
      <c r="A1023" s="14">
        <v>45945</v>
      </c>
      <c r="B1023" s="15" t="s">
        <v>65</v>
      </c>
      <c r="C1023" s="15" t="s">
        <v>66</v>
      </c>
      <c r="D1023" s="15" t="s">
        <v>67</v>
      </c>
      <c r="E1023" s="16">
        <v>117.2</v>
      </c>
      <c r="F1023" s="16">
        <v>117.92</v>
      </c>
      <c r="G1023" s="16">
        <v>116.77</v>
      </c>
      <c r="H1023" s="16">
        <v>117.41</v>
      </c>
      <c r="I1023" s="17">
        <v>2081219</v>
      </c>
      <c r="J1023" s="16">
        <v>29352500000</v>
      </c>
    </row>
    <row r="1024" spans="1:10" x14ac:dyDescent="0.25">
      <c r="A1024" s="8">
        <v>45945</v>
      </c>
      <c r="B1024" s="9" t="s">
        <v>69</v>
      </c>
      <c r="C1024" s="9" t="s">
        <v>70</v>
      </c>
      <c r="D1024" s="9" t="s">
        <v>71</v>
      </c>
      <c r="E1024" s="10">
        <v>612.9</v>
      </c>
      <c r="F1024" s="10">
        <v>613.13</v>
      </c>
      <c r="G1024" s="10">
        <v>611.19000000000005</v>
      </c>
      <c r="H1024" s="10">
        <v>611.79</v>
      </c>
      <c r="I1024" s="11">
        <v>4550420</v>
      </c>
      <c r="J1024" s="10">
        <v>489432000000</v>
      </c>
    </row>
    <row r="1025" spans="1:10" x14ac:dyDescent="0.25">
      <c r="A1025" s="14">
        <v>45945</v>
      </c>
      <c r="B1025" s="15" t="s">
        <v>73</v>
      </c>
      <c r="C1025" s="15" t="s">
        <v>74</v>
      </c>
      <c r="D1025" s="15" t="s">
        <v>75</v>
      </c>
      <c r="E1025" s="16">
        <v>108.29</v>
      </c>
      <c r="F1025" s="16">
        <v>109.7</v>
      </c>
      <c r="G1025" s="16">
        <v>107.83</v>
      </c>
      <c r="H1025" s="16">
        <v>108.04</v>
      </c>
      <c r="I1025" s="17">
        <v>3095779</v>
      </c>
      <c r="J1025" s="16">
        <v>23768800000</v>
      </c>
    </row>
    <row r="1026" spans="1:10" x14ac:dyDescent="0.25">
      <c r="A1026" s="8">
        <v>45945</v>
      </c>
      <c r="B1026" s="9" t="s">
        <v>76</v>
      </c>
      <c r="C1026" s="9" t="s">
        <v>77</v>
      </c>
      <c r="D1026" s="9" t="s">
        <v>75</v>
      </c>
      <c r="E1026" s="10">
        <v>96.14</v>
      </c>
      <c r="F1026" s="10">
        <v>97.18</v>
      </c>
      <c r="G1026" s="10">
        <v>96</v>
      </c>
      <c r="H1026" s="10">
        <v>96.21</v>
      </c>
      <c r="I1026" s="11">
        <v>3072559</v>
      </c>
      <c r="J1026" s="10">
        <v>19242000000</v>
      </c>
    </row>
    <row r="1027" spans="1:10" x14ac:dyDescent="0.25">
      <c r="A1027" s="14">
        <v>45946</v>
      </c>
      <c r="B1027" s="15" t="s">
        <v>60</v>
      </c>
      <c r="C1027" s="15" t="s">
        <v>61</v>
      </c>
      <c r="D1027" s="15" t="s">
        <v>62</v>
      </c>
      <c r="E1027" s="16">
        <v>3842.11</v>
      </c>
      <c r="F1027" s="16">
        <v>3877.03</v>
      </c>
      <c r="G1027" s="16">
        <v>3782.05</v>
      </c>
      <c r="H1027" s="16">
        <v>3827.56</v>
      </c>
      <c r="I1027" s="17">
        <v>4280398</v>
      </c>
      <c r="J1027" s="16">
        <v>5358584000000</v>
      </c>
    </row>
    <row r="1028" spans="1:10" x14ac:dyDescent="0.25">
      <c r="A1028" s="8">
        <v>45946</v>
      </c>
      <c r="B1028" s="9" t="s">
        <v>65</v>
      </c>
      <c r="C1028" s="9" t="s">
        <v>66</v>
      </c>
      <c r="D1028" s="9" t="s">
        <v>67</v>
      </c>
      <c r="E1028" s="10">
        <v>118.18</v>
      </c>
      <c r="F1028" s="10">
        <v>119.48</v>
      </c>
      <c r="G1028" s="10">
        <v>116.86</v>
      </c>
      <c r="H1028" s="10">
        <v>119.2</v>
      </c>
      <c r="I1028" s="11">
        <v>4804410</v>
      </c>
      <c r="J1028" s="10">
        <v>29800000000</v>
      </c>
    </row>
    <row r="1029" spans="1:10" x14ac:dyDescent="0.25">
      <c r="A1029" s="14">
        <v>45946</v>
      </c>
      <c r="B1029" s="15" t="s">
        <v>69</v>
      </c>
      <c r="C1029" s="15" t="s">
        <v>70</v>
      </c>
      <c r="D1029" s="15" t="s">
        <v>71</v>
      </c>
      <c r="E1029" s="16">
        <v>613.41</v>
      </c>
      <c r="F1029" s="16">
        <v>617.75</v>
      </c>
      <c r="G1029" s="16">
        <v>610.08000000000004</v>
      </c>
      <c r="H1029" s="16">
        <v>616.32000000000005</v>
      </c>
      <c r="I1029" s="17">
        <v>769948</v>
      </c>
      <c r="J1029" s="16">
        <v>493056000000</v>
      </c>
    </row>
    <row r="1030" spans="1:10" x14ac:dyDescent="0.25">
      <c r="A1030" s="8">
        <v>45946</v>
      </c>
      <c r="B1030" s="9" t="s">
        <v>73</v>
      </c>
      <c r="C1030" s="9" t="s">
        <v>74</v>
      </c>
      <c r="D1030" s="9" t="s">
        <v>75</v>
      </c>
      <c r="E1030" s="10">
        <v>108.76</v>
      </c>
      <c r="F1030" s="10">
        <v>109.39</v>
      </c>
      <c r="G1030" s="10">
        <v>108.64</v>
      </c>
      <c r="H1030" s="10">
        <v>109.04</v>
      </c>
      <c r="I1030" s="11">
        <v>2047032</v>
      </c>
      <c r="J1030" s="10">
        <v>23988800000</v>
      </c>
    </row>
    <row r="1031" spans="1:10" x14ac:dyDescent="0.25">
      <c r="A1031" s="14">
        <v>45946</v>
      </c>
      <c r="B1031" s="15" t="s">
        <v>76</v>
      </c>
      <c r="C1031" s="15" t="s">
        <v>77</v>
      </c>
      <c r="D1031" s="15" t="s">
        <v>75</v>
      </c>
      <c r="E1031" s="16">
        <v>94.99</v>
      </c>
      <c r="F1031" s="16">
        <v>95.59</v>
      </c>
      <c r="G1031" s="16">
        <v>94.67</v>
      </c>
      <c r="H1031" s="16">
        <v>95.51</v>
      </c>
      <c r="I1031" s="17">
        <v>3266174</v>
      </c>
      <c r="J1031" s="16">
        <v>19102000000</v>
      </c>
    </row>
    <row r="1032" spans="1:10" x14ac:dyDescent="0.25">
      <c r="A1032" s="8">
        <v>45947</v>
      </c>
      <c r="B1032" s="9" t="s">
        <v>60</v>
      </c>
      <c r="C1032" s="9" t="s">
        <v>61</v>
      </c>
      <c r="D1032" s="9" t="s">
        <v>62</v>
      </c>
      <c r="E1032" s="10">
        <v>3858.19</v>
      </c>
      <c r="F1032" s="10">
        <v>3865.28</v>
      </c>
      <c r="G1032" s="10">
        <v>3843.03</v>
      </c>
      <c r="H1032" s="10">
        <v>3851.38</v>
      </c>
      <c r="I1032" s="11">
        <v>4781808</v>
      </c>
      <c r="J1032" s="10">
        <v>5391932000000</v>
      </c>
    </row>
    <row r="1033" spans="1:10" x14ac:dyDescent="0.25">
      <c r="A1033" s="14">
        <v>45947</v>
      </c>
      <c r="B1033" s="15" t="s">
        <v>65</v>
      </c>
      <c r="C1033" s="15" t="s">
        <v>66</v>
      </c>
      <c r="D1033" s="15" t="s">
        <v>67</v>
      </c>
      <c r="E1033" s="16">
        <v>117.85</v>
      </c>
      <c r="F1033" s="16">
        <v>118.52</v>
      </c>
      <c r="G1033" s="16">
        <v>116.82</v>
      </c>
      <c r="H1033" s="16">
        <v>117.48</v>
      </c>
      <c r="I1033" s="17">
        <v>1280163</v>
      </c>
      <c r="J1033" s="16">
        <v>29370000000</v>
      </c>
    </row>
    <row r="1034" spans="1:10" x14ac:dyDescent="0.25">
      <c r="A1034" s="8">
        <v>45947</v>
      </c>
      <c r="B1034" s="9" t="s">
        <v>69</v>
      </c>
      <c r="C1034" s="9" t="s">
        <v>70</v>
      </c>
      <c r="D1034" s="9" t="s">
        <v>71</v>
      </c>
      <c r="E1034" s="10">
        <v>626.62</v>
      </c>
      <c r="F1034" s="10">
        <v>632.91</v>
      </c>
      <c r="G1034" s="10">
        <v>625.41</v>
      </c>
      <c r="H1034" s="10">
        <v>625.65</v>
      </c>
      <c r="I1034" s="11">
        <v>3771789</v>
      </c>
      <c r="J1034" s="10">
        <v>500520000000</v>
      </c>
    </row>
    <row r="1035" spans="1:10" x14ac:dyDescent="0.25">
      <c r="A1035" s="14">
        <v>45947</v>
      </c>
      <c r="B1035" s="15" t="s">
        <v>73</v>
      </c>
      <c r="C1035" s="15" t="s">
        <v>74</v>
      </c>
      <c r="D1035" s="15" t="s">
        <v>75</v>
      </c>
      <c r="E1035" s="16">
        <v>107.7</v>
      </c>
      <c r="F1035" s="16">
        <v>109.21</v>
      </c>
      <c r="G1035" s="16">
        <v>106.78</v>
      </c>
      <c r="H1035" s="16">
        <v>107.68</v>
      </c>
      <c r="I1035" s="17">
        <v>2838633</v>
      </c>
      <c r="J1035" s="16">
        <v>23689600000</v>
      </c>
    </row>
    <row r="1036" spans="1:10" x14ac:dyDescent="0.25">
      <c r="A1036" s="8">
        <v>45947</v>
      </c>
      <c r="B1036" s="9" t="s">
        <v>76</v>
      </c>
      <c r="C1036" s="9" t="s">
        <v>77</v>
      </c>
      <c r="D1036" s="9" t="s">
        <v>75</v>
      </c>
      <c r="E1036" s="10">
        <v>95.79</v>
      </c>
      <c r="F1036" s="10">
        <v>96.43</v>
      </c>
      <c r="G1036" s="10">
        <v>94.77</v>
      </c>
      <c r="H1036" s="10">
        <v>96.06</v>
      </c>
      <c r="I1036" s="11">
        <v>1076819</v>
      </c>
      <c r="J1036" s="10">
        <v>19212000000</v>
      </c>
    </row>
    <row r="1037" spans="1:10" x14ac:dyDescent="0.25">
      <c r="A1037" s="14">
        <v>45950</v>
      </c>
      <c r="B1037" s="15" t="s">
        <v>60</v>
      </c>
      <c r="C1037" s="15" t="s">
        <v>61</v>
      </c>
      <c r="D1037" s="15" t="s">
        <v>62</v>
      </c>
      <c r="E1037" s="16">
        <v>3917.8</v>
      </c>
      <c r="F1037" s="16">
        <v>3924.41</v>
      </c>
      <c r="G1037" s="16">
        <v>3915.36</v>
      </c>
      <c r="H1037" s="16">
        <v>3919.73</v>
      </c>
      <c r="I1037" s="17">
        <v>4494759</v>
      </c>
      <c r="J1037" s="16">
        <v>5487622000000</v>
      </c>
    </row>
    <row r="1038" spans="1:10" x14ac:dyDescent="0.25">
      <c r="A1038" s="8">
        <v>45950</v>
      </c>
      <c r="B1038" s="9" t="s">
        <v>65</v>
      </c>
      <c r="C1038" s="9" t="s">
        <v>66</v>
      </c>
      <c r="D1038" s="9" t="s">
        <v>67</v>
      </c>
      <c r="E1038" s="10">
        <v>118.41</v>
      </c>
      <c r="F1038" s="10">
        <v>119.12</v>
      </c>
      <c r="G1038" s="10">
        <v>116.49</v>
      </c>
      <c r="H1038" s="10">
        <v>117.31</v>
      </c>
      <c r="I1038" s="11">
        <v>3045909</v>
      </c>
      <c r="J1038" s="10">
        <v>29327500000</v>
      </c>
    </row>
    <row r="1039" spans="1:10" x14ac:dyDescent="0.25">
      <c r="A1039" s="14">
        <v>45950</v>
      </c>
      <c r="B1039" s="15" t="s">
        <v>69</v>
      </c>
      <c r="C1039" s="15" t="s">
        <v>70</v>
      </c>
      <c r="D1039" s="15" t="s">
        <v>71</v>
      </c>
      <c r="E1039" s="16">
        <v>627.75</v>
      </c>
      <c r="F1039" s="16">
        <v>634.07000000000005</v>
      </c>
      <c r="G1039" s="16">
        <v>619.77</v>
      </c>
      <c r="H1039" s="16">
        <v>631.53</v>
      </c>
      <c r="I1039" s="17">
        <v>4629751</v>
      </c>
      <c r="J1039" s="16">
        <v>505224000000</v>
      </c>
    </row>
    <row r="1040" spans="1:10" x14ac:dyDescent="0.25">
      <c r="A1040" s="8">
        <v>45950</v>
      </c>
      <c r="B1040" s="9" t="s">
        <v>73</v>
      </c>
      <c r="C1040" s="9" t="s">
        <v>74</v>
      </c>
      <c r="D1040" s="9" t="s">
        <v>75</v>
      </c>
      <c r="E1040" s="10">
        <v>107.32</v>
      </c>
      <c r="F1040" s="10">
        <v>107.73</v>
      </c>
      <c r="G1040" s="10">
        <v>107.17</v>
      </c>
      <c r="H1040" s="10">
        <v>107.57</v>
      </c>
      <c r="I1040" s="11">
        <v>4681746</v>
      </c>
      <c r="J1040" s="10">
        <v>23665400000</v>
      </c>
    </row>
    <row r="1041" spans="1:10" x14ac:dyDescent="0.25">
      <c r="A1041" s="14">
        <v>45950</v>
      </c>
      <c r="B1041" s="15" t="s">
        <v>76</v>
      </c>
      <c r="C1041" s="15" t="s">
        <v>77</v>
      </c>
      <c r="D1041" s="15" t="s">
        <v>75</v>
      </c>
      <c r="E1041" s="16">
        <v>94.5</v>
      </c>
      <c r="F1041" s="16">
        <v>94.99</v>
      </c>
      <c r="G1041" s="16">
        <v>94.07</v>
      </c>
      <c r="H1041" s="16">
        <v>94.11</v>
      </c>
      <c r="I1041" s="17">
        <v>1030445</v>
      </c>
      <c r="J1041" s="16">
        <v>18822000000</v>
      </c>
    </row>
    <row r="1042" spans="1:10" x14ac:dyDescent="0.25">
      <c r="A1042" s="8">
        <v>45951</v>
      </c>
      <c r="B1042" s="9" t="s">
        <v>60</v>
      </c>
      <c r="C1042" s="9" t="s">
        <v>61</v>
      </c>
      <c r="D1042" s="9" t="s">
        <v>62</v>
      </c>
      <c r="E1042" s="10">
        <v>3858.88</v>
      </c>
      <c r="F1042" s="10">
        <v>3914.97</v>
      </c>
      <c r="G1042" s="10">
        <v>3816.91</v>
      </c>
      <c r="H1042" s="10">
        <v>3890.02</v>
      </c>
      <c r="I1042" s="11">
        <v>488578</v>
      </c>
      <c r="J1042" s="10">
        <v>5446028000000</v>
      </c>
    </row>
    <row r="1043" spans="1:10" x14ac:dyDescent="0.25">
      <c r="A1043" s="14">
        <v>45951</v>
      </c>
      <c r="B1043" s="15" t="s">
        <v>65</v>
      </c>
      <c r="C1043" s="15" t="s">
        <v>66</v>
      </c>
      <c r="D1043" s="15" t="s">
        <v>67</v>
      </c>
      <c r="E1043" s="16">
        <v>119.14</v>
      </c>
      <c r="F1043" s="16">
        <v>119.87</v>
      </c>
      <c r="G1043" s="16">
        <v>118.75</v>
      </c>
      <c r="H1043" s="16">
        <v>119.75</v>
      </c>
      <c r="I1043" s="17">
        <v>2991739</v>
      </c>
      <c r="J1043" s="16">
        <v>29937500000</v>
      </c>
    </row>
    <row r="1044" spans="1:10" x14ac:dyDescent="0.25">
      <c r="A1044" s="8">
        <v>45951</v>
      </c>
      <c r="B1044" s="9" t="s">
        <v>69</v>
      </c>
      <c r="C1044" s="9" t="s">
        <v>70</v>
      </c>
      <c r="D1044" s="9" t="s">
        <v>71</v>
      </c>
      <c r="E1044" s="10">
        <v>634.04</v>
      </c>
      <c r="F1044" s="10">
        <v>638.01</v>
      </c>
      <c r="G1044" s="10">
        <v>625.49</v>
      </c>
      <c r="H1044" s="10">
        <v>633.89</v>
      </c>
      <c r="I1044" s="11">
        <v>2587189</v>
      </c>
      <c r="J1044" s="10">
        <v>507112000000</v>
      </c>
    </row>
    <row r="1045" spans="1:10" x14ac:dyDescent="0.25">
      <c r="A1045" s="14">
        <v>45951</v>
      </c>
      <c r="B1045" s="15" t="s">
        <v>73</v>
      </c>
      <c r="C1045" s="15" t="s">
        <v>74</v>
      </c>
      <c r="D1045" s="15" t="s">
        <v>75</v>
      </c>
      <c r="E1045" s="16">
        <v>107.03</v>
      </c>
      <c r="F1045" s="16">
        <v>107.43</v>
      </c>
      <c r="G1045" s="16">
        <v>106.48</v>
      </c>
      <c r="H1045" s="16">
        <v>106.49</v>
      </c>
      <c r="I1045" s="17">
        <v>4994481</v>
      </c>
      <c r="J1045" s="16">
        <v>23427800000</v>
      </c>
    </row>
    <row r="1046" spans="1:10" x14ac:dyDescent="0.25">
      <c r="A1046" s="8">
        <v>45951</v>
      </c>
      <c r="B1046" s="9" t="s">
        <v>76</v>
      </c>
      <c r="C1046" s="9" t="s">
        <v>77</v>
      </c>
      <c r="D1046" s="9" t="s">
        <v>75</v>
      </c>
      <c r="E1046" s="10">
        <v>93.17</v>
      </c>
      <c r="F1046" s="10">
        <v>93.21</v>
      </c>
      <c r="G1046" s="10">
        <v>92.79</v>
      </c>
      <c r="H1046" s="10">
        <v>92.85</v>
      </c>
      <c r="I1046" s="11">
        <v>2676221</v>
      </c>
      <c r="J1046" s="10">
        <v>18570000000</v>
      </c>
    </row>
    <row r="1047" spans="1:10" x14ac:dyDescent="0.25">
      <c r="A1047" s="14">
        <v>45952</v>
      </c>
      <c r="B1047" s="15" t="s">
        <v>60</v>
      </c>
      <c r="C1047" s="15" t="s">
        <v>61</v>
      </c>
      <c r="D1047" s="15" t="s">
        <v>62</v>
      </c>
      <c r="E1047" s="16">
        <v>3932.08</v>
      </c>
      <c r="F1047" s="16">
        <v>3949.31</v>
      </c>
      <c r="G1047" s="16">
        <v>3923.43</v>
      </c>
      <c r="H1047" s="16">
        <v>3931.49</v>
      </c>
      <c r="I1047" s="17">
        <v>3141547</v>
      </c>
      <c r="J1047" s="16">
        <v>5504086000000</v>
      </c>
    </row>
    <row r="1048" spans="1:10" x14ac:dyDescent="0.25">
      <c r="A1048" s="8">
        <v>45952</v>
      </c>
      <c r="B1048" s="9" t="s">
        <v>65</v>
      </c>
      <c r="C1048" s="9" t="s">
        <v>66</v>
      </c>
      <c r="D1048" s="9" t="s">
        <v>67</v>
      </c>
      <c r="E1048" s="10">
        <v>119.21</v>
      </c>
      <c r="F1048" s="10">
        <v>119.29</v>
      </c>
      <c r="G1048" s="10">
        <v>117.18</v>
      </c>
      <c r="H1048" s="10">
        <v>117.29</v>
      </c>
      <c r="I1048" s="11">
        <v>3517867</v>
      </c>
      <c r="J1048" s="10">
        <v>29322500000</v>
      </c>
    </row>
    <row r="1049" spans="1:10" x14ac:dyDescent="0.25">
      <c r="A1049" s="14">
        <v>45952</v>
      </c>
      <c r="B1049" s="15" t="s">
        <v>69</v>
      </c>
      <c r="C1049" s="15" t="s">
        <v>70</v>
      </c>
      <c r="D1049" s="15" t="s">
        <v>71</v>
      </c>
      <c r="E1049" s="16">
        <v>637.74</v>
      </c>
      <c r="F1049" s="16">
        <v>642.82000000000005</v>
      </c>
      <c r="G1049" s="16">
        <v>635.96</v>
      </c>
      <c r="H1049" s="16">
        <v>637.19000000000005</v>
      </c>
      <c r="I1049" s="17">
        <v>4039945</v>
      </c>
      <c r="J1049" s="16">
        <v>509752000000</v>
      </c>
    </row>
    <row r="1050" spans="1:10" x14ac:dyDescent="0.25">
      <c r="A1050" s="8">
        <v>45952</v>
      </c>
      <c r="B1050" s="9" t="s">
        <v>73</v>
      </c>
      <c r="C1050" s="9" t="s">
        <v>74</v>
      </c>
      <c r="D1050" s="9" t="s">
        <v>75</v>
      </c>
      <c r="E1050" s="10">
        <v>105.48</v>
      </c>
      <c r="F1050" s="10">
        <v>105.97</v>
      </c>
      <c r="G1050" s="10">
        <v>104.93</v>
      </c>
      <c r="H1050" s="10">
        <v>105.63</v>
      </c>
      <c r="I1050" s="11">
        <v>4775195</v>
      </c>
      <c r="J1050" s="10">
        <v>23238600000</v>
      </c>
    </row>
    <row r="1051" spans="1:10" x14ac:dyDescent="0.25">
      <c r="A1051" s="14">
        <v>45952</v>
      </c>
      <c r="B1051" s="15" t="s">
        <v>76</v>
      </c>
      <c r="C1051" s="15" t="s">
        <v>77</v>
      </c>
      <c r="D1051" s="15" t="s">
        <v>75</v>
      </c>
      <c r="E1051" s="16">
        <v>90.86</v>
      </c>
      <c r="F1051" s="16">
        <v>92.31</v>
      </c>
      <c r="G1051" s="16">
        <v>90.08</v>
      </c>
      <c r="H1051" s="16">
        <v>91.78</v>
      </c>
      <c r="I1051" s="17">
        <v>1405578</v>
      </c>
      <c r="J1051" s="16">
        <v>18356000000</v>
      </c>
    </row>
    <row r="1052" spans="1:10" x14ac:dyDescent="0.25">
      <c r="A1052" s="8">
        <v>45953</v>
      </c>
      <c r="B1052" s="9" t="s">
        <v>60</v>
      </c>
      <c r="C1052" s="9" t="s">
        <v>61</v>
      </c>
      <c r="D1052" s="9" t="s">
        <v>62</v>
      </c>
      <c r="E1052" s="10">
        <v>4020.88</v>
      </c>
      <c r="F1052" s="10">
        <v>4052.81</v>
      </c>
      <c r="G1052" s="10">
        <v>4016.26</v>
      </c>
      <c r="H1052" s="10">
        <v>4027.6</v>
      </c>
      <c r="I1052" s="11">
        <v>4204029</v>
      </c>
      <c r="J1052" s="10">
        <v>5638640000000</v>
      </c>
    </row>
    <row r="1053" spans="1:10" x14ac:dyDescent="0.25">
      <c r="A1053" s="14">
        <v>45953</v>
      </c>
      <c r="B1053" s="15" t="s">
        <v>65</v>
      </c>
      <c r="C1053" s="15" t="s">
        <v>66</v>
      </c>
      <c r="D1053" s="15" t="s">
        <v>67</v>
      </c>
      <c r="E1053" s="16">
        <v>116.56</v>
      </c>
      <c r="F1053" s="16">
        <v>118.78</v>
      </c>
      <c r="G1053" s="16">
        <v>116.14</v>
      </c>
      <c r="H1053" s="16">
        <v>116.52</v>
      </c>
      <c r="I1053" s="17">
        <v>2464703</v>
      </c>
      <c r="J1053" s="16">
        <v>29130000000</v>
      </c>
    </row>
    <row r="1054" spans="1:10" x14ac:dyDescent="0.25">
      <c r="A1054" s="8">
        <v>45953</v>
      </c>
      <c r="B1054" s="9" t="s">
        <v>69</v>
      </c>
      <c r="C1054" s="9" t="s">
        <v>70</v>
      </c>
      <c r="D1054" s="9" t="s">
        <v>71</v>
      </c>
      <c r="E1054" s="10">
        <v>645.46</v>
      </c>
      <c r="F1054" s="10">
        <v>648.14</v>
      </c>
      <c r="G1054" s="10">
        <v>643.08000000000004</v>
      </c>
      <c r="H1054" s="10">
        <v>647.07000000000005</v>
      </c>
      <c r="I1054" s="11">
        <v>3024293</v>
      </c>
      <c r="J1054" s="10">
        <v>517656000000</v>
      </c>
    </row>
    <row r="1055" spans="1:10" x14ac:dyDescent="0.25">
      <c r="A1055" s="14">
        <v>45953</v>
      </c>
      <c r="B1055" s="15" t="s">
        <v>73</v>
      </c>
      <c r="C1055" s="15" t="s">
        <v>74</v>
      </c>
      <c r="D1055" s="15" t="s">
        <v>75</v>
      </c>
      <c r="E1055" s="16">
        <v>103.42</v>
      </c>
      <c r="F1055" s="16">
        <v>103.62</v>
      </c>
      <c r="G1055" s="16">
        <v>103.36</v>
      </c>
      <c r="H1055" s="16">
        <v>103.48</v>
      </c>
      <c r="I1055" s="17">
        <v>3248099</v>
      </c>
      <c r="J1055" s="16">
        <v>22765600000</v>
      </c>
    </row>
    <row r="1056" spans="1:10" x14ac:dyDescent="0.25">
      <c r="A1056" s="8">
        <v>45953</v>
      </c>
      <c r="B1056" s="9" t="s">
        <v>76</v>
      </c>
      <c r="C1056" s="9" t="s">
        <v>77</v>
      </c>
      <c r="D1056" s="9" t="s">
        <v>75</v>
      </c>
      <c r="E1056" s="10">
        <v>89.16</v>
      </c>
      <c r="F1056" s="10">
        <v>89.34</v>
      </c>
      <c r="G1056" s="10">
        <v>89.03</v>
      </c>
      <c r="H1056" s="10">
        <v>89.21</v>
      </c>
      <c r="I1056" s="11">
        <v>4560990</v>
      </c>
      <c r="J1056" s="10">
        <v>17842000000</v>
      </c>
    </row>
    <row r="1057" spans="1:10" x14ac:dyDescent="0.25">
      <c r="A1057" s="14">
        <v>45954</v>
      </c>
      <c r="B1057" s="15" t="s">
        <v>60</v>
      </c>
      <c r="C1057" s="15" t="s">
        <v>61</v>
      </c>
      <c r="D1057" s="15" t="s">
        <v>62</v>
      </c>
      <c r="E1057" s="16">
        <v>4083.2</v>
      </c>
      <c r="F1057" s="16">
        <v>4131.29</v>
      </c>
      <c r="G1057" s="16">
        <v>4046.89</v>
      </c>
      <c r="H1057" s="16">
        <v>4114.1400000000003</v>
      </c>
      <c r="I1057" s="17">
        <v>3033593</v>
      </c>
      <c r="J1057" s="16">
        <v>5759796000000</v>
      </c>
    </row>
    <row r="1058" spans="1:10" x14ac:dyDescent="0.25">
      <c r="A1058" s="8">
        <v>45954</v>
      </c>
      <c r="B1058" s="9" t="s">
        <v>65</v>
      </c>
      <c r="C1058" s="9" t="s">
        <v>66</v>
      </c>
      <c r="D1058" s="9" t="s">
        <v>67</v>
      </c>
      <c r="E1058" s="10">
        <v>115.91</v>
      </c>
      <c r="F1058" s="10">
        <v>116.03</v>
      </c>
      <c r="G1058" s="10">
        <v>115.58</v>
      </c>
      <c r="H1058" s="10">
        <v>115.85</v>
      </c>
      <c r="I1058" s="11">
        <v>2301314</v>
      </c>
      <c r="J1058" s="10">
        <v>28962500000</v>
      </c>
    </row>
    <row r="1059" spans="1:10" x14ac:dyDescent="0.25">
      <c r="A1059" s="14">
        <v>45954</v>
      </c>
      <c r="B1059" s="15" t="s">
        <v>69</v>
      </c>
      <c r="C1059" s="15" t="s">
        <v>70</v>
      </c>
      <c r="D1059" s="15" t="s">
        <v>71</v>
      </c>
      <c r="E1059" s="16">
        <v>657.42</v>
      </c>
      <c r="F1059" s="16">
        <v>662.23</v>
      </c>
      <c r="G1059" s="16">
        <v>652.86</v>
      </c>
      <c r="H1059" s="16">
        <v>661.99</v>
      </c>
      <c r="I1059" s="17">
        <v>3519685</v>
      </c>
      <c r="J1059" s="16">
        <v>529592000000</v>
      </c>
    </row>
    <row r="1060" spans="1:10" x14ac:dyDescent="0.25">
      <c r="A1060" s="8">
        <v>45954</v>
      </c>
      <c r="B1060" s="9" t="s">
        <v>73</v>
      </c>
      <c r="C1060" s="9" t="s">
        <v>74</v>
      </c>
      <c r="D1060" s="9" t="s">
        <v>75</v>
      </c>
      <c r="E1060" s="10">
        <v>104.47</v>
      </c>
      <c r="F1060" s="10">
        <v>104.7</v>
      </c>
      <c r="G1060" s="10">
        <v>104.16</v>
      </c>
      <c r="H1060" s="10">
        <v>104.69</v>
      </c>
      <c r="I1060" s="11">
        <v>3170588</v>
      </c>
      <c r="J1060" s="10">
        <v>23031800000</v>
      </c>
    </row>
    <row r="1061" spans="1:10" x14ac:dyDescent="0.25">
      <c r="A1061" s="14">
        <v>45954</v>
      </c>
      <c r="B1061" s="15" t="s">
        <v>76</v>
      </c>
      <c r="C1061" s="15" t="s">
        <v>77</v>
      </c>
      <c r="D1061" s="15" t="s">
        <v>75</v>
      </c>
      <c r="E1061" s="16">
        <v>87.89</v>
      </c>
      <c r="F1061" s="16">
        <v>88.39</v>
      </c>
      <c r="G1061" s="16">
        <v>87.75</v>
      </c>
      <c r="H1061" s="16">
        <v>88.17</v>
      </c>
      <c r="I1061" s="17">
        <v>953425</v>
      </c>
      <c r="J1061" s="16">
        <v>17634000000</v>
      </c>
    </row>
    <row r="1062" spans="1:10" x14ac:dyDescent="0.25">
      <c r="A1062" s="8">
        <v>45957</v>
      </c>
      <c r="B1062" s="9" t="s">
        <v>60</v>
      </c>
      <c r="C1062" s="9" t="s">
        <v>61</v>
      </c>
      <c r="D1062" s="9" t="s">
        <v>62</v>
      </c>
      <c r="E1062" s="10">
        <v>4108.46</v>
      </c>
      <c r="F1062" s="10">
        <v>4160.2</v>
      </c>
      <c r="G1062" s="10">
        <v>4100.0600000000004</v>
      </c>
      <c r="H1062" s="10">
        <v>4135.91</v>
      </c>
      <c r="I1062" s="11">
        <v>3029469</v>
      </c>
      <c r="J1062" s="10">
        <v>5790274000000</v>
      </c>
    </row>
    <row r="1063" spans="1:10" x14ac:dyDescent="0.25">
      <c r="A1063" s="14">
        <v>45957</v>
      </c>
      <c r="B1063" s="15" t="s">
        <v>65</v>
      </c>
      <c r="C1063" s="15" t="s">
        <v>66</v>
      </c>
      <c r="D1063" s="15" t="s">
        <v>67</v>
      </c>
      <c r="E1063" s="16">
        <v>115.14</v>
      </c>
      <c r="F1063" s="16">
        <v>116.75</v>
      </c>
      <c r="G1063" s="16">
        <v>114.56</v>
      </c>
      <c r="H1063" s="16">
        <v>114.95</v>
      </c>
      <c r="I1063" s="17">
        <v>3704044</v>
      </c>
      <c r="J1063" s="16">
        <v>28737500000</v>
      </c>
    </row>
    <row r="1064" spans="1:10" x14ac:dyDescent="0.25">
      <c r="A1064" s="8">
        <v>45957</v>
      </c>
      <c r="B1064" s="9" t="s">
        <v>69</v>
      </c>
      <c r="C1064" s="9" t="s">
        <v>70</v>
      </c>
      <c r="D1064" s="9" t="s">
        <v>71</v>
      </c>
      <c r="E1064" s="10">
        <v>666.44</v>
      </c>
      <c r="F1064" s="10">
        <v>667.52</v>
      </c>
      <c r="G1064" s="10">
        <v>662.85</v>
      </c>
      <c r="H1064" s="10">
        <v>664.62</v>
      </c>
      <c r="I1064" s="11">
        <v>4446448</v>
      </c>
      <c r="J1064" s="10">
        <v>531696000000</v>
      </c>
    </row>
    <row r="1065" spans="1:10" x14ac:dyDescent="0.25">
      <c r="A1065" s="14">
        <v>45957</v>
      </c>
      <c r="B1065" s="15" t="s">
        <v>73</v>
      </c>
      <c r="C1065" s="15" t="s">
        <v>74</v>
      </c>
      <c r="D1065" s="15" t="s">
        <v>75</v>
      </c>
      <c r="E1065" s="16">
        <v>102.23</v>
      </c>
      <c r="F1065" s="16">
        <v>102.41</v>
      </c>
      <c r="G1065" s="16">
        <v>102</v>
      </c>
      <c r="H1065" s="16">
        <v>102.09</v>
      </c>
      <c r="I1065" s="17">
        <v>1465318</v>
      </c>
      <c r="J1065" s="16">
        <v>22459800000</v>
      </c>
    </row>
    <row r="1066" spans="1:10" x14ac:dyDescent="0.25">
      <c r="A1066" s="8">
        <v>45957</v>
      </c>
      <c r="B1066" s="9" t="s">
        <v>76</v>
      </c>
      <c r="C1066" s="9" t="s">
        <v>77</v>
      </c>
      <c r="D1066" s="9" t="s">
        <v>75</v>
      </c>
      <c r="E1066" s="10">
        <v>90.36</v>
      </c>
      <c r="F1066" s="10">
        <v>91.38</v>
      </c>
      <c r="G1066" s="10">
        <v>90.35</v>
      </c>
      <c r="H1066" s="10">
        <v>90.5</v>
      </c>
      <c r="I1066" s="11">
        <v>1551718</v>
      </c>
      <c r="J1066" s="10">
        <v>18100000000</v>
      </c>
    </row>
    <row r="1067" spans="1:10" x14ac:dyDescent="0.25">
      <c r="A1067" s="14">
        <v>45958</v>
      </c>
      <c r="B1067" s="15" t="s">
        <v>60</v>
      </c>
      <c r="C1067" s="15" t="s">
        <v>61</v>
      </c>
      <c r="D1067" s="15" t="s">
        <v>62</v>
      </c>
      <c r="E1067" s="16">
        <v>4135.84</v>
      </c>
      <c r="F1067" s="16">
        <v>4162.12</v>
      </c>
      <c r="G1067" s="16">
        <v>4127.84</v>
      </c>
      <c r="H1067" s="16">
        <v>4148.9399999999996</v>
      </c>
      <c r="I1067" s="17">
        <v>4051048</v>
      </c>
      <c r="J1067" s="16">
        <v>5808516000000</v>
      </c>
    </row>
    <row r="1068" spans="1:10" x14ac:dyDescent="0.25">
      <c r="A1068" s="8">
        <v>45958</v>
      </c>
      <c r="B1068" s="9" t="s">
        <v>65</v>
      </c>
      <c r="C1068" s="9" t="s">
        <v>66</v>
      </c>
      <c r="D1068" s="9" t="s">
        <v>67</v>
      </c>
      <c r="E1068" s="10">
        <v>115.85</v>
      </c>
      <c r="F1068" s="10">
        <v>117.17</v>
      </c>
      <c r="G1068" s="10">
        <v>115.36</v>
      </c>
      <c r="H1068" s="10">
        <v>117.01</v>
      </c>
      <c r="I1068" s="11">
        <v>2854751</v>
      </c>
      <c r="J1068" s="10">
        <v>29252500000</v>
      </c>
    </row>
    <row r="1069" spans="1:10" x14ac:dyDescent="0.25">
      <c r="A1069" s="14">
        <v>45958</v>
      </c>
      <c r="B1069" s="15" t="s">
        <v>69</v>
      </c>
      <c r="C1069" s="15" t="s">
        <v>70</v>
      </c>
      <c r="D1069" s="15" t="s">
        <v>71</v>
      </c>
      <c r="E1069" s="16">
        <v>676.59</v>
      </c>
      <c r="F1069" s="16">
        <v>687.67</v>
      </c>
      <c r="G1069" s="16">
        <v>670.36</v>
      </c>
      <c r="H1069" s="16">
        <v>682.78</v>
      </c>
      <c r="I1069" s="17">
        <v>3187900</v>
      </c>
      <c r="J1069" s="16">
        <v>546224000000</v>
      </c>
    </row>
    <row r="1070" spans="1:10" x14ac:dyDescent="0.25">
      <c r="A1070" s="8">
        <v>45958</v>
      </c>
      <c r="B1070" s="9" t="s">
        <v>73</v>
      </c>
      <c r="C1070" s="9" t="s">
        <v>74</v>
      </c>
      <c r="D1070" s="9" t="s">
        <v>75</v>
      </c>
      <c r="E1070" s="10">
        <v>104.13</v>
      </c>
      <c r="F1070" s="10">
        <v>104.2</v>
      </c>
      <c r="G1070" s="10">
        <v>103.37</v>
      </c>
      <c r="H1070" s="10">
        <v>104.07</v>
      </c>
      <c r="I1070" s="11">
        <v>2767799</v>
      </c>
      <c r="J1070" s="10">
        <v>22895400000</v>
      </c>
    </row>
    <row r="1071" spans="1:10" x14ac:dyDescent="0.25">
      <c r="A1071" s="14">
        <v>45958</v>
      </c>
      <c r="B1071" s="15" t="s">
        <v>76</v>
      </c>
      <c r="C1071" s="15" t="s">
        <v>77</v>
      </c>
      <c r="D1071" s="15" t="s">
        <v>75</v>
      </c>
      <c r="E1071" s="16">
        <v>89.47</v>
      </c>
      <c r="F1071" s="16">
        <v>90.89</v>
      </c>
      <c r="G1071" s="16">
        <v>88.88</v>
      </c>
      <c r="H1071" s="16">
        <v>90.83</v>
      </c>
      <c r="I1071" s="17">
        <v>307074</v>
      </c>
      <c r="J1071" s="16">
        <v>18166000000</v>
      </c>
    </row>
    <row r="1072" spans="1:10" x14ac:dyDescent="0.25">
      <c r="A1072" s="8">
        <v>45959</v>
      </c>
      <c r="B1072" s="9" t="s">
        <v>60</v>
      </c>
      <c r="C1072" s="9" t="s">
        <v>61</v>
      </c>
      <c r="D1072" s="9" t="s">
        <v>62</v>
      </c>
      <c r="E1072" s="10">
        <v>4116.43</v>
      </c>
      <c r="F1072" s="10">
        <v>4174.8900000000003</v>
      </c>
      <c r="G1072" s="10">
        <v>4074.95</v>
      </c>
      <c r="H1072" s="10">
        <v>4161.47</v>
      </c>
      <c r="I1072" s="11">
        <v>2273345</v>
      </c>
      <c r="J1072" s="10">
        <v>5826058000000</v>
      </c>
    </row>
    <row r="1073" spans="1:10" x14ac:dyDescent="0.25">
      <c r="A1073" s="14">
        <v>45959</v>
      </c>
      <c r="B1073" s="15" t="s">
        <v>65</v>
      </c>
      <c r="C1073" s="15" t="s">
        <v>66</v>
      </c>
      <c r="D1073" s="15" t="s">
        <v>67</v>
      </c>
      <c r="E1073" s="16">
        <v>119.73</v>
      </c>
      <c r="F1073" s="16">
        <v>120.89</v>
      </c>
      <c r="G1073" s="16">
        <v>119.2</v>
      </c>
      <c r="H1073" s="16">
        <v>120.26</v>
      </c>
      <c r="I1073" s="17">
        <v>3511072</v>
      </c>
      <c r="J1073" s="16">
        <v>30065000000</v>
      </c>
    </row>
    <row r="1074" spans="1:10" x14ac:dyDescent="0.25">
      <c r="A1074" s="8">
        <v>45959</v>
      </c>
      <c r="B1074" s="9" t="s">
        <v>69</v>
      </c>
      <c r="C1074" s="9" t="s">
        <v>70</v>
      </c>
      <c r="D1074" s="9" t="s">
        <v>71</v>
      </c>
      <c r="E1074" s="10">
        <v>673.82</v>
      </c>
      <c r="F1074" s="10">
        <v>677.03</v>
      </c>
      <c r="G1074" s="10">
        <v>673.02</v>
      </c>
      <c r="H1074" s="10">
        <v>673.58</v>
      </c>
      <c r="I1074" s="11">
        <v>4959213</v>
      </c>
      <c r="J1074" s="10">
        <v>538864000000</v>
      </c>
    </row>
    <row r="1075" spans="1:10" x14ac:dyDescent="0.25">
      <c r="A1075" s="14">
        <v>45959</v>
      </c>
      <c r="B1075" s="15" t="s">
        <v>73</v>
      </c>
      <c r="C1075" s="15" t="s">
        <v>74</v>
      </c>
      <c r="D1075" s="15" t="s">
        <v>75</v>
      </c>
      <c r="E1075" s="16">
        <v>105.03</v>
      </c>
      <c r="F1075" s="16">
        <v>106.46</v>
      </c>
      <c r="G1075" s="16">
        <v>103.76</v>
      </c>
      <c r="H1075" s="16">
        <v>106.03</v>
      </c>
      <c r="I1075" s="17">
        <v>1594087</v>
      </c>
      <c r="J1075" s="16">
        <v>23326600000</v>
      </c>
    </row>
    <row r="1076" spans="1:10" x14ac:dyDescent="0.25">
      <c r="A1076" s="8">
        <v>45959</v>
      </c>
      <c r="B1076" s="9" t="s">
        <v>76</v>
      </c>
      <c r="C1076" s="9" t="s">
        <v>77</v>
      </c>
      <c r="D1076" s="9" t="s">
        <v>75</v>
      </c>
      <c r="E1076" s="10">
        <v>90.19</v>
      </c>
      <c r="F1076" s="10">
        <v>91.61</v>
      </c>
      <c r="G1076" s="10">
        <v>90.11</v>
      </c>
      <c r="H1076" s="10">
        <v>91.08</v>
      </c>
      <c r="I1076" s="11">
        <v>1507925</v>
      </c>
      <c r="J1076" s="10">
        <v>18216000000</v>
      </c>
    </row>
    <row r="1077" spans="1:10" x14ac:dyDescent="0.25">
      <c r="A1077" s="14">
        <v>45960</v>
      </c>
      <c r="B1077" s="15" t="s">
        <v>60</v>
      </c>
      <c r="C1077" s="15" t="s">
        <v>61</v>
      </c>
      <c r="D1077" s="15" t="s">
        <v>62</v>
      </c>
      <c r="E1077" s="16">
        <v>4169.07</v>
      </c>
      <c r="F1077" s="16">
        <v>4175.97</v>
      </c>
      <c r="G1077" s="16">
        <v>4131.17</v>
      </c>
      <c r="H1077" s="16">
        <v>4150.74</v>
      </c>
      <c r="I1077" s="17">
        <v>1438969</v>
      </c>
      <c r="J1077" s="16">
        <v>5811036000000</v>
      </c>
    </row>
    <row r="1078" spans="1:10" x14ac:dyDescent="0.25">
      <c r="A1078" s="8">
        <v>45960</v>
      </c>
      <c r="B1078" s="9" t="s">
        <v>65</v>
      </c>
      <c r="C1078" s="9" t="s">
        <v>66</v>
      </c>
      <c r="D1078" s="9" t="s">
        <v>67</v>
      </c>
      <c r="E1078" s="10">
        <v>122.51</v>
      </c>
      <c r="F1078" s="10">
        <v>123.22</v>
      </c>
      <c r="G1078" s="10">
        <v>121.58</v>
      </c>
      <c r="H1078" s="10">
        <v>122.87</v>
      </c>
      <c r="I1078" s="11">
        <v>3871065</v>
      </c>
      <c r="J1078" s="10">
        <v>30717500000</v>
      </c>
    </row>
    <row r="1079" spans="1:10" x14ac:dyDescent="0.25">
      <c r="A1079" s="14">
        <v>45960</v>
      </c>
      <c r="B1079" s="15" t="s">
        <v>69</v>
      </c>
      <c r="C1079" s="15" t="s">
        <v>70</v>
      </c>
      <c r="D1079" s="15" t="s">
        <v>71</v>
      </c>
      <c r="E1079" s="16">
        <v>679.34</v>
      </c>
      <c r="F1079" s="16">
        <v>683.62</v>
      </c>
      <c r="G1079" s="16">
        <v>675.16</v>
      </c>
      <c r="H1079" s="16">
        <v>678.75</v>
      </c>
      <c r="I1079" s="17">
        <v>4075257</v>
      </c>
      <c r="J1079" s="16">
        <v>543000000000</v>
      </c>
    </row>
    <row r="1080" spans="1:10" x14ac:dyDescent="0.25">
      <c r="A1080" s="8">
        <v>45960</v>
      </c>
      <c r="B1080" s="9" t="s">
        <v>73</v>
      </c>
      <c r="C1080" s="9" t="s">
        <v>74</v>
      </c>
      <c r="D1080" s="9" t="s">
        <v>75</v>
      </c>
      <c r="E1080" s="10">
        <v>105.2</v>
      </c>
      <c r="F1080" s="10">
        <v>105.6</v>
      </c>
      <c r="G1080" s="10">
        <v>105.11</v>
      </c>
      <c r="H1080" s="10">
        <v>105.35</v>
      </c>
      <c r="I1080" s="11">
        <v>2286002</v>
      </c>
      <c r="J1080" s="10">
        <v>23177000000</v>
      </c>
    </row>
    <row r="1081" spans="1:10" x14ac:dyDescent="0.25">
      <c r="A1081" s="14">
        <v>45960</v>
      </c>
      <c r="B1081" s="15" t="s">
        <v>76</v>
      </c>
      <c r="C1081" s="15" t="s">
        <v>77</v>
      </c>
      <c r="D1081" s="15" t="s">
        <v>75</v>
      </c>
      <c r="E1081" s="16">
        <v>91.17</v>
      </c>
      <c r="F1081" s="16">
        <v>91.31</v>
      </c>
      <c r="G1081" s="16">
        <v>90.61</v>
      </c>
      <c r="H1081" s="16">
        <v>91.26</v>
      </c>
      <c r="I1081" s="17">
        <v>3378367</v>
      </c>
      <c r="J1081" s="16">
        <v>18252000000</v>
      </c>
    </row>
    <row r="1082" spans="1:10" x14ac:dyDescent="0.25">
      <c r="A1082" s="8">
        <v>45961</v>
      </c>
      <c r="B1082" s="9" t="s">
        <v>60</v>
      </c>
      <c r="C1082" s="9" t="s">
        <v>61</v>
      </c>
      <c r="D1082" s="9" t="s">
        <v>62</v>
      </c>
      <c r="E1082" s="10">
        <v>4168.49</v>
      </c>
      <c r="F1082" s="10">
        <v>4170.42</v>
      </c>
      <c r="G1082" s="10">
        <v>4136.6899999999996</v>
      </c>
      <c r="H1082" s="10">
        <v>4156.26</v>
      </c>
      <c r="I1082" s="11">
        <v>971618</v>
      </c>
      <c r="J1082" s="10">
        <v>5818764000000</v>
      </c>
    </row>
    <row r="1083" spans="1:10" x14ac:dyDescent="0.25">
      <c r="A1083" s="14">
        <v>45961</v>
      </c>
      <c r="B1083" s="15" t="s">
        <v>65</v>
      </c>
      <c r="C1083" s="15" t="s">
        <v>66</v>
      </c>
      <c r="D1083" s="15" t="s">
        <v>67</v>
      </c>
      <c r="E1083" s="16">
        <v>123.08</v>
      </c>
      <c r="F1083" s="16">
        <v>124.08</v>
      </c>
      <c r="G1083" s="16">
        <v>121.84</v>
      </c>
      <c r="H1083" s="16">
        <v>124.04</v>
      </c>
      <c r="I1083" s="17">
        <v>2643947</v>
      </c>
      <c r="J1083" s="16">
        <v>31010000000</v>
      </c>
    </row>
    <row r="1084" spans="1:10" x14ac:dyDescent="0.25">
      <c r="A1084" s="8">
        <v>45961</v>
      </c>
      <c r="B1084" s="9" t="s">
        <v>69</v>
      </c>
      <c r="C1084" s="9" t="s">
        <v>70</v>
      </c>
      <c r="D1084" s="9" t="s">
        <v>71</v>
      </c>
      <c r="E1084" s="10">
        <v>674.88</v>
      </c>
      <c r="F1084" s="10">
        <v>675.36</v>
      </c>
      <c r="G1084" s="10">
        <v>673.09</v>
      </c>
      <c r="H1084" s="10">
        <v>674.16</v>
      </c>
      <c r="I1084" s="11">
        <v>954998</v>
      </c>
      <c r="J1084" s="10">
        <v>539328000000</v>
      </c>
    </row>
    <row r="1085" spans="1:10" x14ac:dyDescent="0.25">
      <c r="A1085" s="14">
        <v>45961</v>
      </c>
      <c r="B1085" s="15" t="s">
        <v>73</v>
      </c>
      <c r="C1085" s="15" t="s">
        <v>74</v>
      </c>
      <c r="D1085" s="15" t="s">
        <v>75</v>
      </c>
      <c r="E1085" s="16">
        <v>104.94</v>
      </c>
      <c r="F1085" s="16">
        <v>105.36</v>
      </c>
      <c r="G1085" s="16">
        <v>103.98</v>
      </c>
      <c r="H1085" s="16">
        <v>104.78</v>
      </c>
      <c r="I1085" s="17">
        <v>742702</v>
      </c>
      <c r="J1085" s="16">
        <v>23051600000</v>
      </c>
    </row>
    <row r="1086" spans="1:10" x14ac:dyDescent="0.25">
      <c r="A1086" s="8">
        <v>45961</v>
      </c>
      <c r="B1086" s="9" t="s">
        <v>76</v>
      </c>
      <c r="C1086" s="9" t="s">
        <v>77</v>
      </c>
      <c r="D1086" s="9" t="s">
        <v>75</v>
      </c>
      <c r="E1086" s="10">
        <v>92.67</v>
      </c>
      <c r="F1086" s="10">
        <v>93.19</v>
      </c>
      <c r="G1086" s="10">
        <v>91.86</v>
      </c>
      <c r="H1086" s="10">
        <v>93.07</v>
      </c>
      <c r="I1086" s="11">
        <v>3080940</v>
      </c>
      <c r="J1086" s="10">
        <v>18614000000</v>
      </c>
    </row>
    <row r="1087" spans="1:10" x14ac:dyDescent="0.25">
      <c r="A1087" s="14">
        <v>45964</v>
      </c>
      <c r="B1087" s="15" t="s">
        <v>60</v>
      </c>
      <c r="C1087" s="15" t="s">
        <v>61</v>
      </c>
      <c r="D1087" s="15" t="s">
        <v>62</v>
      </c>
      <c r="E1087" s="16">
        <v>4161.7299999999996</v>
      </c>
      <c r="F1087" s="16">
        <v>4236.18</v>
      </c>
      <c r="G1087" s="16">
        <v>4121.42</v>
      </c>
      <c r="H1087" s="16">
        <v>4213.0200000000004</v>
      </c>
      <c r="I1087" s="17">
        <v>2726056</v>
      </c>
      <c r="J1087" s="16">
        <v>5898228000000</v>
      </c>
    </row>
    <row r="1088" spans="1:10" x14ac:dyDescent="0.25">
      <c r="A1088" s="8">
        <v>45964</v>
      </c>
      <c r="B1088" s="9" t="s">
        <v>65</v>
      </c>
      <c r="C1088" s="9" t="s">
        <v>66</v>
      </c>
      <c r="D1088" s="9" t="s">
        <v>67</v>
      </c>
      <c r="E1088" s="10">
        <v>125.49</v>
      </c>
      <c r="F1088" s="10">
        <v>126.83</v>
      </c>
      <c r="G1088" s="10">
        <v>124.79</v>
      </c>
      <c r="H1088" s="10">
        <v>126.39</v>
      </c>
      <c r="I1088" s="11">
        <v>2484755</v>
      </c>
      <c r="J1088" s="10">
        <v>31597500000</v>
      </c>
    </row>
    <row r="1089" spans="1:10" x14ac:dyDescent="0.25">
      <c r="A1089" s="14">
        <v>45964</v>
      </c>
      <c r="B1089" s="15" t="s">
        <v>69</v>
      </c>
      <c r="C1089" s="15" t="s">
        <v>70</v>
      </c>
      <c r="D1089" s="15" t="s">
        <v>71</v>
      </c>
      <c r="E1089" s="16">
        <v>669.34</v>
      </c>
      <c r="F1089" s="16">
        <v>674.96</v>
      </c>
      <c r="G1089" s="16">
        <v>667.06</v>
      </c>
      <c r="H1089" s="16">
        <v>668.4</v>
      </c>
      <c r="I1089" s="17">
        <v>733018</v>
      </c>
      <c r="J1089" s="16">
        <v>534720000000</v>
      </c>
    </row>
    <row r="1090" spans="1:10" x14ac:dyDescent="0.25">
      <c r="A1090" s="8">
        <v>45964</v>
      </c>
      <c r="B1090" s="9" t="s">
        <v>73</v>
      </c>
      <c r="C1090" s="9" t="s">
        <v>74</v>
      </c>
      <c r="D1090" s="9" t="s">
        <v>75</v>
      </c>
      <c r="E1090" s="10">
        <v>104.08</v>
      </c>
      <c r="F1090" s="10">
        <v>104.66</v>
      </c>
      <c r="G1090" s="10">
        <v>104.06</v>
      </c>
      <c r="H1090" s="10">
        <v>104.35</v>
      </c>
      <c r="I1090" s="11">
        <v>1363854</v>
      </c>
      <c r="J1090" s="10">
        <v>22957000000</v>
      </c>
    </row>
    <row r="1091" spans="1:10" x14ac:dyDescent="0.25">
      <c r="A1091" s="14">
        <v>45964</v>
      </c>
      <c r="B1091" s="15" t="s">
        <v>76</v>
      </c>
      <c r="C1091" s="15" t="s">
        <v>77</v>
      </c>
      <c r="D1091" s="15" t="s">
        <v>75</v>
      </c>
      <c r="E1091" s="16">
        <v>92.76</v>
      </c>
      <c r="F1091" s="16">
        <v>94.21</v>
      </c>
      <c r="G1091" s="16">
        <v>92.71</v>
      </c>
      <c r="H1091" s="16">
        <v>93.13</v>
      </c>
      <c r="I1091" s="17">
        <v>1411815</v>
      </c>
      <c r="J1091" s="16">
        <v>18626000000</v>
      </c>
    </row>
    <row r="1092" spans="1:10" x14ac:dyDescent="0.25">
      <c r="A1092" s="8">
        <v>45965</v>
      </c>
      <c r="B1092" s="9" t="s">
        <v>60</v>
      </c>
      <c r="C1092" s="9" t="s">
        <v>61</v>
      </c>
      <c r="D1092" s="9" t="s">
        <v>62</v>
      </c>
      <c r="E1092" s="10">
        <v>4176</v>
      </c>
      <c r="F1092" s="10">
        <v>4193.83</v>
      </c>
      <c r="G1092" s="10">
        <v>4173.6000000000004</v>
      </c>
      <c r="H1092" s="10">
        <v>4185.82</v>
      </c>
      <c r="I1092" s="11">
        <v>1567817</v>
      </c>
      <c r="J1092" s="10">
        <v>5860148000000</v>
      </c>
    </row>
    <row r="1093" spans="1:10" x14ac:dyDescent="0.25">
      <c r="A1093" s="14">
        <v>45965</v>
      </c>
      <c r="B1093" s="15" t="s">
        <v>65</v>
      </c>
      <c r="C1093" s="15" t="s">
        <v>66</v>
      </c>
      <c r="D1093" s="15" t="s">
        <v>67</v>
      </c>
      <c r="E1093" s="16">
        <v>129.53</v>
      </c>
      <c r="F1093" s="16">
        <v>130.07</v>
      </c>
      <c r="G1093" s="16">
        <v>128.69</v>
      </c>
      <c r="H1093" s="16">
        <v>128.93</v>
      </c>
      <c r="I1093" s="17">
        <v>2281354</v>
      </c>
      <c r="J1093" s="16">
        <v>32232500000</v>
      </c>
    </row>
    <row r="1094" spans="1:10" x14ac:dyDescent="0.25">
      <c r="A1094" s="8">
        <v>45965</v>
      </c>
      <c r="B1094" s="9" t="s">
        <v>69</v>
      </c>
      <c r="C1094" s="9" t="s">
        <v>70</v>
      </c>
      <c r="D1094" s="9" t="s">
        <v>71</v>
      </c>
      <c r="E1094" s="10">
        <v>650.64</v>
      </c>
      <c r="F1094" s="10">
        <v>651.52</v>
      </c>
      <c r="G1094" s="10">
        <v>647.54999999999995</v>
      </c>
      <c r="H1094" s="10">
        <v>647.89</v>
      </c>
      <c r="I1094" s="11">
        <v>1516937</v>
      </c>
      <c r="J1094" s="10">
        <v>518312000000</v>
      </c>
    </row>
    <row r="1095" spans="1:10" x14ac:dyDescent="0.25">
      <c r="A1095" s="14">
        <v>45965</v>
      </c>
      <c r="B1095" s="15" t="s">
        <v>73</v>
      </c>
      <c r="C1095" s="15" t="s">
        <v>74</v>
      </c>
      <c r="D1095" s="15" t="s">
        <v>75</v>
      </c>
      <c r="E1095" s="16">
        <v>103.28</v>
      </c>
      <c r="F1095" s="16">
        <v>104.55</v>
      </c>
      <c r="G1095" s="16">
        <v>102.41</v>
      </c>
      <c r="H1095" s="16">
        <v>104.2</v>
      </c>
      <c r="I1095" s="17">
        <v>3764057</v>
      </c>
      <c r="J1095" s="16">
        <v>22924000000</v>
      </c>
    </row>
    <row r="1096" spans="1:10" x14ac:dyDescent="0.25">
      <c r="A1096" s="8">
        <v>45965</v>
      </c>
      <c r="B1096" s="9" t="s">
        <v>76</v>
      </c>
      <c r="C1096" s="9" t="s">
        <v>77</v>
      </c>
      <c r="D1096" s="9" t="s">
        <v>75</v>
      </c>
      <c r="E1096" s="10">
        <v>93.28</v>
      </c>
      <c r="F1096" s="10">
        <v>93.83</v>
      </c>
      <c r="G1096" s="10">
        <v>92.29</v>
      </c>
      <c r="H1096" s="10">
        <v>92.61</v>
      </c>
      <c r="I1096" s="11">
        <v>3194704</v>
      </c>
      <c r="J1096" s="10">
        <v>18522000000</v>
      </c>
    </row>
    <row r="1097" spans="1:10" x14ac:dyDescent="0.25">
      <c r="A1097" s="14">
        <v>45966</v>
      </c>
      <c r="B1097" s="15" t="s">
        <v>60</v>
      </c>
      <c r="C1097" s="15" t="s">
        <v>61</v>
      </c>
      <c r="D1097" s="15" t="s">
        <v>62</v>
      </c>
      <c r="E1097" s="16">
        <v>4219.49</v>
      </c>
      <c r="F1097" s="16">
        <v>4244.42</v>
      </c>
      <c r="G1097" s="16">
        <v>4210.63</v>
      </c>
      <c r="H1097" s="16">
        <v>4238.32</v>
      </c>
      <c r="I1097" s="17">
        <v>740596</v>
      </c>
      <c r="J1097" s="16">
        <v>5933648000000</v>
      </c>
    </row>
    <row r="1098" spans="1:10" x14ac:dyDescent="0.25">
      <c r="A1098" s="8">
        <v>45966</v>
      </c>
      <c r="B1098" s="9" t="s">
        <v>65</v>
      </c>
      <c r="C1098" s="9" t="s">
        <v>66</v>
      </c>
      <c r="D1098" s="9" t="s">
        <v>67</v>
      </c>
      <c r="E1098" s="10">
        <v>129.91999999999999</v>
      </c>
      <c r="F1098" s="10">
        <v>130.83000000000001</v>
      </c>
      <c r="G1098" s="10">
        <v>129.37</v>
      </c>
      <c r="H1098" s="10">
        <v>130.47</v>
      </c>
      <c r="I1098" s="11">
        <v>4767108</v>
      </c>
      <c r="J1098" s="10">
        <v>32617500000</v>
      </c>
    </row>
    <row r="1099" spans="1:10" x14ac:dyDescent="0.25">
      <c r="A1099" s="14">
        <v>45966</v>
      </c>
      <c r="B1099" s="15" t="s">
        <v>69</v>
      </c>
      <c r="C1099" s="15" t="s">
        <v>70</v>
      </c>
      <c r="D1099" s="15" t="s">
        <v>71</v>
      </c>
      <c r="E1099" s="16">
        <v>663.28</v>
      </c>
      <c r="F1099" s="16">
        <v>664.1</v>
      </c>
      <c r="G1099" s="16">
        <v>655.27</v>
      </c>
      <c r="H1099" s="16">
        <v>658.71</v>
      </c>
      <c r="I1099" s="17">
        <v>2503059</v>
      </c>
      <c r="J1099" s="16">
        <v>526968000000</v>
      </c>
    </row>
    <row r="1100" spans="1:10" x14ac:dyDescent="0.25">
      <c r="A1100" s="8">
        <v>45966</v>
      </c>
      <c r="B1100" s="9" t="s">
        <v>73</v>
      </c>
      <c r="C1100" s="9" t="s">
        <v>74</v>
      </c>
      <c r="D1100" s="9" t="s">
        <v>75</v>
      </c>
      <c r="E1100" s="10">
        <v>106.15</v>
      </c>
      <c r="F1100" s="10">
        <v>107.51</v>
      </c>
      <c r="G1100" s="10">
        <v>104.21</v>
      </c>
      <c r="H1100" s="10">
        <v>105.69</v>
      </c>
      <c r="I1100" s="11">
        <v>2948188</v>
      </c>
      <c r="J1100" s="10">
        <v>23251800000</v>
      </c>
    </row>
    <row r="1101" spans="1:10" x14ac:dyDescent="0.25">
      <c r="A1101" s="14">
        <v>45966</v>
      </c>
      <c r="B1101" s="15" t="s">
        <v>76</v>
      </c>
      <c r="C1101" s="15" t="s">
        <v>77</v>
      </c>
      <c r="D1101" s="15" t="s">
        <v>75</v>
      </c>
      <c r="E1101" s="16">
        <v>92.87</v>
      </c>
      <c r="F1101" s="16">
        <v>93.96</v>
      </c>
      <c r="G1101" s="16">
        <v>92.6</v>
      </c>
      <c r="H1101" s="16">
        <v>92.66</v>
      </c>
      <c r="I1101" s="17">
        <v>4756811</v>
      </c>
      <c r="J1101" s="16">
        <v>18532000000</v>
      </c>
    </row>
    <row r="1102" spans="1:10" x14ac:dyDescent="0.25">
      <c r="A1102" s="8">
        <v>45967</v>
      </c>
      <c r="B1102" s="9" t="s">
        <v>60</v>
      </c>
      <c r="C1102" s="9" t="s">
        <v>61</v>
      </c>
      <c r="D1102" s="9" t="s">
        <v>62</v>
      </c>
      <c r="E1102" s="10">
        <v>4135.84</v>
      </c>
      <c r="F1102" s="10">
        <v>4198.74</v>
      </c>
      <c r="G1102" s="10">
        <v>4068.53</v>
      </c>
      <c r="H1102" s="10">
        <v>4180.3</v>
      </c>
      <c r="I1102" s="11">
        <v>3109910</v>
      </c>
      <c r="J1102" s="10">
        <v>5852420000000</v>
      </c>
    </row>
    <row r="1103" spans="1:10" x14ac:dyDescent="0.25">
      <c r="A1103" s="14">
        <v>45967</v>
      </c>
      <c r="B1103" s="15" t="s">
        <v>65</v>
      </c>
      <c r="C1103" s="15" t="s">
        <v>66</v>
      </c>
      <c r="D1103" s="15" t="s">
        <v>67</v>
      </c>
      <c r="E1103" s="16">
        <v>132.32</v>
      </c>
      <c r="F1103" s="16">
        <v>132.56</v>
      </c>
      <c r="G1103" s="16">
        <v>130.43</v>
      </c>
      <c r="H1103" s="16">
        <v>130.97</v>
      </c>
      <c r="I1103" s="17">
        <v>3581235</v>
      </c>
      <c r="J1103" s="16">
        <v>32742500000</v>
      </c>
    </row>
    <row r="1104" spans="1:10" x14ac:dyDescent="0.25">
      <c r="A1104" s="8">
        <v>45967</v>
      </c>
      <c r="B1104" s="9" t="s">
        <v>69</v>
      </c>
      <c r="C1104" s="9" t="s">
        <v>70</v>
      </c>
      <c r="D1104" s="9" t="s">
        <v>71</v>
      </c>
      <c r="E1104" s="10">
        <v>644.46</v>
      </c>
      <c r="F1104" s="10">
        <v>646.33000000000004</v>
      </c>
      <c r="G1104" s="10">
        <v>644.05999999999995</v>
      </c>
      <c r="H1104" s="10">
        <v>645.80999999999995</v>
      </c>
      <c r="I1104" s="11">
        <v>4661676</v>
      </c>
      <c r="J1104" s="10">
        <v>516648000000</v>
      </c>
    </row>
    <row r="1105" spans="1:10" x14ac:dyDescent="0.25">
      <c r="A1105" s="14">
        <v>45967</v>
      </c>
      <c r="B1105" s="15" t="s">
        <v>73</v>
      </c>
      <c r="C1105" s="15" t="s">
        <v>74</v>
      </c>
      <c r="D1105" s="15" t="s">
        <v>75</v>
      </c>
      <c r="E1105" s="16">
        <v>108.07</v>
      </c>
      <c r="F1105" s="16">
        <v>108.76</v>
      </c>
      <c r="G1105" s="16">
        <v>106.94</v>
      </c>
      <c r="H1105" s="16">
        <v>107.27</v>
      </c>
      <c r="I1105" s="17">
        <v>4893707</v>
      </c>
      <c r="J1105" s="16">
        <v>23599400000</v>
      </c>
    </row>
    <row r="1106" spans="1:10" x14ac:dyDescent="0.25">
      <c r="A1106" s="8">
        <v>45967</v>
      </c>
      <c r="B1106" s="9" t="s">
        <v>76</v>
      </c>
      <c r="C1106" s="9" t="s">
        <v>77</v>
      </c>
      <c r="D1106" s="9" t="s">
        <v>75</v>
      </c>
      <c r="E1106" s="10">
        <v>92.86</v>
      </c>
      <c r="F1106" s="10">
        <v>92.87</v>
      </c>
      <c r="G1106" s="10">
        <v>92.16</v>
      </c>
      <c r="H1106" s="10">
        <v>92.53</v>
      </c>
      <c r="I1106" s="11">
        <v>4040834</v>
      </c>
      <c r="J1106" s="10">
        <v>18506000000</v>
      </c>
    </row>
    <row r="1107" spans="1:10" x14ac:dyDescent="0.25">
      <c r="A1107" s="14">
        <v>45968</v>
      </c>
      <c r="B1107" s="15" t="s">
        <v>60</v>
      </c>
      <c r="C1107" s="15" t="s">
        <v>61</v>
      </c>
      <c r="D1107" s="15" t="s">
        <v>62</v>
      </c>
      <c r="E1107" s="16">
        <v>4207.8599999999997</v>
      </c>
      <c r="F1107" s="16">
        <v>4240.08</v>
      </c>
      <c r="G1107" s="16">
        <v>4164.3900000000003</v>
      </c>
      <c r="H1107" s="16">
        <v>4183.46</v>
      </c>
      <c r="I1107" s="17">
        <v>585563</v>
      </c>
      <c r="J1107" s="16">
        <v>5856844000000</v>
      </c>
    </row>
    <row r="1108" spans="1:10" x14ac:dyDescent="0.25">
      <c r="A1108" s="8">
        <v>45968</v>
      </c>
      <c r="B1108" s="9" t="s">
        <v>65</v>
      </c>
      <c r="C1108" s="9" t="s">
        <v>66</v>
      </c>
      <c r="D1108" s="9" t="s">
        <v>67</v>
      </c>
      <c r="E1108" s="10">
        <v>131.85</v>
      </c>
      <c r="F1108" s="10">
        <v>131.91999999999999</v>
      </c>
      <c r="G1108" s="10">
        <v>130.41999999999999</v>
      </c>
      <c r="H1108" s="10">
        <v>131.66999999999999</v>
      </c>
      <c r="I1108" s="11">
        <v>1321649</v>
      </c>
      <c r="J1108" s="10">
        <v>32917500000</v>
      </c>
    </row>
    <row r="1109" spans="1:10" x14ac:dyDescent="0.25">
      <c r="A1109" s="14">
        <v>45968</v>
      </c>
      <c r="B1109" s="15" t="s">
        <v>69</v>
      </c>
      <c r="C1109" s="15" t="s">
        <v>70</v>
      </c>
      <c r="D1109" s="15" t="s">
        <v>71</v>
      </c>
      <c r="E1109" s="16">
        <v>640.6</v>
      </c>
      <c r="F1109" s="16">
        <v>641.27</v>
      </c>
      <c r="G1109" s="16">
        <v>638.1</v>
      </c>
      <c r="H1109" s="16">
        <v>640.80999999999995</v>
      </c>
      <c r="I1109" s="17">
        <v>1389741</v>
      </c>
      <c r="J1109" s="16">
        <v>512648000000</v>
      </c>
    </row>
    <row r="1110" spans="1:10" x14ac:dyDescent="0.25">
      <c r="A1110" s="8">
        <v>45968</v>
      </c>
      <c r="B1110" s="9" t="s">
        <v>73</v>
      </c>
      <c r="C1110" s="9" t="s">
        <v>74</v>
      </c>
      <c r="D1110" s="9" t="s">
        <v>75</v>
      </c>
      <c r="E1110" s="10">
        <v>105.35</v>
      </c>
      <c r="F1110" s="10">
        <v>106.36</v>
      </c>
      <c r="G1110" s="10">
        <v>104.44</v>
      </c>
      <c r="H1110" s="10">
        <v>104.79</v>
      </c>
      <c r="I1110" s="11">
        <v>1229835</v>
      </c>
      <c r="J1110" s="10">
        <v>23053800000</v>
      </c>
    </row>
    <row r="1111" spans="1:10" x14ac:dyDescent="0.25">
      <c r="A1111" s="14">
        <v>45968</v>
      </c>
      <c r="B1111" s="15" t="s">
        <v>76</v>
      </c>
      <c r="C1111" s="15" t="s">
        <v>77</v>
      </c>
      <c r="D1111" s="15" t="s">
        <v>75</v>
      </c>
      <c r="E1111" s="16">
        <v>90.54</v>
      </c>
      <c r="F1111" s="16">
        <v>90.73</v>
      </c>
      <c r="G1111" s="16">
        <v>90.02</v>
      </c>
      <c r="H1111" s="16">
        <v>90.35</v>
      </c>
      <c r="I1111" s="17">
        <v>935136</v>
      </c>
      <c r="J1111" s="16">
        <v>18070000000</v>
      </c>
    </row>
    <row r="1112" spans="1:10" x14ac:dyDescent="0.25">
      <c r="A1112" s="8">
        <v>45971</v>
      </c>
      <c r="B1112" s="9" t="s">
        <v>60</v>
      </c>
      <c r="C1112" s="9" t="s">
        <v>61</v>
      </c>
      <c r="D1112" s="9" t="s">
        <v>62</v>
      </c>
      <c r="E1112" s="10">
        <v>4092.95</v>
      </c>
      <c r="F1112" s="10">
        <v>4149.67</v>
      </c>
      <c r="G1112" s="10">
        <v>4087.25</v>
      </c>
      <c r="H1112" s="10">
        <v>4143.6400000000003</v>
      </c>
      <c r="I1112" s="11">
        <v>3012910</v>
      </c>
      <c r="J1112" s="10">
        <v>5801096000000</v>
      </c>
    </row>
    <row r="1113" spans="1:10" x14ac:dyDescent="0.25">
      <c r="A1113" s="14">
        <v>45971</v>
      </c>
      <c r="B1113" s="15" t="s">
        <v>65</v>
      </c>
      <c r="C1113" s="15" t="s">
        <v>66</v>
      </c>
      <c r="D1113" s="15" t="s">
        <v>67</v>
      </c>
      <c r="E1113" s="16">
        <v>133.75</v>
      </c>
      <c r="F1113" s="16">
        <v>133.84</v>
      </c>
      <c r="G1113" s="16">
        <v>131.88999999999999</v>
      </c>
      <c r="H1113" s="16">
        <v>132.43</v>
      </c>
      <c r="I1113" s="17">
        <v>823343</v>
      </c>
      <c r="J1113" s="16">
        <v>33107500000</v>
      </c>
    </row>
    <row r="1114" spans="1:10" x14ac:dyDescent="0.25">
      <c r="A1114" s="8">
        <v>45971</v>
      </c>
      <c r="B1114" s="9" t="s">
        <v>69</v>
      </c>
      <c r="C1114" s="9" t="s">
        <v>70</v>
      </c>
      <c r="D1114" s="9" t="s">
        <v>71</v>
      </c>
      <c r="E1114" s="10">
        <v>634.53</v>
      </c>
      <c r="F1114" s="10">
        <v>637.6</v>
      </c>
      <c r="G1114" s="10">
        <v>622.75</v>
      </c>
      <c r="H1114" s="10">
        <v>626.67999999999995</v>
      </c>
      <c r="I1114" s="11">
        <v>3995809</v>
      </c>
      <c r="J1114" s="10">
        <v>501344000000</v>
      </c>
    </row>
    <row r="1115" spans="1:10" x14ac:dyDescent="0.25">
      <c r="A1115" s="14">
        <v>45971</v>
      </c>
      <c r="B1115" s="15" t="s">
        <v>73</v>
      </c>
      <c r="C1115" s="15" t="s">
        <v>74</v>
      </c>
      <c r="D1115" s="15" t="s">
        <v>75</v>
      </c>
      <c r="E1115" s="16">
        <v>106.26</v>
      </c>
      <c r="F1115" s="16">
        <v>108.41</v>
      </c>
      <c r="G1115" s="16">
        <v>105.26</v>
      </c>
      <c r="H1115" s="16">
        <v>105.89</v>
      </c>
      <c r="I1115" s="17">
        <v>3593656</v>
      </c>
      <c r="J1115" s="16">
        <v>23295800000</v>
      </c>
    </row>
    <row r="1116" spans="1:10" x14ac:dyDescent="0.25">
      <c r="A1116" s="8">
        <v>45971</v>
      </c>
      <c r="B1116" s="9" t="s">
        <v>76</v>
      </c>
      <c r="C1116" s="9" t="s">
        <v>77</v>
      </c>
      <c r="D1116" s="9" t="s">
        <v>75</v>
      </c>
      <c r="E1116" s="10">
        <v>91.05</v>
      </c>
      <c r="F1116" s="10">
        <v>91.81</v>
      </c>
      <c r="G1116" s="10">
        <v>90.28</v>
      </c>
      <c r="H1116" s="10">
        <v>90.61</v>
      </c>
      <c r="I1116" s="11">
        <v>1191287</v>
      </c>
      <c r="J1116" s="10">
        <v>18122000000</v>
      </c>
    </row>
    <row r="1117" spans="1:10" x14ac:dyDescent="0.25">
      <c r="A1117" s="14">
        <v>45972</v>
      </c>
      <c r="B1117" s="15" t="s">
        <v>60</v>
      </c>
      <c r="C1117" s="15" t="s">
        <v>61</v>
      </c>
      <c r="D1117" s="15" t="s">
        <v>62</v>
      </c>
      <c r="E1117" s="16">
        <v>4228.04</v>
      </c>
      <c r="F1117" s="16">
        <v>4273.78</v>
      </c>
      <c r="G1117" s="16">
        <v>4200.05</v>
      </c>
      <c r="H1117" s="16">
        <v>4207.67</v>
      </c>
      <c r="I1117" s="17">
        <v>911693</v>
      </c>
      <c r="J1117" s="16">
        <v>5890738000000</v>
      </c>
    </row>
    <row r="1118" spans="1:10" x14ac:dyDescent="0.25">
      <c r="A1118" s="8" t="s">
        <v>87</v>
      </c>
      <c r="B1118" s="9" t="s">
        <v>65</v>
      </c>
      <c r="C1118" s="9" t="s">
        <v>66</v>
      </c>
      <c r="D1118" s="9" t="s">
        <v>67</v>
      </c>
      <c r="E1118" s="10">
        <v>135.35</v>
      </c>
      <c r="F1118" s="10">
        <v>136.1</v>
      </c>
      <c r="G1118" s="10">
        <v>135.31</v>
      </c>
      <c r="H1118" s="10">
        <v>135.69999999999999</v>
      </c>
      <c r="I1118" s="11">
        <v>307278</v>
      </c>
      <c r="J1118" s="10">
        <v>33925000000</v>
      </c>
    </row>
    <row r="1119" spans="1:10" x14ac:dyDescent="0.25">
      <c r="A1119" s="14">
        <v>45972</v>
      </c>
      <c r="B1119" s="15" t="s">
        <v>69</v>
      </c>
      <c r="C1119" s="15" t="s">
        <v>70</v>
      </c>
      <c r="D1119" s="15" t="s">
        <v>71</v>
      </c>
      <c r="E1119" s="16">
        <v>625</v>
      </c>
      <c r="F1119" s="16">
        <v>627.01</v>
      </c>
      <c r="G1119" s="16">
        <v>621.62</v>
      </c>
      <c r="H1119" s="16">
        <v>625.39</v>
      </c>
      <c r="I1119" s="17">
        <v>3582717</v>
      </c>
      <c r="J1119" s="16">
        <v>500312000000</v>
      </c>
    </row>
    <row r="1120" spans="1:10" x14ac:dyDescent="0.25">
      <c r="A1120" s="8">
        <v>45972</v>
      </c>
      <c r="B1120" s="9" t="s">
        <v>73</v>
      </c>
      <c r="C1120" s="9" t="s">
        <v>74</v>
      </c>
      <c r="D1120" s="9" t="s">
        <v>75</v>
      </c>
      <c r="E1120" s="10">
        <v>104.21</v>
      </c>
      <c r="F1120" s="10">
        <v>104.66</v>
      </c>
      <c r="G1120" s="10">
        <v>103.31</v>
      </c>
      <c r="H1120" s="10">
        <v>103.9</v>
      </c>
      <c r="I1120" s="11">
        <v>888038</v>
      </c>
      <c r="J1120" s="10">
        <v>22858000000</v>
      </c>
    </row>
    <row r="1121" spans="1:10" x14ac:dyDescent="0.25">
      <c r="A1121" s="14">
        <v>45972</v>
      </c>
      <c r="B1121" s="15" t="s">
        <v>76</v>
      </c>
      <c r="C1121" s="15" t="s">
        <v>77</v>
      </c>
      <c r="D1121" s="15" t="s">
        <v>75</v>
      </c>
      <c r="E1121" s="16">
        <v>90.05</v>
      </c>
      <c r="F1121" s="16">
        <v>90.11</v>
      </c>
      <c r="G1121" s="16">
        <v>90.04</v>
      </c>
      <c r="H1121" s="16">
        <v>90.11</v>
      </c>
      <c r="I1121" s="17">
        <v>4343865</v>
      </c>
      <c r="J1121" s="16">
        <v>18022000000</v>
      </c>
    </row>
    <row r="1122" spans="1:10" x14ac:dyDescent="0.25">
      <c r="A1122" s="8">
        <v>45973</v>
      </c>
      <c r="B1122" s="9" t="s">
        <v>60</v>
      </c>
      <c r="C1122" s="9" t="s">
        <v>61</v>
      </c>
      <c r="D1122" s="9" t="s">
        <v>62</v>
      </c>
      <c r="E1122" s="10">
        <v>4265.07</v>
      </c>
      <c r="F1122" s="10">
        <v>4294.22</v>
      </c>
      <c r="G1122" s="10">
        <v>4234.38</v>
      </c>
      <c r="H1122" s="10">
        <v>4252.5</v>
      </c>
      <c r="I1122" s="11">
        <v>763006</v>
      </c>
      <c r="J1122" s="10">
        <v>5953500000000</v>
      </c>
    </row>
    <row r="1123" spans="1:10" x14ac:dyDescent="0.25">
      <c r="A1123" s="14">
        <v>45973</v>
      </c>
      <c r="B1123" s="15" t="s">
        <v>65</v>
      </c>
      <c r="C1123" s="15" t="s">
        <v>66</v>
      </c>
      <c r="D1123" s="15" t="s">
        <v>67</v>
      </c>
      <c r="E1123" s="16">
        <v>135.63</v>
      </c>
      <c r="F1123" s="16">
        <v>137.47999999999999</v>
      </c>
      <c r="G1123" s="16">
        <v>133.61000000000001</v>
      </c>
      <c r="H1123" s="16">
        <v>133.96</v>
      </c>
      <c r="I1123" s="17">
        <v>4784770</v>
      </c>
      <c r="J1123" s="16">
        <v>33490000000</v>
      </c>
    </row>
    <row r="1124" spans="1:10" x14ac:dyDescent="0.25">
      <c r="A1124" s="8">
        <v>45973</v>
      </c>
      <c r="B1124" s="9" t="s">
        <v>69</v>
      </c>
      <c r="C1124" s="9" t="s">
        <v>70</v>
      </c>
      <c r="D1124" s="9" t="s">
        <v>71</v>
      </c>
      <c r="E1124" s="10">
        <v>630.69000000000005</v>
      </c>
      <c r="F1124" s="10">
        <v>634.35</v>
      </c>
      <c r="G1124" s="10">
        <v>626.07000000000005</v>
      </c>
      <c r="H1124" s="10">
        <v>628.47</v>
      </c>
      <c r="I1124" s="11">
        <v>2003898</v>
      </c>
      <c r="J1124" s="10">
        <v>502776000000</v>
      </c>
    </row>
    <row r="1125" spans="1:10" x14ac:dyDescent="0.25">
      <c r="A1125" s="14">
        <v>45973</v>
      </c>
      <c r="B1125" s="15" t="s">
        <v>73</v>
      </c>
      <c r="C1125" s="15" t="s">
        <v>74</v>
      </c>
      <c r="D1125" s="15" t="s">
        <v>75</v>
      </c>
      <c r="E1125" s="16">
        <v>101.71</v>
      </c>
      <c r="F1125" s="16">
        <v>101.81</v>
      </c>
      <c r="G1125" s="16">
        <v>101.5</v>
      </c>
      <c r="H1125" s="16">
        <v>101.62</v>
      </c>
      <c r="I1125" s="17">
        <v>1902250</v>
      </c>
      <c r="J1125" s="16">
        <v>22356400000</v>
      </c>
    </row>
    <row r="1126" spans="1:10" x14ac:dyDescent="0.25">
      <c r="A1126" s="8">
        <v>45973</v>
      </c>
      <c r="B1126" s="9" t="s">
        <v>76</v>
      </c>
      <c r="C1126" s="9" t="s">
        <v>77</v>
      </c>
      <c r="D1126" s="9" t="s">
        <v>75</v>
      </c>
      <c r="E1126" s="10">
        <v>89.72</v>
      </c>
      <c r="F1126" s="10">
        <v>90.4</v>
      </c>
      <c r="G1126" s="10">
        <v>88.86</v>
      </c>
      <c r="H1126" s="10">
        <v>89.61</v>
      </c>
      <c r="I1126" s="11">
        <v>3974073</v>
      </c>
      <c r="J1126" s="10">
        <v>17922000000</v>
      </c>
    </row>
    <row r="1127" spans="1:10" x14ac:dyDescent="0.25">
      <c r="A1127" s="14">
        <v>45974</v>
      </c>
      <c r="B1127" s="15" t="s">
        <v>60</v>
      </c>
      <c r="C1127" s="15" t="s">
        <v>61</v>
      </c>
      <c r="D1127" s="15" t="s">
        <v>62</v>
      </c>
      <c r="E1127" s="16">
        <v>4313.9399999999996</v>
      </c>
      <c r="F1127" s="16">
        <v>4315.68</v>
      </c>
      <c r="G1127" s="16">
        <v>4295.07</v>
      </c>
      <c r="H1127" s="16">
        <v>4299.05</v>
      </c>
      <c r="I1127" s="17">
        <v>2300558</v>
      </c>
      <c r="J1127" s="16">
        <v>6018670000000</v>
      </c>
    </row>
    <row r="1128" spans="1:10" x14ac:dyDescent="0.25">
      <c r="A1128" s="8">
        <v>45974</v>
      </c>
      <c r="B1128" s="9" t="s">
        <v>65</v>
      </c>
      <c r="C1128" s="9" t="s">
        <v>66</v>
      </c>
      <c r="D1128" s="9" t="s">
        <v>67</v>
      </c>
      <c r="E1128" s="10">
        <v>133.26</v>
      </c>
      <c r="F1128" s="10">
        <v>133.29</v>
      </c>
      <c r="G1128" s="10">
        <v>132.38</v>
      </c>
      <c r="H1128" s="10">
        <v>132.87</v>
      </c>
      <c r="I1128" s="11">
        <v>4069062</v>
      </c>
      <c r="J1128" s="10">
        <v>33217500000</v>
      </c>
    </row>
    <row r="1129" spans="1:10" x14ac:dyDescent="0.25">
      <c r="A1129" s="14">
        <v>45974</v>
      </c>
      <c r="B1129" s="15" t="s">
        <v>69</v>
      </c>
      <c r="C1129" s="15" t="s">
        <v>70</v>
      </c>
      <c r="D1129" s="15" t="s">
        <v>71</v>
      </c>
      <c r="E1129" s="16">
        <v>626.55999999999995</v>
      </c>
      <c r="F1129" s="16">
        <v>627.45000000000005</v>
      </c>
      <c r="G1129" s="16">
        <v>626.37</v>
      </c>
      <c r="H1129" s="16">
        <v>626.74</v>
      </c>
      <c r="I1129" s="17">
        <v>3132988</v>
      </c>
      <c r="J1129" s="16">
        <v>501392000000</v>
      </c>
    </row>
    <row r="1130" spans="1:10" x14ac:dyDescent="0.25">
      <c r="A1130" s="8">
        <v>45974</v>
      </c>
      <c r="B1130" s="9" t="s">
        <v>73</v>
      </c>
      <c r="C1130" s="9" t="s">
        <v>74</v>
      </c>
      <c r="D1130" s="9" t="s">
        <v>75</v>
      </c>
      <c r="E1130" s="10">
        <v>101.75</v>
      </c>
      <c r="F1130" s="10">
        <v>101.98</v>
      </c>
      <c r="G1130" s="10">
        <v>100.66</v>
      </c>
      <c r="H1130" s="10">
        <v>101.54</v>
      </c>
      <c r="I1130" s="11">
        <v>4145089</v>
      </c>
      <c r="J1130" s="10">
        <v>22338800000</v>
      </c>
    </row>
    <row r="1131" spans="1:10" x14ac:dyDescent="0.25">
      <c r="A1131" s="14">
        <v>45974</v>
      </c>
      <c r="B1131" s="15" t="s">
        <v>76</v>
      </c>
      <c r="C1131" s="15" t="s">
        <v>77</v>
      </c>
      <c r="D1131" s="15" t="s">
        <v>75</v>
      </c>
      <c r="E1131" s="16">
        <v>91.28</v>
      </c>
      <c r="F1131" s="16">
        <v>92.65</v>
      </c>
      <c r="G1131" s="16">
        <v>90.74</v>
      </c>
      <c r="H1131" s="16">
        <v>91.76</v>
      </c>
      <c r="I1131" s="17">
        <v>2254425</v>
      </c>
      <c r="J1131" s="16">
        <v>18352000000</v>
      </c>
    </row>
    <row r="1132" spans="1:10" x14ac:dyDescent="0.25">
      <c r="A1132" s="8">
        <v>45975</v>
      </c>
      <c r="B1132" s="9" t="s">
        <v>60</v>
      </c>
      <c r="C1132" s="9" t="s">
        <v>61</v>
      </c>
      <c r="D1132" s="9" t="s">
        <v>62</v>
      </c>
      <c r="E1132" s="10">
        <v>4315.6499999999996</v>
      </c>
      <c r="F1132" s="10">
        <v>4319.96</v>
      </c>
      <c r="G1132" s="10">
        <v>4283.9799999999996</v>
      </c>
      <c r="H1132" s="10">
        <v>4300.93</v>
      </c>
      <c r="I1132" s="11">
        <v>684212</v>
      </c>
      <c r="J1132" s="10">
        <v>6021302000000</v>
      </c>
    </row>
    <row r="1133" spans="1:10" x14ac:dyDescent="0.25">
      <c r="A1133" s="14">
        <v>45975</v>
      </c>
      <c r="B1133" s="15" t="s">
        <v>65</v>
      </c>
      <c r="C1133" s="15" t="s">
        <v>66</v>
      </c>
      <c r="D1133" s="15" t="s">
        <v>67</v>
      </c>
      <c r="E1133" s="16">
        <v>135.15</v>
      </c>
      <c r="F1133" s="16">
        <v>135.22</v>
      </c>
      <c r="G1133" s="16">
        <v>133.59</v>
      </c>
      <c r="H1133" s="16">
        <v>133.61000000000001</v>
      </c>
      <c r="I1133" s="17">
        <v>719078</v>
      </c>
      <c r="J1133" s="16">
        <v>33402500000</v>
      </c>
    </row>
    <row r="1134" spans="1:10" x14ac:dyDescent="0.25">
      <c r="A1134" s="8">
        <v>45975</v>
      </c>
      <c r="B1134" s="9" t="s">
        <v>69</v>
      </c>
      <c r="C1134" s="9" t="s">
        <v>70</v>
      </c>
      <c r="D1134" s="9" t="s">
        <v>71</v>
      </c>
      <c r="E1134" s="10">
        <v>641.26</v>
      </c>
      <c r="F1134" s="10">
        <v>646.62</v>
      </c>
      <c r="G1134" s="10">
        <v>635.49</v>
      </c>
      <c r="H1134" s="10">
        <v>644.79</v>
      </c>
      <c r="I1134" s="11">
        <v>836515</v>
      </c>
      <c r="J1134" s="10">
        <v>515832000000</v>
      </c>
    </row>
    <row r="1135" spans="1:10" x14ac:dyDescent="0.25">
      <c r="A1135" s="14">
        <v>45975</v>
      </c>
      <c r="B1135" s="15" t="s">
        <v>73</v>
      </c>
      <c r="C1135" s="15" t="s">
        <v>74</v>
      </c>
      <c r="D1135" s="15" t="s">
        <v>75</v>
      </c>
      <c r="E1135" s="16">
        <v>102.76</v>
      </c>
      <c r="F1135" s="16">
        <v>102.92</v>
      </c>
      <c r="G1135" s="16">
        <v>102.41</v>
      </c>
      <c r="H1135" s="16">
        <v>102.66</v>
      </c>
      <c r="I1135" s="17">
        <v>2150296</v>
      </c>
      <c r="J1135" s="16">
        <v>22585200000</v>
      </c>
    </row>
    <row r="1136" spans="1:10" x14ac:dyDescent="0.25">
      <c r="A1136" s="8">
        <v>45975</v>
      </c>
      <c r="B1136" s="9" t="s">
        <v>76</v>
      </c>
      <c r="C1136" s="9" t="s">
        <v>77</v>
      </c>
      <c r="D1136" s="9" t="s">
        <v>75</v>
      </c>
      <c r="E1136" s="10">
        <v>92.63</v>
      </c>
      <c r="F1136" s="10">
        <v>92.82</v>
      </c>
      <c r="G1136" s="10">
        <v>91.9</v>
      </c>
      <c r="H1136" s="10">
        <v>92.58</v>
      </c>
      <c r="I1136" s="11">
        <v>3672292</v>
      </c>
      <c r="J1136" s="10">
        <v>18516000000</v>
      </c>
    </row>
    <row r="1137" spans="1:10" x14ac:dyDescent="0.25">
      <c r="A1137" s="14">
        <v>45978</v>
      </c>
      <c r="B1137" s="15" t="s">
        <v>60</v>
      </c>
      <c r="C1137" s="15" t="s">
        <v>61</v>
      </c>
      <c r="D1137" s="15" t="s">
        <v>62</v>
      </c>
      <c r="E1137" s="16">
        <v>4406.43</v>
      </c>
      <c r="F1137" s="16">
        <v>4449.6899999999996</v>
      </c>
      <c r="G1137" s="16">
        <v>4320.51</v>
      </c>
      <c r="H1137" s="16">
        <v>4394.91</v>
      </c>
      <c r="I1137" s="17">
        <v>1452002</v>
      </c>
      <c r="J1137" s="16">
        <v>6152874000000</v>
      </c>
    </row>
    <row r="1138" spans="1:10" x14ac:dyDescent="0.25">
      <c r="A1138" s="8">
        <v>45978</v>
      </c>
      <c r="B1138" s="9" t="s">
        <v>65</v>
      </c>
      <c r="C1138" s="9" t="s">
        <v>66</v>
      </c>
      <c r="D1138" s="9" t="s">
        <v>67</v>
      </c>
      <c r="E1138" s="10">
        <v>131.38</v>
      </c>
      <c r="F1138" s="10">
        <v>133.83000000000001</v>
      </c>
      <c r="G1138" s="10">
        <v>131.31</v>
      </c>
      <c r="H1138" s="10">
        <v>131.75</v>
      </c>
      <c r="I1138" s="11">
        <v>830343</v>
      </c>
      <c r="J1138" s="10">
        <v>32937500000</v>
      </c>
    </row>
    <row r="1139" spans="1:10" x14ac:dyDescent="0.25">
      <c r="A1139" s="14">
        <v>45978</v>
      </c>
      <c r="B1139" s="15" t="s">
        <v>69</v>
      </c>
      <c r="C1139" s="15" t="s">
        <v>70</v>
      </c>
      <c r="D1139" s="15" t="s">
        <v>71</v>
      </c>
      <c r="E1139" s="16">
        <v>647.79</v>
      </c>
      <c r="F1139" s="16">
        <v>649.87</v>
      </c>
      <c r="G1139" s="16">
        <v>645.82000000000005</v>
      </c>
      <c r="H1139" s="16">
        <v>647.5</v>
      </c>
      <c r="I1139" s="17">
        <v>3403175</v>
      </c>
      <c r="J1139" s="16">
        <v>518000000000</v>
      </c>
    </row>
    <row r="1140" spans="1:10" x14ac:dyDescent="0.25">
      <c r="A1140" s="8">
        <v>45978</v>
      </c>
      <c r="B1140" s="9" t="s">
        <v>73</v>
      </c>
      <c r="C1140" s="9" t="s">
        <v>74</v>
      </c>
      <c r="D1140" s="9" t="s">
        <v>75</v>
      </c>
      <c r="E1140" s="10">
        <v>101.12</v>
      </c>
      <c r="F1140" s="10">
        <v>101.41</v>
      </c>
      <c r="G1140" s="10">
        <v>100.91</v>
      </c>
      <c r="H1140" s="10">
        <v>100.96</v>
      </c>
      <c r="I1140" s="11">
        <v>3455215</v>
      </c>
      <c r="J1140" s="10">
        <v>22211200000</v>
      </c>
    </row>
    <row r="1141" spans="1:10" x14ac:dyDescent="0.25">
      <c r="A1141" s="14">
        <v>45978</v>
      </c>
      <c r="B1141" s="15" t="s">
        <v>76</v>
      </c>
      <c r="C1141" s="15" t="s">
        <v>77</v>
      </c>
      <c r="D1141" s="15" t="s">
        <v>75</v>
      </c>
      <c r="E1141" s="16">
        <v>92.42</v>
      </c>
      <c r="F1141" s="16">
        <v>92.44</v>
      </c>
      <c r="G1141" s="16">
        <v>92.29</v>
      </c>
      <c r="H1141" s="16">
        <v>92.36</v>
      </c>
      <c r="I1141" s="17">
        <v>353264</v>
      </c>
      <c r="J1141" s="16">
        <v>18472000000</v>
      </c>
    </row>
    <row r="1142" spans="1:10" x14ac:dyDescent="0.25">
      <c r="A1142" s="8">
        <v>45979</v>
      </c>
      <c r="B1142" s="9" t="s">
        <v>60</v>
      </c>
      <c r="C1142" s="9" t="s">
        <v>61</v>
      </c>
      <c r="D1142" s="9" t="s">
        <v>62</v>
      </c>
      <c r="E1142" s="10">
        <v>4546.12</v>
      </c>
      <c r="F1142" s="10">
        <v>4549.8900000000003</v>
      </c>
      <c r="G1142" s="10">
        <v>4533.01</v>
      </c>
      <c r="H1142" s="10">
        <v>4537.8</v>
      </c>
      <c r="I1142" s="11">
        <v>4293082</v>
      </c>
      <c r="J1142" s="10">
        <v>6352920000000</v>
      </c>
    </row>
    <row r="1143" spans="1:10" x14ac:dyDescent="0.25">
      <c r="A1143" s="14">
        <v>45979</v>
      </c>
      <c r="B1143" s="15" t="s">
        <v>65</v>
      </c>
      <c r="C1143" s="15" t="s">
        <v>66</v>
      </c>
      <c r="D1143" s="15" t="s">
        <v>67</v>
      </c>
      <c r="E1143" s="16">
        <v>129.22</v>
      </c>
      <c r="F1143" s="16">
        <v>129.47</v>
      </c>
      <c r="G1143" s="16">
        <v>128.56</v>
      </c>
      <c r="H1143" s="16">
        <v>129.13999999999999</v>
      </c>
      <c r="I1143" s="17">
        <v>4687970</v>
      </c>
      <c r="J1143" s="16">
        <v>32285000000</v>
      </c>
    </row>
    <row r="1144" spans="1:10" x14ac:dyDescent="0.25">
      <c r="A1144" s="8">
        <v>45979</v>
      </c>
      <c r="B1144" s="9" t="s">
        <v>69</v>
      </c>
      <c r="C1144" s="9" t="s">
        <v>70</v>
      </c>
      <c r="D1144" s="9" t="s">
        <v>71</v>
      </c>
      <c r="E1144" s="10">
        <v>640.79</v>
      </c>
      <c r="F1144" s="10">
        <v>641.95000000000005</v>
      </c>
      <c r="G1144" s="10">
        <v>637.20000000000005</v>
      </c>
      <c r="H1144" s="10">
        <v>640.03</v>
      </c>
      <c r="I1144" s="11">
        <v>4493361</v>
      </c>
      <c r="J1144" s="10">
        <v>512024000000</v>
      </c>
    </row>
    <row r="1145" spans="1:10" x14ac:dyDescent="0.25">
      <c r="A1145" s="14">
        <v>45979</v>
      </c>
      <c r="B1145" s="15" t="s">
        <v>73</v>
      </c>
      <c r="C1145" s="15" t="s">
        <v>74</v>
      </c>
      <c r="D1145" s="15" t="s">
        <v>75</v>
      </c>
      <c r="E1145" s="16">
        <v>103.05</v>
      </c>
      <c r="F1145" s="16">
        <v>103.32</v>
      </c>
      <c r="G1145" s="16">
        <v>102.82</v>
      </c>
      <c r="H1145" s="16">
        <v>103.23</v>
      </c>
      <c r="I1145" s="17">
        <v>2826646</v>
      </c>
      <c r="J1145" s="16">
        <v>22710600000</v>
      </c>
    </row>
    <row r="1146" spans="1:10" x14ac:dyDescent="0.25">
      <c r="A1146" s="8">
        <v>45979</v>
      </c>
      <c r="B1146" s="9" t="s">
        <v>76</v>
      </c>
      <c r="C1146" s="9" t="s">
        <v>77</v>
      </c>
      <c r="D1146" s="9" t="s">
        <v>75</v>
      </c>
      <c r="E1146" s="10">
        <v>92.3</v>
      </c>
      <c r="F1146" s="10">
        <v>92.36</v>
      </c>
      <c r="G1146" s="10">
        <v>92.27</v>
      </c>
      <c r="H1146" s="10">
        <v>92.32</v>
      </c>
      <c r="I1146" s="11">
        <v>1102654</v>
      </c>
      <c r="J1146" s="10">
        <v>18464000000</v>
      </c>
    </row>
    <row r="1147" spans="1:10" x14ac:dyDescent="0.25">
      <c r="A1147" s="14">
        <v>45980</v>
      </c>
      <c r="B1147" s="15" t="s">
        <v>60</v>
      </c>
      <c r="C1147" s="15" t="s">
        <v>61</v>
      </c>
      <c r="D1147" s="15" t="s">
        <v>62</v>
      </c>
      <c r="E1147" s="16">
        <v>4572.6000000000004</v>
      </c>
      <c r="F1147" s="16">
        <v>4626.08</v>
      </c>
      <c r="G1147" s="16">
        <v>4523.0600000000004</v>
      </c>
      <c r="H1147" s="16">
        <v>4624.72</v>
      </c>
      <c r="I1147" s="17">
        <v>4557560</v>
      </c>
      <c r="J1147" s="16">
        <v>6474608000000</v>
      </c>
    </row>
    <row r="1148" spans="1:10" x14ac:dyDescent="0.25">
      <c r="A1148" s="8">
        <v>45980</v>
      </c>
      <c r="B1148" s="9" t="s">
        <v>65</v>
      </c>
      <c r="C1148" s="9" t="s">
        <v>66</v>
      </c>
      <c r="D1148" s="9" t="s">
        <v>67</v>
      </c>
      <c r="E1148" s="10">
        <v>129.80000000000001</v>
      </c>
      <c r="F1148" s="10">
        <v>131.55000000000001</v>
      </c>
      <c r="G1148" s="10">
        <v>129.35</v>
      </c>
      <c r="H1148" s="10">
        <v>129.78</v>
      </c>
      <c r="I1148" s="11">
        <v>1551726</v>
      </c>
      <c r="J1148" s="10">
        <v>32445000000</v>
      </c>
    </row>
    <row r="1149" spans="1:10" x14ac:dyDescent="0.25">
      <c r="A1149" s="14">
        <v>45980</v>
      </c>
      <c r="B1149" s="15" t="s">
        <v>69</v>
      </c>
      <c r="C1149" s="15" t="s">
        <v>70</v>
      </c>
      <c r="D1149" s="15" t="s">
        <v>71</v>
      </c>
      <c r="E1149" s="16">
        <v>633.65</v>
      </c>
      <c r="F1149" s="16">
        <v>638.92999999999995</v>
      </c>
      <c r="G1149" s="16">
        <v>621.4</v>
      </c>
      <c r="H1149" s="16">
        <v>629.72</v>
      </c>
      <c r="I1149" s="17">
        <v>1779111</v>
      </c>
      <c r="J1149" s="16">
        <v>503776000000</v>
      </c>
    </row>
    <row r="1150" spans="1:10" x14ac:dyDescent="0.25">
      <c r="A1150" s="8">
        <v>45980</v>
      </c>
      <c r="B1150" s="9" t="s">
        <v>73</v>
      </c>
      <c r="C1150" s="9" t="s">
        <v>74</v>
      </c>
      <c r="D1150" s="9" t="s">
        <v>75</v>
      </c>
      <c r="E1150" s="10">
        <v>105.13</v>
      </c>
      <c r="F1150" s="10">
        <v>106.74</v>
      </c>
      <c r="G1150" s="10">
        <v>104.38</v>
      </c>
      <c r="H1150" s="10">
        <v>104.87</v>
      </c>
      <c r="I1150" s="11">
        <v>2408743</v>
      </c>
      <c r="J1150" s="10">
        <v>23071400000</v>
      </c>
    </row>
    <row r="1151" spans="1:10" x14ac:dyDescent="0.25">
      <c r="A1151" s="14">
        <v>45980</v>
      </c>
      <c r="B1151" s="15" t="s">
        <v>76</v>
      </c>
      <c r="C1151" s="15" t="s">
        <v>77</v>
      </c>
      <c r="D1151" s="15" t="s">
        <v>75</v>
      </c>
      <c r="E1151" s="16">
        <v>92.78</v>
      </c>
      <c r="F1151" s="16">
        <v>93.46</v>
      </c>
      <c r="G1151" s="16">
        <v>91.62</v>
      </c>
      <c r="H1151" s="16">
        <v>93.02</v>
      </c>
      <c r="I1151" s="17">
        <v>663373</v>
      </c>
      <c r="J1151" s="16">
        <v>18604000000</v>
      </c>
    </row>
    <row r="1152" spans="1:10" x14ac:dyDescent="0.25">
      <c r="A1152" s="8">
        <v>45981</v>
      </c>
      <c r="B1152" s="9" t="s">
        <v>60</v>
      </c>
      <c r="C1152" s="9" t="s">
        <v>61</v>
      </c>
      <c r="D1152" s="9" t="s">
        <v>62</v>
      </c>
      <c r="E1152" s="10">
        <v>4643.6899999999996</v>
      </c>
      <c r="F1152" s="10">
        <v>4651.13</v>
      </c>
      <c r="G1152" s="10">
        <v>4622.5</v>
      </c>
      <c r="H1152" s="10">
        <v>4623.33</v>
      </c>
      <c r="I1152" s="11">
        <v>4619325</v>
      </c>
      <c r="J1152" s="10">
        <v>6472662000000</v>
      </c>
    </row>
    <row r="1153" spans="1:10" x14ac:dyDescent="0.25">
      <c r="A1153" s="14">
        <v>45981</v>
      </c>
      <c r="B1153" s="15" t="s">
        <v>65</v>
      </c>
      <c r="C1153" s="15" t="s">
        <v>66</v>
      </c>
      <c r="D1153" s="15" t="s">
        <v>67</v>
      </c>
      <c r="E1153" s="16">
        <v>129.54</v>
      </c>
      <c r="F1153" s="16">
        <v>131.18</v>
      </c>
      <c r="G1153" s="16">
        <v>128.07</v>
      </c>
      <c r="H1153" s="16">
        <v>130.31</v>
      </c>
      <c r="I1153" s="17">
        <v>3034453</v>
      </c>
      <c r="J1153" s="16">
        <v>32577500000</v>
      </c>
    </row>
    <row r="1154" spans="1:10" x14ac:dyDescent="0.25">
      <c r="A1154" s="8">
        <v>45981</v>
      </c>
      <c r="B1154" s="9" t="s">
        <v>69</v>
      </c>
      <c r="C1154" s="9" t="s">
        <v>70</v>
      </c>
      <c r="D1154" s="9" t="s">
        <v>71</v>
      </c>
      <c r="E1154" s="10">
        <v>616.16999999999996</v>
      </c>
      <c r="F1154" s="10">
        <v>620.15</v>
      </c>
      <c r="G1154" s="10">
        <v>613.30999999999995</v>
      </c>
      <c r="H1154" s="10">
        <v>614.05999999999995</v>
      </c>
      <c r="I1154" s="11">
        <v>2210774</v>
      </c>
      <c r="J1154" s="10">
        <v>491248000000</v>
      </c>
    </row>
    <row r="1155" spans="1:10" x14ac:dyDescent="0.25">
      <c r="A1155" s="14">
        <v>45981</v>
      </c>
      <c r="B1155" s="15" t="s">
        <v>73</v>
      </c>
      <c r="C1155" s="15" t="s">
        <v>74</v>
      </c>
      <c r="D1155" s="15" t="s">
        <v>75</v>
      </c>
      <c r="E1155" s="16">
        <v>104.21</v>
      </c>
      <c r="F1155" s="16">
        <v>105.32</v>
      </c>
      <c r="G1155" s="16">
        <v>103.42</v>
      </c>
      <c r="H1155" s="16">
        <v>105.07</v>
      </c>
      <c r="I1155" s="17">
        <v>3450193</v>
      </c>
      <c r="J1155" s="16">
        <v>23115400000</v>
      </c>
    </row>
    <row r="1156" spans="1:10" x14ac:dyDescent="0.25">
      <c r="A1156" s="8">
        <v>45981</v>
      </c>
      <c r="B1156" s="9" t="s">
        <v>76</v>
      </c>
      <c r="C1156" s="9" t="s">
        <v>77</v>
      </c>
      <c r="D1156" s="9" t="s">
        <v>75</v>
      </c>
      <c r="E1156" s="10">
        <v>93.46</v>
      </c>
      <c r="F1156" s="10">
        <v>93.64</v>
      </c>
      <c r="G1156" s="10">
        <v>93.24</v>
      </c>
      <c r="H1156" s="10">
        <v>93.41</v>
      </c>
      <c r="I1156" s="11">
        <v>2113324</v>
      </c>
      <c r="J1156" s="10">
        <v>18682000000</v>
      </c>
    </row>
    <row r="1157" spans="1:10" x14ac:dyDescent="0.25">
      <c r="A1157" s="14">
        <v>45982</v>
      </c>
      <c r="B1157" s="15" t="s">
        <v>60</v>
      </c>
      <c r="C1157" s="15" t="s">
        <v>61</v>
      </c>
      <c r="D1157" s="15" t="s">
        <v>62</v>
      </c>
      <c r="E1157" s="16">
        <v>4612.4399999999996</v>
      </c>
      <c r="F1157" s="16">
        <v>4648.99</v>
      </c>
      <c r="G1157" s="16">
        <v>4594.6400000000003</v>
      </c>
      <c r="H1157" s="16">
        <v>4615.6899999999996</v>
      </c>
      <c r="I1157" s="17">
        <v>1444244</v>
      </c>
      <c r="J1157" s="16">
        <v>6461966000000</v>
      </c>
    </row>
    <row r="1158" spans="1:10" x14ac:dyDescent="0.25">
      <c r="A1158" s="8">
        <v>45982</v>
      </c>
      <c r="B1158" s="9" t="s">
        <v>65</v>
      </c>
      <c r="C1158" s="9" t="s">
        <v>66</v>
      </c>
      <c r="D1158" s="9" t="s">
        <v>67</v>
      </c>
      <c r="E1158" s="10">
        <v>129.1</v>
      </c>
      <c r="F1158" s="10">
        <v>129.28</v>
      </c>
      <c r="G1158" s="10">
        <v>128.58000000000001</v>
      </c>
      <c r="H1158" s="10">
        <v>128.82</v>
      </c>
      <c r="I1158" s="11">
        <v>569228</v>
      </c>
      <c r="J1158" s="10">
        <v>32205000000</v>
      </c>
    </row>
    <row r="1159" spans="1:10" x14ac:dyDescent="0.25">
      <c r="A1159" s="14">
        <v>45982</v>
      </c>
      <c r="B1159" s="15" t="s">
        <v>69</v>
      </c>
      <c r="C1159" s="15" t="s">
        <v>70</v>
      </c>
      <c r="D1159" s="15" t="s">
        <v>71</v>
      </c>
      <c r="E1159" s="16">
        <v>619.85</v>
      </c>
      <c r="F1159" s="16">
        <v>620.47</v>
      </c>
      <c r="G1159" s="16">
        <v>618.22</v>
      </c>
      <c r="H1159" s="16">
        <v>618.53</v>
      </c>
      <c r="I1159" s="17">
        <v>4205184</v>
      </c>
      <c r="J1159" s="16">
        <v>494824000000</v>
      </c>
    </row>
    <row r="1160" spans="1:10" x14ac:dyDescent="0.25">
      <c r="A1160" s="8">
        <v>45982</v>
      </c>
      <c r="B1160" s="9" t="s">
        <v>73</v>
      </c>
      <c r="C1160" s="9" t="s">
        <v>74</v>
      </c>
      <c r="D1160" s="9" t="s">
        <v>75</v>
      </c>
      <c r="E1160" s="10">
        <v>104.16</v>
      </c>
      <c r="F1160" s="10">
        <v>104.29</v>
      </c>
      <c r="G1160" s="10">
        <v>103.2</v>
      </c>
      <c r="H1160" s="10">
        <v>103.86</v>
      </c>
      <c r="I1160" s="11">
        <v>1725522</v>
      </c>
      <c r="J1160" s="10">
        <v>22849200000</v>
      </c>
    </row>
    <row r="1161" spans="1:10" x14ac:dyDescent="0.25">
      <c r="A1161" s="14">
        <v>45982</v>
      </c>
      <c r="B1161" s="15" t="s">
        <v>76</v>
      </c>
      <c r="C1161" s="15" t="s">
        <v>77</v>
      </c>
      <c r="D1161" s="15" t="s">
        <v>75</v>
      </c>
      <c r="E1161" s="16">
        <v>95.86</v>
      </c>
      <c r="F1161" s="16">
        <v>96.72</v>
      </c>
      <c r="G1161" s="16">
        <v>95.4</v>
      </c>
      <c r="H1161" s="16">
        <v>95.7</v>
      </c>
      <c r="I1161" s="17">
        <v>3753557</v>
      </c>
      <c r="J1161" s="16">
        <v>19140000000</v>
      </c>
    </row>
    <row r="1162" spans="1:10" x14ac:dyDescent="0.25">
      <c r="A1162" s="8">
        <v>45985</v>
      </c>
      <c r="B1162" s="9" t="s">
        <v>60</v>
      </c>
      <c r="C1162" s="9" t="s">
        <v>61</v>
      </c>
      <c r="D1162" s="9" t="s">
        <v>62</v>
      </c>
      <c r="E1162" s="10">
        <v>4666.58</v>
      </c>
      <c r="F1162" s="10">
        <v>4700.4399999999996</v>
      </c>
      <c r="G1162" s="10">
        <v>4616.6400000000003</v>
      </c>
      <c r="H1162" s="10">
        <v>4686.78</v>
      </c>
      <c r="I1162" s="11">
        <v>2641855</v>
      </c>
      <c r="J1162" s="10">
        <v>6561492000000</v>
      </c>
    </row>
    <row r="1163" spans="1:10" x14ac:dyDescent="0.25">
      <c r="A1163" s="14">
        <v>45985</v>
      </c>
      <c r="B1163" s="15" t="s">
        <v>65</v>
      </c>
      <c r="C1163" s="15" t="s">
        <v>66</v>
      </c>
      <c r="D1163" s="15" t="s">
        <v>67</v>
      </c>
      <c r="E1163" s="16">
        <v>128.78</v>
      </c>
      <c r="F1163" s="16">
        <v>129.86000000000001</v>
      </c>
      <c r="G1163" s="16">
        <v>128.68</v>
      </c>
      <c r="H1163" s="16">
        <v>129.71</v>
      </c>
      <c r="I1163" s="17">
        <v>2378960</v>
      </c>
      <c r="J1163" s="16">
        <v>32427500000</v>
      </c>
    </row>
    <row r="1164" spans="1:10" x14ac:dyDescent="0.25">
      <c r="A1164" s="8">
        <v>45985</v>
      </c>
      <c r="B1164" s="9" t="s">
        <v>69</v>
      </c>
      <c r="C1164" s="9" t="s">
        <v>70</v>
      </c>
      <c r="D1164" s="9" t="s">
        <v>71</v>
      </c>
      <c r="E1164" s="10">
        <v>612.95000000000005</v>
      </c>
      <c r="F1164" s="10">
        <v>618.66</v>
      </c>
      <c r="G1164" s="10">
        <v>607.84</v>
      </c>
      <c r="H1164" s="10">
        <v>609.45000000000005</v>
      </c>
      <c r="I1164" s="11">
        <v>342593</v>
      </c>
      <c r="J1164" s="10">
        <v>487560000000</v>
      </c>
    </row>
    <row r="1165" spans="1:10" x14ac:dyDescent="0.25">
      <c r="A1165" s="14">
        <v>45985</v>
      </c>
      <c r="B1165" s="15" t="s">
        <v>73</v>
      </c>
      <c r="C1165" s="15" t="s">
        <v>74</v>
      </c>
      <c r="D1165" s="15" t="s">
        <v>75</v>
      </c>
      <c r="E1165" s="16">
        <v>102.57</v>
      </c>
      <c r="F1165" s="16">
        <v>102.78</v>
      </c>
      <c r="G1165" s="16">
        <v>102.45</v>
      </c>
      <c r="H1165" s="16">
        <v>102.78</v>
      </c>
      <c r="I1165" s="17">
        <v>4529673</v>
      </c>
      <c r="J1165" s="16">
        <v>22611600000</v>
      </c>
    </row>
    <row r="1166" spans="1:10" x14ac:dyDescent="0.25">
      <c r="A1166" s="8">
        <v>45985</v>
      </c>
      <c r="B1166" s="9" t="s">
        <v>76</v>
      </c>
      <c r="C1166" s="9" t="s">
        <v>77</v>
      </c>
      <c r="D1166" s="9" t="s">
        <v>75</v>
      </c>
      <c r="E1166" s="10">
        <v>97.45</v>
      </c>
      <c r="F1166" s="10">
        <v>97.65</v>
      </c>
      <c r="G1166" s="10">
        <v>96.07</v>
      </c>
      <c r="H1166" s="10">
        <v>97.37</v>
      </c>
      <c r="I1166" s="11">
        <v>4095353</v>
      </c>
      <c r="J1166" s="10">
        <v>19474000000</v>
      </c>
    </row>
    <row r="1167" spans="1:10" x14ac:dyDescent="0.25">
      <c r="A1167" s="14">
        <v>45986</v>
      </c>
      <c r="B1167" s="15" t="s">
        <v>60</v>
      </c>
      <c r="C1167" s="15" t="s">
        <v>61</v>
      </c>
      <c r="D1167" s="15" t="s">
        <v>62</v>
      </c>
      <c r="E1167" s="16">
        <v>4704.05</v>
      </c>
      <c r="F1167" s="16">
        <v>4719.72</v>
      </c>
      <c r="G1167" s="16">
        <v>4703.59</v>
      </c>
      <c r="H1167" s="16">
        <v>4715.74</v>
      </c>
      <c r="I1167" s="17">
        <v>3710959</v>
      </c>
      <c r="J1167" s="16">
        <v>6602036000000</v>
      </c>
    </row>
    <row r="1168" spans="1:10" x14ac:dyDescent="0.25">
      <c r="A1168" s="8">
        <v>45986</v>
      </c>
      <c r="B1168" s="9" t="s">
        <v>65</v>
      </c>
      <c r="C1168" s="9" t="s">
        <v>66</v>
      </c>
      <c r="D1168" s="9" t="s">
        <v>67</v>
      </c>
      <c r="E1168" s="10">
        <v>130.72</v>
      </c>
      <c r="F1168" s="10">
        <v>130.88999999999999</v>
      </c>
      <c r="G1168" s="10">
        <v>130.29</v>
      </c>
      <c r="H1168" s="10">
        <v>130.34</v>
      </c>
      <c r="I1168" s="11">
        <v>4324711</v>
      </c>
      <c r="J1168" s="10">
        <v>32585000000</v>
      </c>
    </row>
    <row r="1169" spans="1:10" x14ac:dyDescent="0.25">
      <c r="A1169" s="14">
        <v>45986</v>
      </c>
      <c r="B1169" s="15" t="s">
        <v>69</v>
      </c>
      <c r="C1169" s="15" t="s">
        <v>70</v>
      </c>
      <c r="D1169" s="15" t="s">
        <v>71</v>
      </c>
      <c r="E1169" s="16">
        <v>622.23</v>
      </c>
      <c r="F1169" s="16">
        <v>623.66999999999996</v>
      </c>
      <c r="G1169" s="16">
        <v>619.65</v>
      </c>
      <c r="H1169" s="16">
        <v>621.5</v>
      </c>
      <c r="I1169" s="17">
        <v>504795</v>
      </c>
      <c r="J1169" s="16">
        <v>497200000000</v>
      </c>
    </row>
    <row r="1170" spans="1:10" x14ac:dyDescent="0.25">
      <c r="A1170" s="8">
        <v>45986</v>
      </c>
      <c r="B1170" s="9" t="s">
        <v>73</v>
      </c>
      <c r="C1170" s="9" t="s">
        <v>74</v>
      </c>
      <c r="D1170" s="9" t="s">
        <v>75</v>
      </c>
      <c r="E1170" s="10">
        <v>104.5</v>
      </c>
      <c r="F1170" s="10">
        <v>104.64</v>
      </c>
      <c r="G1170" s="10">
        <v>103.66</v>
      </c>
      <c r="H1170" s="10">
        <v>103.84</v>
      </c>
      <c r="I1170" s="11">
        <v>3407312</v>
      </c>
      <c r="J1170" s="10">
        <v>22844800000</v>
      </c>
    </row>
    <row r="1171" spans="1:10" x14ac:dyDescent="0.25">
      <c r="A1171" s="14">
        <v>45986</v>
      </c>
      <c r="B1171" s="15" t="s">
        <v>76</v>
      </c>
      <c r="C1171" s="15" t="s">
        <v>77</v>
      </c>
      <c r="D1171" s="15" t="s">
        <v>75</v>
      </c>
      <c r="E1171" s="16">
        <v>99.13</v>
      </c>
      <c r="F1171" s="16">
        <v>99.99</v>
      </c>
      <c r="G1171" s="16">
        <v>98.25</v>
      </c>
      <c r="H1171" s="16">
        <v>98.25</v>
      </c>
      <c r="I1171" s="17">
        <v>893062</v>
      </c>
      <c r="J1171" s="16">
        <v>19650000000</v>
      </c>
    </row>
    <row r="1172" spans="1:10" x14ac:dyDescent="0.25">
      <c r="A1172" s="8">
        <v>45987</v>
      </c>
      <c r="B1172" s="9" t="s">
        <v>60</v>
      </c>
      <c r="C1172" s="9" t="s">
        <v>61</v>
      </c>
      <c r="D1172" s="9" t="s">
        <v>62</v>
      </c>
      <c r="E1172" s="10">
        <v>4635.45</v>
      </c>
      <c r="F1172" s="10">
        <v>4673.05</v>
      </c>
      <c r="G1172" s="10">
        <v>4604.93</v>
      </c>
      <c r="H1172" s="10">
        <v>4656.22</v>
      </c>
      <c r="I1172" s="11">
        <v>4850275</v>
      </c>
      <c r="J1172" s="10">
        <v>6518708000000</v>
      </c>
    </row>
    <row r="1173" spans="1:10" x14ac:dyDescent="0.25">
      <c r="A1173" s="14">
        <v>45987</v>
      </c>
      <c r="B1173" s="15" t="s">
        <v>65</v>
      </c>
      <c r="C1173" s="15" t="s">
        <v>66</v>
      </c>
      <c r="D1173" s="15" t="s">
        <v>67</v>
      </c>
      <c r="E1173" s="16">
        <v>130.05000000000001</v>
      </c>
      <c r="F1173" s="16">
        <v>130.68</v>
      </c>
      <c r="G1173" s="16">
        <v>129.72999999999999</v>
      </c>
      <c r="H1173" s="16">
        <v>130.38</v>
      </c>
      <c r="I1173" s="17">
        <v>3116011</v>
      </c>
      <c r="J1173" s="16">
        <v>32595000000</v>
      </c>
    </row>
    <row r="1174" spans="1:10" x14ac:dyDescent="0.25">
      <c r="A1174" s="8">
        <v>45987</v>
      </c>
      <c r="B1174" s="9" t="s">
        <v>69</v>
      </c>
      <c r="C1174" s="9" t="s">
        <v>70</v>
      </c>
      <c r="D1174" s="9" t="s">
        <v>71</v>
      </c>
      <c r="E1174" s="10">
        <v>621.34</v>
      </c>
      <c r="F1174" s="10">
        <v>623</v>
      </c>
      <c r="G1174" s="10">
        <v>614.33000000000004</v>
      </c>
      <c r="H1174" s="10">
        <v>622.03</v>
      </c>
      <c r="I1174" s="11">
        <v>1230854</v>
      </c>
      <c r="J1174" s="10">
        <v>497624000000</v>
      </c>
    </row>
    <row r="1175" spans="1:10" x14ac:dyDescent="0.25">
      <c r="A1175" s="14">
        <v>45987</v>
      </c>
      <c r="B1175" s="15" t="s">
        <v>73</v>
      </c>
      <c r="C1175" s="15" t="s">
        <v>74</v>
      </c>
      <c r="D1175" s="15" t="s">
        <v>75</v>
      </c>
      <c r="E1175" s="16">
        <v>103.07</v>
      </c>
      <c r="F1175" s="16">
        <v>103.75</v>
      </c>
      <c r="G1175" s="16">
        <v>102.45</v>
      </c>
      <c r="H1175" s="16">
        <v>102.5</v>
      </c>
      <c r="I1175" s="17">
        <v>3373862</v>
      </c>
      <c r="J1175" s="16">
        <v>22550000000</v>
      </c>
    </row>
    <row r="1176" spans="1:10" x14ac:dyDescent="0.25">
      <c r="A1176" s="8">
        <v>45987</v>
      </c>
      <c r="B1176" s="9" t="s">
        <v>76</v>
      </c>
      <c r="C1176" s="9" t="s">
        <v>77</v>
      </c>
      <c r="D1176" s="9" t="s">
        <v>75</v>
      </c>
      <c r="E1176" s="10">
        <v>99.12</v>
      </c>
      <c r="F1176" s="10">
        <v>100.02</v>
      </c>
      <c r="G1176" s="10">
        <v>97.98</v>
      </c>
      <c r="H1176" s="10">
        <v>98.4</v>
      </c>
      <c r="I1176" s="11">
        <v>3109593</v>
      </c>
      <c r="J1176" s="10">
        <v>19680000000</v>
      </c>
    </row>
    <row r="1177" spans="1:10" x14ac:dyDescent="0.25">
      <c r="A1177" s="14">
        <v>45988</v>
      </c>
      <c r="B1177" s="15" t="s">
        <v>60</v>
      </c>
      <c r="C1177" s="15" t="s">
        <v>61</v>
      </c>
      <c r="D1177" s="15" t="s">
        <v>62</v>
      </c>
      <c r="E1177" s="16">
        <v>4702.0200000000004</v>
      </c>
      <c r="F1177" s="16">
        <v>4703.34</v>
      </c>
      <c r="G1177" s="16">
        <v>4683.6000000000004</v>
      </c>
      <c r="H1177" s="16">
        <v>4693.05</v>
      </c>
      <c r="I1177" s="17">
        <v>2059879</v>
      </c>
      <c r="J1177" s="16">
        <v>6570270000000</v>
      </c>
    </row>
    <row r="1178" spans="1:10" x14ac:dyDescent="0.25">
      <c r="A1178" s="8">
        <v>45988</v>
      </c>
      <c r="B1178" s="9" t="s">
        <v>65</v>
      </c>
      <c r="C1178" s="9" t="s">
        <v>66</v>
      </c>
      <c r="D1178" s="9" t="s">
        <v>67</v>
      </c>
      <c r="E1178" s="10">
        <v>130.47</v>
      </c>
      <c r="F1178" s="10">
        <v>132.24</v>
      </c>
      <c r="G1178" s="10">
        <v>129.51</v>
      </c>
      <c r="H1178" s="10">
        <v>130.88</v>
      </c>
      <c r="I1178" s="11">
        <v>3847786</v>
      </c>
      <c r="J1178" s="10">
        <v>32720000000</v>
      </c>
    </row>
    <row r="1179" spans="1:10" x14ac:dyDescent="0.25">
      <c r="A1179" s="14">
        <v>45988</v>
      </c>
      <c r="B1179" s="15" t="s">
        <v>69</v>
      </c>
      <c r="C1179" s="15" t="s">
        <v>70</v>
      </c>
      <c r="D1179" s="15" t="s">
        <v>71</v>
      </c>
      <c r="E1179" s="16">
        <v>640.16999999999996</v>
      </c>
      <c r="F1179" s="16">
        <v>640.48</v>
      </c>
      <c r="G1179" s="16">
        <v>638.34</v>
      </c>
      <c r="H1179" s="16">
        <v>639.08000000000004</v>
      </c>
      <c r="I1179" s="17">
        <v>4378766</v>
      </c>
      <c r="J1179" s="16">
        <v>511264000000</v>
      </c>
    </row>
    <row r="1180" spans="1:10" x14ac:dyDescent="0.25">
      <c r="A1180" s="8">
        <v>45988</v>
      </c>
      <c r="B1180" s="9" t="s">
        <v>73</v>
      </c>
      <c r="C1180" s="9" t="s">
        <v>74</v>
      </c>
      <c r="D1180" s="9" t="s">
        <v>75</v>
      </c>
      <c r="E1180" s="10">
        <v>99.63</v>
      </c>
      <c r="F1180" s="10">
        <v>99.64</v>
      </c>
      <c r="G1180" s="10">
        <v>98.67</v>
      </c>
      <c r="H1180" s="10">
        <v>99.47</v>
      </c>
      <c r="I1180" s="11">
        <v>2751691</v>
      </c>
      <c r="J1180" s="10">
        <v>21883400000</v>
      </c>
    </row>
    <row r="1181" spans="1:10" x14ac:dyDescent="0.25">
      <c r="A1181" s="14">
        <v>45988</v>
      </c>
      <c r="B1181" s="15" t="s">
        <v>76</v>
      </c>
      <c r="C1181" s="15" t="s">
        <v>77</v>
      </c>
      <c r="D1181" s="15" t="s">
        <v>75</v>
      </c>
      <c r="E1181" s="16">
        <v>98.76</v>
      </c>
      <c r="F1181" s="16">
        <v>99.48</v>
      </c>
      <c r="G1181" s="16">
        <v>98.54</v>
      </c>
      <c r="H1181" s="16">
        <v>99.17</v>
      </c>
      <c r="I1181" s="17">
        <v>850524</v>
      </c>
      <c r="J1181" s="16">
        <v>19834000000</v>
      </c>
    </row>
    <row r="1182" spans="1:10" x14ac:dyDescent="0.25">
      <c r="A1182" s="8">
        <v>45989</v>
      </c>
      <c r="B1182" s="9" t="s">
        <v>60</v>
      </c>
      <c r="C1182" s="9" t="s">
        <v>61</v>
      </c>
      <c r="D1182" s="9" t="s">
        <v>62</v>
      </c>
      <c r="E1182" s="10">
        <v>4749.18</v>
      </c>
      <c r="F1182" s="10">
        <v>4822.2</v>
      </c>
      <c r="G1182" s="10">
        <v>4716.91</v>
      </c>
      <c r="H1182" s="10">
        <v>4735.74</v>
      </c>
      <c r="I1182" s="11">
        <v>945480</v>
      </c>
      <c r="J1182" s="10">
        <v>6630036000000</v>
      </c>
    </row>
    <row r="1183" spans="1:10" x14ac:dyDescent="0.25">
      <c r="A1183" s="14">
        <v>45989</v>
      </c>
      <c r="B1183" s="15" t="s">
        <v>65</v>
      </c>
      <c r="C1183" s="15" t="s">
        <v>66</v>
      </c>
      <c r="D1183" s="15" t="s">
        <v>67</v>
      </c>
      <c r="E1183" s="16">
        <v>131.93</v>
      </c>
      <c r="F1183" s="16">
        <v>132.59</v>
      </c>
      <c r="G1183" s="16">
        <v>131.38999999999999</v>
      </c>
      <c r="H1183" s="16">
        <v>132.22999999999999</v>
      </c>
      <c r="I1183" s="17">
        <v>4463507</v>
      </c>
      <c r="J1183" s="16">
        <v>33057500000</v>
      </c>
    </row>
    <row r="1184" spans="1:10" x14ac:dyDescent="0.25">
      <c r="A1184" s="8">
        <v>45989</v>
      </c>
      <c r="B1184" s="9" t="s">
        <v>69</v>
      </c>
      <c r="C1184" s="9" t="s">
        <v>70</v>
      </c>
      <c r="D1184" s="9" t="s">
        <v>71</v>
      </c>
      <c r="E1184" s="10">
        <v>643</v>
      </c>
      <c r="F1184" s="10">
        <v>645.82000000000005</v>
      </c>
      <c r="G1184" s="10">
        <v>641.95000000000005</v>
      </c>
      <c r="H1184" s="10">
        <v>643.55999999999995</v>
      </c>
      <c r="I1184" s="11">
        <v>4841885</v>
      </c>
      <c r="J1184" s="10">
        <v>514848000000</v>
      </c>
    </row>
    <row r="1185" spans="1:10" x14ac:dyDescent="0.25">
      <c r="A1185" s="14">
        <v>45989</v>
      </c>
      <c r="B1185" s="15" t="s">
        <v>73</v>
      </c>
      <c r="C1185" s="15" t="s">
        <v>74</v>
      </c>
      <c r="D1185" s="15" t="s">
        <v>75</v>
      </c>
      <c r="E1185" s="16">
        <v>99.4</v>
      </c>
      <c r="F1185" s="16">
        <v>100.22</v>
      </c>
      <c r="G1185" s="16">
        <v>99.03</v>
      </c>
      <c r="H1185" s="16">
        <v>99.53</v>
      </c>
      <c r="I1185" s="17">
        <v>480206</v>
      </c>
      <c r="J1185" s="16">
        <v>21896600000</v>
      </c>
    </row>
    <row r="1186" spans="1:10" x14ac:dyDescent="0.25">
      <c r="A1186" s="8">
        <v>45989</v>
      </c>
      <c r="B1186" s="9" t="s">
        <v>76</v>
      </c>
      <c r="C1186" s="9" t="s">
        <v>77</v>
      </c>
      <c r="D1186" s="9" t="s">
        <v>75</v>
      </c>
      <c r="E1186" s="10">
        <v>99.05</v>
      </c>
      <c r="F1186" s="10">
        <v>99.33</v>
      </c>
      <c r="G1186" s="10">
        <v>98.65</v>
      </c>
      <c r="H1186" s="10">
        <v>99.29</v>
      </c>
      <c r="I1186" s="11">
        <v>3117543</v>
      </c>
      <c r="J1186" s="10">
        <v>19858000000</v>
      </c>
    </row>
    <row r="1187" spans="1:10" x14ac:dyDescent="0.25">
      <c r="A1187" s="14">
        <v>45992</v>
      </c>
      <c r="B1187" s="15" t="s">
        <v>60</v>
      </c>
      <c r="C1187" s="15" t="s">
        <v>61</v>
      </c>
      <c r="D1187" s="15" t="s">
        <v>62</v>
      </c>
      <c r="E1187" s="16">
        <v>4699.43</v>
      </c>
      <c r="F1187" s="16">
        <v>4728.71</v>
      </c>
      <c r="G1187" s="16">
        <v>4681.28</v>
      </c>
      <c r="H1187" s="16">
        <v>4711.92</v>
      </c>
      <c r="I1187" s="17">
        <v>3037256</v>
      </c>
      <c r="J1187" s="16">
        <v>6596688000000</v>
      </c>
    </row>
    <row r="1188" spans="1:10" x14ac:dyDescent="0.25">
      <c r="A1188" s="8">
        <v>45992</v>
      </c>
      <c r="B1188" s="9" t="s">
        <v>65</v>
      </c>
      <c r="C1188" s="9" t="s">
        <v>66</v>
      </c>
      <c r="D1188" s="9" t="s">
        <v>67</v>
      </c>
      <c r="E1188" s="10">
        <v>129.33000000000001</v>
      </c>
      <c r="F1188" s="10">
        <v>129.46</v>
      </c>
      <c r="G1188" s="10">
        <v>128.05000000000001</v>
      </c>
      <c r="H1188" s="10">
        <v>128.69999999999999</v>
      </c>
      <c r="I1188" s="11">
        <v>1406912</v>
      </c>
      <c r="J1188" s="10">
        <v>32175000000</v>
      </c>
    </row>
    <row r="1189" spans="1:10" x14ac:dyDescent="0.25">
      <c r="A1189" s="14">
        <v>45992</v>
      </c>
      <c r="B1189" s="15" t="s">
        <v>69</v>
      </c>
      <c r="C1189" s="15" t="s">
        <v>70</v>
      </c>
      <c r="D1189" s="15" t="s">
        <v>71</v>
      </c>
      <c r="E1189" s="16">
        <v>641.4</v>
      </c>
      <c r="F1189" s="16">
        <v>644.91999999999996</v>
      </c>
      <c r="G1189" s="16">
        <v>638.78</v>
      </c>
      <c r="H1189" s="16">
        <v>643.63</v>
      </c>
      <c r="I1189" s="17">
        <v>2202384</v>
      </c>
      <c r="J1189" s="16">
        <v>514904000000</v>
      </c>
    </row>
    <row r="1190" spans="1:10" x14ac:dyDescent="0.25">
      <c r="A1190" s="8">
        <v>45992</v>
      </c>
      <c r="B1190" s="9" t="s">
        <v>73</v>
      </c>
      <c r="C1190" s="9" t="s">
        <v>74</v>
      </c>
      <c r="D1190" s="9" t="s">
        <v>75</v>
      </c>
      <c r="E1190" s="10">
        <v>95.6</v>
      </c>
      <c r="F1190" s="10">
        <v>95.8</v>
      </c>
      <c r="G1190" s="10">
        <v>95.57</v>
      </c>
      <c r="H1190" s="10">
        <v>95.65</v>
      </c>
      <c r="I1190" s="11">
        <v>4124588</v>
      </c>
      <c r="J1190" s="10">
        <v>21043000000</v>
      </c>
    </row>
    <row r="1191" spans="1:10" x14ac:dyDescent="0.25">
      <c r="A1191" s="14">
        <v>45992</v>
      </c>
      <c r="B1191" s="15" t="s">
        <v>76</v>
      </c>
      <c r="C1191" s="15" t="s">
        <v>77</v>
      </c>
      <c r="D1191" s="15" t="s">
        <v>75</v>
      </c>
      <c r="E1191" s="16">
        <v>98.85</v>
      </c>
      <c r="F1191" s="16">
        <v>99.91</v>
      </c>
      <c r="G1191" s="16">
        <v>98.55</v>
      </c>
      <c r="H1191" s="16">
        <v>98.77</v>
      </c>
      <c r="I1191" s="17">
        <v>4790561</v>
      </c>
      <c r="J1191" s="16">
        <v>19754000000</v>
      </c>
    </row>
    <row r="1192" spans="1:10" x14ac:dyDescent="0.25">
      <c r="A1192" s="8">
        <v>45993</v>
      </c>
      <c r="B1192" s="9" t="s">
        <v>60</v>
      </c>
      <c r="C1192" s="9" t="s">
        <v>61</v>
      </c>
      <c r="D1192" s="9" t="s">
        <v>62</v>
      </c>
      <c r="E1192" s="10">
        <v>4671.09</v>
      </c>
      <c r="F1192" s="10">
        <v>4769.18</v>
      </c>
      <c r="G1192" s="10">
        <v>4640.53</v>
      </c>
      <c r="H1192" s="10">
        <v>4726.26</v>
      </c>
      <c r="I1192" s="11">
        <v>1587523</v>
      </c>
      <c r="J1192" s="10">
        <v>6616764000000</v>
      </c>
    </row>
    <row r="1193" spans="1:10" x14ac:dyDescent="0.25">
      <c r="A1193" s="14">
        <v>45993</v>
      </c>
      <c r="B1193" s="15" t="s">
        <v>65</v>
      </c>
      <c r="C1193" s="15" t="s">
        <v>66</v>
      </c>
      <c r="D1193" s="15" t="s">
        <v>67</v>
      </c>
      <c r="E1193" s="16">
        <v>126.21</v>
      </c>
      <c r="F1193" s="16">
        <v>126.48</v>
      </c>
      <c r="G1193" s="16">
        <v>125.78</v>
      </c>
      <c r="H1193" s="16">
        <v>126.48</v>
      </c>
      <c r="I1193" s="17">
        <v>1360936</v>
      </c>
      <c r="J1193" s="16">
        <v>31620000000</v>
      </c>
    </row>
    <row r="1194" spans="1:10" x14ac:dyDescent="0.25">
      <c r="A1194" s="8">
        <v>45993</v>
      </c>
      <c r="B1194" s="9" t="s">
        <v>69</v>
      </c>
      <c r="C1194" s="9" t="s">
        <v>70</v>
      </c>
      <c r="D1194" s="9" t="s">
        <v>71</v>
      </c>
      <c r="E1194" s="10">
        <v>635.12</v>
      </c>
      <c r="F1194" s="10">
        <v>636.89</v>
      </c>
      <c r="G1194" s="10">
        <v>632.91</v>
      </c>
      <c r="H1194" s="10">
        <v>635.55999999999995</v>
      </c>
      <c r="I1194" s="11">
        <v>3184397</v>
      </c>
      <c r="J1194" s="10">
        <v>508448000000</v>
      </c>
    </row>
    <row r="1195" spans="1:10" x14ac:dyDescent="0.25">
      <c r="A1195" s="14">
        <v>45993</v>
      </c>
      <c r="B1195" s="15" t="s">
        <v>73</v>
      </c>
      <c r="C1195" s="15" t="s">
        <v>74</v>
      </c>
      <c r="D1195" s="15" t="s">
        <v>75</v>
      </c>
      <c r="E1195" s="16">
        <v>97.83</v>
      </c>
      <c r="F1195" s="16">
        <v>98.34</v>
      </c>
      <c r="G1195" s="16">
        <v>97.15</v>
      </c>
      <c r="H1195" s="16">
        <v>98.31</v>
      </c>
      <c r="I1195" s="17">
        <v>4776521</v>
      </c>
      <c r="J1195" s="16">
        <v>21628200000</v>
      </c>
    </row>
    <row r="1196" spans="1:10" x14ac:dyDescent="0.25">
      <c r="A1196" s="8">
        <v>45993</v>
      </c>
      <c r="B1196" s="9" t="s">
        <v>76</v>
      </c>
      <c r="C1196" s="9" t="s">
        <v>77</v>
      </c>
      <c r="D1196" s="9" t="s">
        <v>75</v>
      </c>
      <c r="E1196" s="10">
        <v>97.73</v>
      </c>
      <c r="F1196" s="10">
        <v>99.4</v>
      </c>
      <c r="G1196" s="10">
        <v>96.97</v>
      </c>
      <c r="H1196" s="10">
        <v>97.32</v>
      </c>
      <c r="I1196" s="11">
        <v>4142324</v>
      </c>
      <c r="J1196" s="10">
        <v>19464000000</v>
      </c>
    </row>
    <row r="1197" spans="1:10" x14ac:dyDescent="0.25">
      <c r="A1197" s="14">
        <v>45994</v>
      </c>
      <c r="B1197" s="15" t="s">
        <v>60</v>
      </c>
      <c r="C1197" s="15" t="s">
        <v>61</v>
      </c>
      <c r="D1197" s="15" t="s">
        <v>62</v>
      </c>
      <c r="E1197" s="16">
        <v>4774.2700000000004</v>
      </c>
      <c r="F1197" s="16">
        <v>4794.2700000000004</v>
      </c>
      <c r="G1197" s="16">
        <v>4764.5200000000004</v>
      </c>
      <c r="H1197" s="16">
        <v>4793.38</v>
      </c>
      <c r="I1197" s="17">
        <v>4881401</v>
      </c>
      <c r="J1197" s="16">
        <v>6710732000000</v>
      </c>
    </row>
    <row r="1198" spans="1:10" x14ac:dyDescent="0.25">
      <c r="A1198" s="8">
        <v>45994</v>
      </c>
      <c r="B1198" s="9" t="s">
        <v>65</v>
      </c>
      <c r="C1198" s="9" t="s">
        <v>66</v>
      </c>
      <c r="D1198" s="9" t="s">
        <v>67</v>
      </c>
      <c r="E1198" s="10">
        <v>128.19</v>
      </c>
      <c r="F1198" s="10">
        <v>128.33000000000001</v>
      </c>
      <c r="G1198" s="10">
        <v>127.87</v>
      </c>
      <c r="H1198" s="10">
        <v>128</v>
      </c>
      <c r="I1198" s="11">
        <v>1533825</v>
      </c>
      <c r="J1198" s="10">
        <v>32000000000</v>
      </c>
    </row>
    <row r="1199" spans="1:10" x14ac:dyDescent="0.25">
      <c r="A1199" s="14">
        <v>45994</v>
      </c>
      <c r="B1199" s="15" t="s">
        <v>69</v>
      </c>
      <c r="C1199" s="15" t="s">
        <v>70</v>
      </c>
      <c r="D1199" s="15" t="s">
        <v>71</v>
      </c>
      <c r="E1199" s="16">
        <v>625.29999999999995</v>
      </c>
      <c r="F1199" s="16">
        <v>627.78</v>
      </c>
      <c r="G1199" s="16">
        <v>617.61</v>
      </c>
      <c r="H1199" s="16">
        <v>626.99</v>
      </c>
      <c r="I1199" s="17">
        <v>3141090</v>
      </c>
      <c r="J1199" s="16">
        <v>501592000000</v>
      </c>
    </row>
    <row r="1200" spans="1:10" x14ac:dyDescent="0.25">
      <c r="A1200" s="8">
        <v>45994</v>
      </c>
      <c r="B1200" s="9" t="s">
        <v>73</v>
      </c>
      <c r="C1200" s="9" t="s">
        <v>74</v>
      </c>
      <c r="D1200" s="9" t="s">
        <v>75</v>
      </c>
      <c r="E1200" s="10">
        <v>97.44</v>
      </c>
      <c r="F1200" s="10">
        <v>98.61</v>
      </c>
      <c r="G1200" s="10">
        <v>97.09</v>
      </c>
      <c r="H1200" s="10">
        <v>97.93</v>
      </c>
      <c r="I1200" s="11">
        <v>2884380</v>
      </c>
      <c r="J1200" s="10">
        <v>21544600000</v>
      </c>
    </row>
    <row r="1201" spans="1:10" x14ac:dyDescent="0.25">
      <c r="A1201" s="14">
        <v>45994</v>
      </c>
      <c r="B1201" s="15" t="s">
        <v>76</v>
      </c>
      <c r="C1201" s="15" t="s">
        <v>77</v>
      </c>
      <c r="D1201" s="15" t="s">
        <v>75</v>
      </c>
      <c r="E1201" s="16">
        <v>96.87</v>
      </c>
      <c r="F1201" s="16">
        <v>97.93</v>
      </c>
      <c r="G1201" s="16">
        <v>96.7</v>
      </c>
      <c r="H1201" s="16">
        <v>96.97</v>
      </c>
      <c r="I1201" s="17">
        <v>3298034</v>
      </c>
      <c r="J1201" s="16">
        <v>19394000000</v>
      </c>
    </row>
    <row r="1202" spans="1:10" x14ac:dyDescent="0.25">
      <c r="A1202" s="8">
        <v>45995</v>
      </c>
      <c r="B1202" s="9" t="s">
        <v>60</v>
      </c>
      <c r="C1202" s="9" t="s">
        <v>61</v>
      </c>
      <c r="D1202" s="9" t="s">
        <v>62</v>
      </c>
      <c r="E1202" s="10">
        <v>4814.5600000000004</v>
      </c>
      <c r="F1202" s="10">
        <v>4821.67</v>
      </c>
      <c r="G1202" s="10">
        <v>4782.3900000000003</v>
      </c>
      <c r="H1202" s="10">
        <v>4791.12</v>
      </c>
      <c r="I1202" s="11">
        <v>2631422</v>
      </c>
      <c r="J1202" s="10">
        <v>6707568000000</v>
      </c>
    </row>
    <row r="1203" spans="1:10" x14ac:dyDescent="0.25">
      <c r="A1203" s="14">
        <v>45995</v>
      </c>
      <c r="B1203" s="15" t="s">
        <v>65</v>
      </c>
      <c r="C1203" s="15" t="s">
        <v>66</v>
      </c>
      <c r="D1203" s="15" t="s">
        <v>67</v>
      </c>
      <c r="E1203" s="16">
        <v>126.05</v>
      </c>
      <c r="F1203" s="16">
        <v>126.19</v>
      </c>
      <c r="G1203" s="16">
        <v>125.65</v>
      </c>
      <c r="H1203" s="16">
        <v>126.11</v>
      </c>
      <c r="I1203" s="17">
        <v>1032970</v>
      </c>
      <c r="J1203" s="16">
        <v>31527500000</v>
      </c>
    </row>
    <row r="1204" spans="1:10" x14ac:dyDescent="0.25">
      <c r="A1204" s="8">
        <v>45995</v>
      </c>
      <c r="B1204" s="9" t="s">
        <v>69</v>
      </c>
      <c r="C1204" s="9" t="s">
        <v>70</v>
      </c>
      <c r="D1204" s="9" t="s">
        <v>71</v>
      </c>
      <c r="E1204" s="10">
        <v>636.42999999999995</v>
      </c>
      <c r="F1204" s="10">
        <v>637.20000000000005</v>
      </c>
      <c r="G1204" s="10">
        <v>629.52</v>
      </c>
      <c r="H1204" s="10">
        <v>633.45000000000005</v>
      </c>
      <c r="I1204" s="11">
        <v>770161</v>
      </c>
      <c r="J1204" s="10">
        <v>506760000000</v>
      </c>
    </row>
    <row r="1205" spans="1:10" x14ac:dyDescent="0.25">
      <c r="A1205" s="14">
        <v>45995</v>
      </c>
      <c r="B1205" s="15" t="s">
        <v>73</v>
      </c>
      <c r="C1205" s="15" t="s">
        <v>74</v>
      </c>
      <c r="D1205" s="15" t="s">
        <v>75</v>
      </c>
      <c r="E1205" s="16">
        <v>98.07</v>
      </c>
      <c r="F1205" s="16">
        <v>98.69</v>
      </c>
      <c r="G1205" s="16">
        <v>97.67</v>
      </c>
      <c r="H1205" s="16">
        <v>97.82</v>
      </c>
      <c r="I1205" s="17">
        <v>3887308</v>
      </c>
      <c r="J1205" s="16">
        <v>21520400000</v>
      </c>
    </row>
    <row r="1206" spans="1:10" x14ac:dyDescent="0.25">
      <c r="A1206" s="8">
        <v>45995</v>
      </c>
      <c r="B1206" s="9" t="s">
        <v>76</v>
      </c>
      <c r="C1206" s="9" t="s">
        <v>77</v>
      </c>
      <c r="D1206" s="9" t="s">
        <v>75</v>
      </c>
      <c r="E1206" s="10">
        <v>96.03</v>
      </c>
      <c r="F1206" s="10">
        <v>96.57</v>
      </c>
      <c r="G1206" s="10">
        <v>95.88</v>
      </c>
      <c r="H1206" s="10">
        <v>96.55</v>
      </c>
      <c r="I1206" s="11">
        <v>1034830</v>
      </c>
      <c r="J1206" s="10">
        <v>19310000000</v>
      </c>
    </row>
    <row r="1207" spans="1:10" x14ac:dyDescent="0.25">
      <c r="A1207" s="14">
        <v>45996</v>
      </c>
      <c r="B1207" s="15" t="s">
        <v>60</v>
      </c>
      <c r="C1207" s="15" t="s">
        <v>61</v>
      </c>
      <c r="D1207" s="15" t="s">
        <v>62</v>
      </c>
      <c r="E1207" s="16">
        <v>4857.37</v>
      </c>
      <c r="F1207" s="16">
        <v>4874.75</v>
      </c>
      <c r="G1207" s="16">
        <v>4777.97</v>
      </c>
      <c r="H1207" s="16">
        <v>4849.74</v>
      </c>
      <c r="I1207" s="17">
        <v>3786387</v>
      </c>
      <c r="J1207" s="16">
        <v>6789636000000</v>
      </c>
    </row>
    <row r="1208" spans="1:10" x14ac:dyDescent="0.25">
      <c r="A1208" s="8">
        <v>45996</v>
      </c>
      <c r="B1208" s="9" t="s">
        <v>65</v>
      </c>
      <c r="C1208" s="9" t="s">
        <v>66</v>
      </c>
      <c r="D1208" s="9" t="s">
        <v>67</v>
      </c>
      <c r="E1208" s="10">
        <v>126.65</v>
      </c>
      <c r="F1208" s="10">
        <v>127.44</v>
      </c>
      <c r="G1208" s="10">
        <v>125.73</v>
      </c>
      <c r="H1208" s="10">
        <v>126.45</v>
      </c>
      <c r="I1208" s="11">
        <v>3774509</v>
      </c>
      <c r="J1208" s="10">
        <v>31612500000</v>
      </c>
    </row>
    <row r="1209" spans="1:10" x14ac:dyDescent="0.25">
      <c r="A1209" s="14">
        <v>45996</v>
      </c>
      <c r="B1209" s="15" t="s">
        <v>69</v>
      </c>
      <c r="C1209" s="15" t="s">
        <v>70</v>
      </c>
      <c r="D1209" s="15" t="s">
        <v>71</v>
      </c>
      <c r="E1209" s="16">
        <v>609.9</v>
      </c>
      <c r="F1209" s="16">
        <v>614.04999999999995</v>
      </c>
      <c r="G1209" s="16">
        <v>604.91</v>
      </c>
      <c r="H1209" s="16">
        <v>605.70000000000005</v>
      </c>
      <c r="I1209" s="17">
        <v>2043016</v>
      </c>
      <c r="J1209" s="16">
        <v>484560000000</v>
      </c>
    </row>
    <row r="1210" spans="1:10" x14ac:dyDescent="0.25">
      <c r="A1210" s="8">
        <v>45996</v>
      </c>
      <c r="B1210" s="9" t="s">
        <v>73</v>
      </c>
      <c r="C1210" s="9" t="s">
        <v>74</v>
      </c>
      <c r="D1210" s="9" t="s">
        <v>75</v>
      </c>
      <c r="E1210" s="10">
        <v>96.4</v>
      </c>
      <c r="F1210" s="10">
        <v>98.57</v>
      </c>
      <c r="G1210" s="10">
        <v>95.71</v>
      </c>
      <c r="H1210" s="10">
        <v>98.38</v>
      </c>
      <c r="I1210" s="11">
        <v>3452207</v>
      </c>
      <c r="J1210" s="10">
        <v>21643600000</v>
      </c>
    </row>
    <row r="1211" spans="1:10" x14ac:dyDescent="0.25">
      <c r="A1211" s="14">
        <v>45996</v>
      </c>
      <c r="B1211" s="15" t="s">
        <v>76</v>
      </c>
      <c r="C1211" s="15" t="s">
        <v>77</v>
      </c>
      <c r="D1211" s="15" t="s">
        <v>75</v>
      </c>
      <c r="E1211" s="16">
        <v>96.36</v>
      </c>
      <c r="F1211" s="16">
        <v>97.03</v>
      </c>
      <c r="G1211" s="16">
        <v>95.94</v>
      </c>
      <c r="H1211" s="16" t="s">
        <v>88</v>
      </c>
      <c r="I1211" s="17">
        <v>3777195</v>
      </c>
      <c r="J1211" s="16">
        <v>19388000000</v>
      </c>
    </row>
    <row r="1212" spans="1:10" x14ac:dyDescent="0.25">
      <c r="A1212" s="8">
        <v>45999</v>
      </c>
      <c r="B1212" s="9" t="s">
        <v>60</v>
      </c>
      <c r="C1212" s="9" t="s">
        <v>61</v>
      </c>
      <c r="D1212" s="9" t="s">
        <v>62</v>
      </c>
      <c r="E1212" s="10">
        <v>4743.18</v>
      </c>
      <c r="F1212" s="10">
        <v>4763.7</v>
      </c>
      <c r="G1212" s="10">
        <v>4742.5</v>
      </c>
      <c r="H1212" s="10">
        <v>4746.4399999999996</v>
      </c>
      <c r="I1212" s="11">
        <v>3502514</v>
      </c>
      <c r="J1212" s="10">
        <v>6645016000000</v>
      </c>
    </row>
    <row r="1213" spans="1:10" x14ac:dyDescent="0.25">
      <c r="A1213" s="14">
        <v>45999</v>
      </c>
      <c r="B1213" s="15" t="s">
        <v>65</v>
      </c>
      <c r="C1213" s="15" t="s">
        <v>66</v>
      </c>
      <c r="D1213" s="15" t="s">
        <v>67</v>
      </c>
      <c r="E1213" s="16">
        <v>125.45</v>
      </c>
      <c r="F1213" s="16">
        <v>125.74</v>
      </c>
      <c r="G1213" s="16">
        <v>124.32</v>
      </c>
      <c r="H1213" s="16">
        <v>125.49</v>
      </c>
      <c r="I1213" s="17">
        <v>2833300</v>
      </c>
      <c r="J1213" s="16">
        <v>31372500000</v>
      </c>
    </row>
    <row r="1214" spans="1:10" x14ac:dyDescent="0.25">
      <c r="A1214" s="8">
        <v>45999</v>
      </c>
      <c r="B1214" s="9" t="s">
        <v>69</v>
      </c>
      <c r="C1214" s="9" t="s">
        <v>70</v>
      </c>
      <c r="D1214" s="9" t="s">
        <v>71</v>
      </c>
      <c r="E1214" s="10">
        <v>609.74</v>
      </c>
      <c r="F1214" s="10">
        <v>613.32000000000005</v>
      </c>
      <c r="G1214" s="10">
        <v>604.66999999999996</v>
      </c>
      <c r="H1214" s="10">
        <v>604.9</v>
      </c>
      <c r="I1214" s="11">
        <v>320524</v>
      </c>
      <c r="J1214" s="10">
        <v>483920000000</v>
      </c>
    </row>
    <row r="1215" spans="1:10" x14ac:dyDescent="0.25">
      <c r="A1215" s="14">
        <v>45999</v>
      </c>
      <c r="B1215" s="15" t="s">
        <v>73</v>
      </c>
      <c r="C1215" s="15" t="s">
        <v>74</v>
      </c>
      <c r="D1215" s="15" t="s">
        <v>75</v>
      </c>
      <c r="E1215" s="16">
        <v>97.8</v>
      </c>
      <c r="F1215" s="16">
        <v>98.17</v>
      </c>
      <c r="G1215" s="16">
        <v>97.26</v>
      </c>
      <c r="H1215" s="16">
        <v>97.84</v>
      </c>
      <c r="I1215" s="17">
        <v>4263962</v>
      </c>
      <c r="J1215" s="16">
        <v>21524800000</v>
      </c>
    </row>
    <row r="1216" spans="1:10" x14ac:dyDescent="0.25">
      <c r="A1216" s="8">
        <v>45999</v>
      </c>
      <c r="B1216" s="9" t="s">
        <v>76</v>
      </c>
      <c r="C1216" s="9" t="s">
        <v>77</v>
      </c>
      <c r="D1216" s="9" t="s">
        <v>75</v>
      </c>
      <c r="E1216" s="10">
        <v>98.49</v>
      </c>
      <c r="F1216" s="10">
        <v>99.31</v>
      </c>
      <c r="G1216" s="10">
        <v>98.37</v>
      </c>
      <c r="H1216" s="10">
        <v>99.22</v>
      </c>
      <c r="I1216" s="11">
        <v>2353114</v>
      </c>
      <c r="J1216" s="10">
        <v>19844000000</v>
      </c>
    </row>
    <row r="1217" spans="1:10" x14ac:dyDescent="0.25">
      <c r="A1217" s="14">
        <v>46000</v>
      </c>
      <c r="B1217" s="15" t="s">
        <v>60</v>
      </c>
      <c r="C1217" s="15" t="s">
        <v>61</v>
      </c>
      <c r="D1217" s="15" t="s">
        <v>62</v>
      </c>
      <c r="E1217" s="16">
        <v>4790.91</v>
      </c>
      <c r="F1217" s="16">
        <v>4855.07</v>
      </c>
      <c r="G1217" s="16">
        <v>4779.32</v>
      </c>
      <c r="H1217" s="16">
        <v>4816.67</v>
      </c>
      <c r="I1217" s="17">
        <v>859728</v>
      </c>
      <c r="J1217" s="16">
        <v>6743338000000</v>
      </c>
    </row>
    <row r="1218" spans="1:10" x14ac:dyDescent="0.25">
      <c r="A1218" s="8">
        <v>46000</v>
      </c>
      <c r="B1218" s="9" t="s">
        <v>65</v>
      </c>
      <c r="C1218" s="9" t="s">
        <v>66</v>
      </c>
      <c r="D1218" s="9" t="s">
        <v>67</v>
      </c>
      <c r="E1218" s="10">
        <v>124.06</v>
      </c>
      <c r="F1218" s="10">
        <v>124.61</v>
      </c>
      <c r="G1218" s="10">
        <v>123.01</v>
      </c>
      <c r="H1218" s="10">
        <v>123.42</v>
      </c>
      <c r="I1218" s="11">
        <v>4293318</v>
      </c>
      <c r="J1218" s="10">
        <v>30855000000</v>
      </c>
    </row>
    <row r="1219" spans="1:10" x14ac:dyDescent="0.25">
      <c r="A1219" s="14">
        <v>46000</v>
      </c>
      <c r="B1219" s="15" t="s">
        <v>69</v>
      </c>
      <c r="C1219" s="15" t="s">
        <v>70</v>
      </c>
      <c r="D1219" s="15" t="s">
        <v>71</v>
      </c>
      <c r="E1219" s="16">
        <v>606.21</v>
      </c>
      <c r="F1219" s="16">
        <v>615.04999999999995</v>
      </c>
      <c r="G1219" s="16">
        <v>604.77</v>
      </c>
      <c r="H1219" s="16">
        <v>608.61</v>
      </c>
      <c r="I1219" s="17">
        <v>447178</v>
      </c>
      <c r="J1219" s="16">
        <v>486888000000</v>
      </c>
    </row>
    <row r="1220" spans="1:10" x14ac:dyDescent="0.25">
      <c r="A1220" s="8">
        <v>46000</v>
      </c>
      <c r="B1220" s="9" t="s">
        <v>73</v>
      </c>
      <c r="C1220" s="9" t="s">
        <v>74</v>
      </c>
      <c r="D1220" s="9" t="s">
        <v>75</v>
      </c>
      <c r="E1220" s="10">
        <v>98.35</v>
      </c>
      <c r="F1220" s="10">
        <v>98.74</v>
      </c>
      <c r="G1220" s="10">
        <v>97.71</v>
      </c>
      <c r="H1220" s="10">
        <v>98.61</v>
      </c>
      <c r="I1220" s="11">
        <v>1436634</v>
      </c>
      <c r="J1220" s="10">
        <v>21694200000</v>
      </c>
    </row>
    <row r="1221" spans="1:10" x14ac:dyDescent="0.25">
      <c r="A1221" s="14">
        <v>46000</v>
      </c>
      <c r="B1221" s="15" t="s">
        <v>76</v>
      </c>
      <c r="C1221" s="15" t="s">
        <v>77</v>
      </c>
      <c r="D1221" s="15" t="s">
        <v>75</v>
      </c>
      <c r="E1221" s="16">
        <v>99.71</v>
      </c>
      <c r="F1221" s="16">
        <v>99.87</v>
      </c>
      <c r="G1221" s="16">
        <v>99.5</v>
      </c>
      <c r="H1221" s="16">
        <v>99.63</v>
      </c>
      <c r="I1221" s="17">
        <v>3286212</v>
      </c>
      <c r="J1221" s="16">
        <v>19926000000</v>
      </c>
    </row>
    <row r="1222" spans="1:10" x14ac:dyDescent="0.25">
      <c r="A1222" s="8">
        <v>46001</v>
      </c>
      <c r="B1222" s="9" t="s">
        <v>60</v>
      </c>
      <c r="C1222" s="9" t="s">
        <v>61</v>
      </c>
      <c r="D1222" s="9" t="s">
        <v>62</v>
      </c>
      <c r="E1222" s="10">
        <v>4874.8500000000004</v>
      </c>
      <c r="F1222" s="10">
        <v>4884.6099999999997</v>
      </c>
      <c r="G1222" s="10">
        <v>4864.83</v>
      </c>
      <c r="H1222" s="10">
        <v>4868.66</v>
      </c>
      <c r="I1222" s="11">
        <v>1837191</v>
      </c>
      <c r="J1222" s="10">
        <v>6816124000000</v>
      </c>
    </row>
    <row r="1223" spans="1:10" x14ac:dyDescent="0.25">
      <c r="A1223" s="14">
        <v>46001</v>
      </c>
      <c r="B1223" s="15" t="s">
        <v>65</v>
      </c>
      <c r="C1223" s="15" t="s">
        <v>66</v>
      </c>
      <c r="D1223" s="15" t="s">
        <v>67</v>
      </c>
      <c r="E1223" s="16">
        <v>122.88</v>
      </c>
      <c r="F1223" s="16">
        <v>123</v>
      </c>
      <c r="G1223" s="16">
        <v>121.56</v>
      </c>
      <c r="H1223" s="16">
        <v>121.8</v>
      </c>
      <c r="I1223" s="17">
        <v>3006222</v>
      </c>
      <c r="J1223" s="16">
        <v>30450000000</v>
      </c>
    </row>
    <row r="1224" spans="1:10" x14ac:dyDescent="0.25">
      <c r="A1224" s="8">
        <v>46001</v>
      </c>
      <c r="B1224" s="9" t="s">
        <v>69</v>
      </c>
      <c r="C1224" s="9" t="s">
        <v>70</v>
      </c>
      <c r="D1224" s="9" t="s">
        <v>71</v>
      </c>
      <c r="E1224" s="10">
        <v>620.62</v>
      </c>
      <c r="F1224" s="10">
        <v>627.29999999999995</v>
      </c>
      <c r="G1224" s="10">
        <v>618.95000000000005</v>
      </c>
      <c r="H1224" s="10">
        <v>624.66999999999996</v>
      </c>
      <c r="I1224" s="11">
        <v>3341060</v>
      </c>
      <c r="J1224" s="10">
        <v>499736000000</v>
      </c>
    </row>
    <row r="1225" spans="1:10" x14ac:dyDescent="0.25">
      <c r="A1225" s="14">
        <v>46001</v>
      </c>
      <c r="B1225" s="15" t="s">
        <v>73</v>
      </c>
      <c r="C1225" s="15" t="s">
        <v>74</v>
      </c>
      <c r="D1225" s="15" t="s">
        <v>75</v>
      </c>
      <c r="E1225" s="16">
        <v>97.48</v>
      </c>
      <c r="F1225" s="16">
        <v>98.33</v>
      </c>
      <c r="G1225" s="16">
        <v>96.9</v>
      </c>
      <c r="H1225" s="16">
        <v>98.08</v>
      </c>
      <c r="I1225" s="17">
        <v>408193</v>
      </c>
      <c r="J1225" s="16">
        <v>21577600000</v>
      </c>
    </row>
    <row r="1226" spans="1:10" x14ac:dyDescent="0.25">
      <c r="A1226" s="8">
        <v>46001</v>
      </c>
      <c r="B1226" s="9" t="s">
        <v>76</v>
      </c>
      <c r="C1226" s="9" t="s">
        <v>77</v>
      </c>
      <c r="D1226" s="9" t="s">
        <v>75</v>
      </c>
      <c r="E1226" s="10">
        <v>100.44</v>
      </c>
      <c r="F1226" s="10">
        <v>100.94</v>
      </c>
      <c r="G1226" s="10">
        <v>100.29</v>
      </c>
      <c r="H1226" s="10">
        <v>100.89</v>
      </c>
      <c r="I1226" s="11">
        <v>1667587</v>
      </c>
      <c r="J1226" s="10">
        <v>20178000000</v>
      </c>
    </row>
    <row r="1227" spans="1:10" x14ac:dyDescent="0.25">
      <c r="A1227" s="14">
        <v>46002</v>
      </c>
      <c r="B1227" s="15" t="s">
        <v>60</v>
      </c>
      <c r="C1227" s="15" t="s">
        <v>61</v>
      </c>
      <c r="D1227" s="15" t="s">
        <v>62</v>
      </c>
      <c r="E1227" s="16">
        <v>4795.6000000000004</v>
      </c>
      <c r="F1227" s="16">
        <v>4813.38</v>
      </c>
      <c r="G1227" s="16">
        <v>4782.26</v>
      </c>
      <c r="H1227" s="16">
        <v>4789.1400000000003</v>
      </c>
      <c r="I1227" s="17">
        <v>1880554</v>
      </c>
      <c r="J1227" s="16">
        <v>6704796000000</v>
      </c>
    </row>
    <row r="1228" spans="1:10" x14ac:dyDescent="0.25">
      <c r="A1228" s="8">
        <v>46002</v>
      </c>
      <c r="B1228" s="9" t="s">
        <v>65</v>
      </c>
      <c r="C1228" s="9" t="s">
        <v>66</v>
      </c>
      <c r="D1228" s="9" t="s">
        <v>67</v>
      </c>
      <c r="E1228" s="10">
        <v>122.48</v>
      </c>
      <c r="F1228" s="10">
        <v>123.68</v>
      </c>
      <c r="G1228" s="10">
        <v>121.58</v>
      </c>
      <c r="H1228" s="10">
        <v>123.36</v>
      </c>
      <c r="I1228" s="11">
        <v>4923069</v>
      </c>
      <c r="J1228" s="10">
        <v>30840000000</v>
      </c>
    </row>
    <row r="1229" spans="1:10" x14ac:dyDescent="0.25">
      <c r="A1229" s="14">
        <v>46002</v>
      </c>
      <c r="B1229" s="15" t="s">
        <v>69</v>
      </c>
      <c r="C1229" s="15" t="s">
        <v>70</v>
      </c>
      <c r="D1229" s="15" t="s">
        <v>71</v>
      </c>
      <c r="E1229" s="16">
        <v>603.30999999999995</v>
      </c>
      <c r="F1229" s="16">
        <v>605.88</v>
      </c>
      <c r="G1229" s="16">
        <v>595</v>
      </c>
      <c r="H1229" s="16">
        <v>599.54</v>
      </c>
      <c r="I1229" s="17">
        <v>940892</v>
      </c>
      <c r="J1229" s="16">
        <v>479632000000</v>
      </c>
    </row>
    <row r="1230" spans="1:10" x14ac:dyDescent="0.25">
      <c r="A1230" s="8">
        <v>46002</v>
      </c>
      <c r="B1230" s="9" t="s">
        <v>73</v>
      </c>
      <c r="C1230" s="9" t="s">
        <v>74</v>
      </c>
      <c r="D1230" s="9" t="s">
        <v>75</v>
      </c>
      <c r="E1230" s="10">
        <v>98.68</v>
      </c>
      <c r="F1230" s="10">
        <v>98.96</v>
      </c>
      <c r="G1230" s="10">
        <v>97.95</v>
      </c>
      <c r="H1230" s="10">
        <v>98.65</v>
      </c>
      <c r="I1230" s="11">
        <v>1466133</v>
      </c>
      <c r="J1230" s="10">
        <v>21703000000</v>
      </c>
    </row>
    <row r="1231" spans="1:10" x14ac:dyDescent="0.25">
      <c r="A1231" s="14">
        <v>46002</v>
      </c>
      <c r="B1231" s="15" t="s">
        <v>76</v>
      </c>
      <c r="C1231" s="15" t="s">
        <v>77</v>
      </c>
      <c r="D1231" s="15" t="s">
        <v>75</v>
      </c>
      <c r="E1231" s="16">
        <v>101.06</v>
      </c>
      <c r="F1231" s="16">
        <v>101.75</v>
      </c>
      <c r="G1231" s="16">
        <v>99.51</v>
      </c>
      <c r="H1231" s="16">
        <v>100.85</v>
      </c>
      <c r="I1231" s="17">
        <v>3169282</v>
      </c>
      <c r="J1231" s="16">
        <v>20170000000</v>
      </c>
    </row>
    <row r="1232" spans="1:10" x14ac:dyDescent="0.25">
      <c r="A1232" s="8">
        <v>46003</v>
      </c>
      <c r="B1232" s="9" t="s">
        <v>60</v>
      </c>
      <c r="C1232" s="9" t="s">
        <v>61</v>
      </c>
      <c r="D1232" s="9" t="s">
        <v>62</v>
      </c>
      <c r="E1232" s="10">
        <v>4818.8500000000004</v>
      </c>
      <c r="F1232" s="10">
        <v>4847.87</v>
      </c>
      <c r="G1232" s="10">
        <v>4818.18</v>
      </c>
      <c r="H1232" s="10">
        <v>4822</v>
      </c>
      <c r="I1232" s="11">
        <v>1494196</v>
      </c>
      <c r="J1232" s="10">
        <v>6750800000000</v>
      </c>
    </row>
    <row r="1233" spans="1:10" x14ac:dyDescent="0.25">
      <c r="A1233" s="14">
        <v>46003</v>
      </c>
      <c r="B1233" s="15" t="s">
        <v>65</v>
      </c>
      <c r="C1233" s="15" t="s">
        <v>66</v>
      </c>
      <c r="D1233" s="15" t="s">
        <v>67</v>
      </c>
      <c r="E1233" s="16">
        <v>122.46</v>
      </c>
      <c r="F1233" s="16">
        <v>122.78</v>
      </c>
      <c r="G1233" s="16">
        <v>121.68</v>
      </c>
      <c r="H1233" s="16">
        <v>121.91</v>
      </c>
      <c r="I1233" s="17">
        <v>959386</v>
      </c>
      <c r="J1233" s="16">
        <v>30477500000</v>
      </c>
    </row>
    <row r="1234" spans="1:10" x14ac:dyDescent="0.25">
      <c r="A1234" s="8">
        <v>46003</v>
      </c>
      <c r="B1234" s="9" t="s">
        <v>69</v>
      </c>
      <c r="C1234" s="9" t="s">
        <v>70</v>
      </c>
      <c r="D1234" s="9" t="s">
        <v>71</v>
      </c>
      <c r="E1234" s="10">
        <v>586.07000000000005</v>
      </c>
      <c r="F1234" s="10">
        <v>589.69000000000005</v>
      </c>
      <c r="G1234" s="10">
        <v>585.37</v>
      </c>
      <c r="H1234" s="10">
        <v>587.46</v>
      </c>
      <c r="I1234" s="11">
        <v>3917566</v>
      </c>
      <c r="J1234" s="10">
        <v>469968000000</v>
      </c>
    </row>
    <row r="1235" spans="1:10" x14ac:dyDescent="0.25">
      <c r="A1235" s="14">
        <v>46003</v>
      </c>
      <c r="B1235" s="15" t="s">
        <v>73</v>
      </c>
      <c r="C1235" s="15" t="s">
        <v>74</v>
      </c>
      <c r="D1235" s="15" t="s">
        <v>75</v>
      </c>
      <c r="E1235" s="16">
        <v>98.86</v>
      </c>
      <c r="F1235" s="16">
        <v>99.22</v>
      </c>
      <c r="G1235" s="16">
        <v>98.76</v>
      </c>
      <c r="H1235" s="16">
        <v>99.12</v>
      </c>
      <c r="I1235" s="17">
        <v>4607375</v>
      </c>
      <c r="J1235" s="16">
        <v>21806400000</v>
      </c>
    </row>
    <row r="1236" spans="1:10" x14ac:dyDescent="0.25">
      <c r="A1236" s="8">
        <v>46003</v>
      </c>
      <c r="B1236" s="9" t="s">
        <v>76</v>
      </c>
      <c r="C1236" s="9" t="s">
        <v>77</v>
      </c>
      <c r="D1236" s="9" t="s">
        <v>75</v>
      </c>
      <c r="E1236" s="10">
        <v>99.45</v>
      </c>
      <c r="F1236" s="10">
        <v>99.94</v>
      </c>
      <c r="G1236" s="10">
        <v>99.25</v>
      </c>
      <c r="H1236" s="10">
        <v>99.46</v>
      </c>
      <c r="I1236" s="11">
        <v>386171</v>
      </c>
      <c r="J1236" s="10">
        <v>19892000000</v>
      </c>
    </row>
    <row r="1237" spans="1:10" x14ac:dyDescent="0.25">
      <c r="A1237" s="14">
        <v>46006</v>
      </c>
      <c r="B1237" s="15" t="s">
        <v>60</v>
      </c>
      <c r="C1237" s="15" t="s">
        <v>61</v>
      </c>
      <c r="D1237" s="15" t="s">
        <v>62</v>
      </c>
      <c r="E1237" s="16">
        <v>4811.2700000000004</v>
      </c>
      <c r="F1237" s="16">
        <v>4813.1899999999996</v>
      </c>
      <c r="G1237" s="16">
        <v>4744.08</v>
      </c>
      <c r="H1237" s="16">
        <v>4807.67</v>
      </c>
      <c r="I1237" s="17">
        <v>2023030</v>
      </c>
      <c r="J1237" s="16">
        <v>6730738000000</v>
      </c>
    </row>
    <row r="1238" spans="1:10" x14ac:dyDescent="0.25">
      <c r="A1238" s="8">
        <v>46006</v>
      </c>
      <c r="B1238" s="9" t="s">
        <v>65</v>
      </c>
      <c r="C1238" s="9" t="s">
        <v>66</v>
      </c>
      <c r="D1238" s="9" t="s">
        <v>67</v>
      </c>
      <c r="E1238" s="10">
        <v>120.89</v>
      </c>
      <c r="F1238" s="10">
        <v>121.23</v>
      </c>
      <c r="G1238" s="10">
        <v>120.78</v>
      </c>
      <c r="H1238" s="10">
        <v>120.85</v>
      </c>
      <c r="I1238" s="11">
        <v>2626795</v>
      </c>
      <c r="J1238" s="10">
        <v>30212500000</v>
      </c>
    </row>
    <row r="1239" spans="1:10" x14ac:dyDescent="0.25">
      <c r="A1239" s="14">
        <v>46006</v>
      </c>
      <c r="B1239" s="15" t="s">
        <v>69</v>
      </c>
      <c r="C1239" s="15" t="s">
        <v>70</v>
      </c>
      <c r="D1239" s="15" t="s">
        <v>71</v>
      </c>
      <c r="E1239" s="16">
        <v>585.69000000000005</v>
      </c>
      <c r="F1239" s="16">
        <v>589.79999999999995</v>
      </c>
      <c r="G1239" s="16">
        <v>584.32000000000005</v>
      </c>
      <c r="H1239" s="16">
        <v>585.20000000000005</v>
      </c>
      <c r="I1239" s="17">
        <v>4499625</v>
      </c>
      <c r="J1239" s="16">
        <v>468160000000</v>
      </c>
    </row>
    <row r="1240" spans="1:10" x14ac:dyDescent="0.25">
      <c r="A1240" s="8">
        <v>46006</v>
      </c>
      <c r="B1240" s="9" t="s">
        <v>73</v>
      </c>
      <c r="C1240" s="9" t="s">
        <v>74</v>
      </c>
      <c r="D1240" s="9" t="s">
        <v>75</v>
      </c>
      <c r="E1240" s="10">
        <v>99.53</v>
      </c>
      <c r="F1240" s="10">
        <v>100.61</v>
      </c>
      <c r="G1240" s="10">
        <v>99.23</v>
      </c>
      <c r="H1240" s="10">
        <v>100.36</v>
      </c>
      <c r="I1240" s="11">
        <v>417308</v>
      </c>
      <c r="J1240" s="10">
        <v>22079200000</v>
      </c>
    </row>
    <row r="1241" spans="1:10" x14ac:dyDescent="0.25">
      <c r="A1241" s="14">
        <v>46006</v>
      </c>
      <c r="B1241" s="15" t="s">
        <v>76</v>
      </c>
      <c r="C1241" s="15" t="s">
        <v>77</v>
      </c>
      <c r="D1241" s="15" t="s">
        <v>75</v>
      </c>
      <c r="E1241" s="16">
        <v>99.46</v>
      </c>
      <c r="F1241" s="16">
        <v>100.7</v>
      </c>
      <c r="G1241" s="16">
        <v>99.23</v>
      </c>
      <c r="H1241" s="16">
        <v>100.65</v>
      </c>
      <c r="I1241" s="17">
        <v>1740940</v>
      </c>
      <c r="J1241" s="16">
        <v>20130000000</v>
      </c>
    </row>
    <row r="1242" spans="1:10" x14ac:dyDescent="0.25">
      <c r="A1242" s="8">
        <v>46007</v>
      </c>
      <c r="B1242" s="9" t="s">
        <v>60</v>
      </c>
      <c r="C1242" s="9" t="s">
        <v>61</v>
      </c>
      <c r="D1242" s="9" t="s">
        <v>62</v>
      </c>
      <c r="E1242" s="10">
        <v>4881.59</v>
      </c>
      <c r="F1242" s="10">
        <v>4909.67</v>
      </c>
      <c r="G1242" s="10">
        <v>4864.03</v>
      </c>
      <c r="H1242" s="10">
        <v>4873.8</v>
      </c>
      <c r="I1242" s="11">
        <v>4529496</v>
      </c>
      <c r="J1242" s="10">
        <v>6823320000000</v>
      </c>
    </row>
    <row r="1243" spans="1:10" x14ac:dyDescent="0.25">
      <c r="A1243" s="14">
        <v>46007</v>
      </c>
      <c r="B1243" s="15" t="s">
        <v>65</v>
      </c>
      <c r="C1243" s="15" t="s">
        <v>66</v>
      </c>
      <c r="D1243" s="15" t="s">
        <v>67</v>
      </c>
      <c r="E1243" s="16">
        <v>120.74</v>
      </c>
      <c r="F1243" s="16">
        <v>121.39</v>
      </c>
      <c r="G1243" s="16">
        <v>119.86</v>
      </c>
      <c r="H1243" s="16">
        <v>120.93</v>
      </c>
      <c r="I1243" s="17">
        <v>1852947</v>
      </c>
      <c r="J1243" s="16">
        <v>30232500000</v>
      </c>
    </row>
    <row r="1244" spans="1:10" x14ac:dyDescent="0.25">
      <c r="A1244" s="8">
        <v>46007</v>
      </c>
      <c r="B1244" s="9" t="s">
        <v>69</v>
      </c>
      <c r="C1244" s="9" t="s">
        <v>70</v>
      </c>
      <c r="D1244" s="9" t="s">
        <v>71</v>
      </c>
      <c r="E1244" s="10">
        <v>564.79999999999995</v>
      </c>
      <c r="F1244" s="10">
        <v>569.01</v>
      </c>
      <c r="G1244" s="10">
        <v>563.02</v>
      </c>
      <c r="H1244" s="10">
        <v>565.29</v>
      </c>
      <c r="I1244" s="11">
        <v>2097460</v>
      </c>
      <c r="J1244" s="10">
        <v>452232000000</v>
      </c>
    </row>
    <row r="1245" spans="1:10" x14ac:dyDescent="0.25">
      <c r="A1245" s="14">
        <v>46007</v>
      </c>
      <c r="B1245" s="15" t="s">
        <v>73</v>
      </c>
      <c r="C1245" s="15" t="s">
        <v>74</v>
      </c>
      <c r="D1245" s="15" t="s">
        <v>75</v>
      </c>
      <c r="E1245" s="16">
        <v>101.66</v>
      </c>
      <c r="F1245" s="16">
        <v>102.49</v>
      </c>
      <c r="G1245" s="16">
        <v>101.59</v>
      </c>
      <c r="H1245" s="16">
        <v>102.28</v>
      </c>
      <c r="I1245" s="17">
        <v>2936374</v>
      </c>
      <c r="J1245" s="16">
        <v>22501600000</v>
      </c>
    </row>
    <row r="1246" spans="1:10" x14ac:dyDescent="0.25">
      <c r="A1246" s="8">
        <v>46007</v>
      </c>
      <c r="B1246" s="9" t="s">
        <v>76</v>
      </c>
      <c r="C1246" s="9" t="s">
        <v>77</v>
      </c>
      <c r="D1246" s="9" t="s">
        <v>75</v>
      </c>
      <c r="E1246" s="10">
        <v>101.19</v>
      </c>
      <c r="F1246" s="10">
        <v>101.46</v>
      </c>
      <c r="G1246" s="10">
        <v>100.29</v>
      </c>
      <c r="H1246" s="10">
        <v>101.11</v>
      </c>
      <c r="I1246" s="11">
        <v>4973562</v>
      </c>
      <c r="J1246" s="10">
        <v>20222000000</v>
      </c>
    </row>
    <row r="1247" spans="1:10" x14ac:dyDescent="0.25">
      <c r="A1247" s="14">
        <v>46008</v>
      </c>
      <c r="B1247" s="15" t="s">
        <v>60</v>
      </c>
      <c r="C1247" s="15" t="s">
        <v>61</v>
      </c>
      <c r="D1247" s="15" t="s">
        <v>62</v>
      </c>
      <c r="E1247" s="16">
        <v>4968.2</v>
      </c>
      <c r="F1247" s="16">
        <v>4971.07</v>
      </c>
      <c r="G1247" s="16">
        <v>4951.9799999999996</v>
      </c>
      <c r="H1247" s="16">
        <v>4961.3999999999996</v>
      </c>
      <c r="I1247" s="17">
        <v>3527777</v>
      </c>
      <c r="J1247" s="16">
        <v>6945960000000</v>
      </c>
    </row>
    <row r="1248" spans="1:10" x14ac:dyDescent="0.25">
      <c r="A1248" s="8">
        <v>46008</v>
      </c>
      <c r="B1248" s="9" t="s">
        <v>65</v>
      </c>
      <c r="C1248" s="9" t="s">
        <v>66</v>
      </c>
      <c r="D1248" s="9" t="s">
        <v>67</v>
      </c>
      <c r="E1248" s="10">
        <v>120.44</v>
      </c>
      <c r="F1248" s="10">
        <v>121.72</v>
      </c>
      <c r="G1248" s="10">
        <v>119.44</v>
      </c>
      <c r="H1248" s="10">
        <v>120.45</v>
      </c>
      <c r="I1248" s="11">
        <v>4946583</v>
      </c>
      <c r="J1248" s="10">
        <v>30112500000</v>
      </c>
    </row>
    <row r="1249" spans="1:10" x14ac:dyDescent="0.25">
      <c r="A1249" s="14">
        <v>46008</v>
      </c>
      <c r="B1249" s="15" t="s">
        <v>69</v>
      </c>
      <c r="C1249" s="15" t="s">
        <v>70</v>
      </c>
      <c r="D1249" s="15" t="s">
        <v>71</v>
      </c>
      <c r="E1249" s="16">
        <v>586.85</v>
      </c>
      <c r="F1249" s="16">
        <v>598.21</v>
      </c>
      <c r="G1249" s="16">
        <v>579.37</v>
      </c>
      <c r="H1249" s="16">
        <v>587.42999999999995</v>
      </c>
      <c r="I1249" s="17">
        <v>883923</v>
      </c>
      <c r="J1249" s="16">
        <v>469944000000</v>
      </c>
    </row>
    <row r="1250" spans="1:10" x14ac:dyDescent="0.25">
      <c r="A1250" s="8">
        <v>46008</v>
      </c>
      <c r="B1250" s="9" t="s">
        <v>73</v>
      </c>
      <c r="C1250" s="9" t="s">
        <v>74</v>
      </c>
      <c r="D1250" s="9" t="s">
        <v>75</v>
      </c>
      <c r="E1250" s="10">
        <v>104.48</v>
      </c>
      <c r="F1250" s="10">
        <v>105.4</v>
      </c>
      <c r="G1250" s="10">
        <v>103.74</v>
      </c>
      <c r="H1250" s="10">
        <v>103.76</v>
      </c>
      <c r="I1250" s="11">
        <v>4424245</v>
      </c>
      <c r="J1250" s="10">
        <v>22827200000</v>
      </c>
    </row>
    <row r="1251" spans="1:10" x14ac:dyDescent="0.25">
      <c r="A1251" s="14">
        <v>46008</v>
      </c>
      <c r="B1251" s="15" t="s">
        <v>76</v>
      </c>
      <c r="C1251" s="15" t="s">
        <v>77</v>
      </c>
      <c r="D1251" s="15" t="s">
        <v>75</v>
      </c>
      <c r="E1251" s="16">
        <v>100.59</v>
      </c>
      <c r="F1251" s="16">
        <v>100.97</v>
      </c>
      <c r="G1251" s="16">
        <v>99.88</v>
      </c>
      <c r="H1251" s="16">
        <v>100.45</v>
      </c>
      <c r="I1251" s="17">
        <v>1013081</v>
      </c>
      <c r="J1251" s="16">
        <v>20090000000</v>
      </c>
    </row>
    <row r="1252" spans="1:10" x14ac:dyDescent="0.25">
      <c r="A1252" s="8">
        <v>46009</v>
      </c>
      <c r="B1252" s="9" t="s">
        <v>60</v>
      </c>
      <c r="C1252" s="9" t="s">
        <v>61</v>
      </c>
      <c r="D1252" s="9" t="s">
        <v>62</v>
      </c>
      <c r="E1252" s="10">
        <v>5017.01</v>
      </c>
      <c r="F1252" s="10">
        <v>5044.3999999999996</v>
      </c>
      <c r="G1252" s="10">
        <v>4979.57</v>
      </c>
      <c r="H1252" s="10">
        <v>5027.6400000000003</v>
      </c>
      <c r="I1252" s="11">
        <v>1715352</v>
      </c>
      <c r="J1252" s="10">
        <v>7038696000000</v>
      </c>
    </row>
    <row r="1253" spans="1:10" x14ac:dyDescent="0.25">
      <c r="A1253" s="14">
        <v>46009</v>
      </c>
      <c r="B1253" s="15" t="s">
        <v>65</v>
      </c>
      <c r="C1253" s="15" t="s">
        <v>66</v>
      </c>
      <c r="D1253" s="15" t="s">
        <v>67</v>
      </c>
      <c r="E1253" s="16">
        <v>115.79</v>
      </c>
      <c r="F1253" s="16">
        <v>118.1</v>
      </c>
      <c r="G1253" s="16">
        <v>114.79</v>
      </c>
      <c r="H1253" s="16">
        <v>115.91</v>
      </c>
      <c r="I1253" s="17">
        <v>3691422</v>
      </c>
      <c r="J1253" s="16">
        <v>28977500000</v>
      </c>
    </row>
    <row r="1254" spans="1:10" x14ac:dyDescent="0.25">
      <c r="A1254" s="8">
        <v>46009</v>
      </c>
      <c r="B1254" s="9" t="s">
        <v>69</v>
      </c>
      <c r="C1254" s="9" t="s">
        <v>70</v>
      </c>
      <c r="D1254" s="9" t="s">
        <v>71</v>
      </c>
      <c r="E1254" s="10">
        <v>599.6</v>
      </c>
      <c r="F1254" s="10">
        <v>605.98</v>
      </c>
      <c r="G1254" s="10">
        <v>599</v>
      </c>
      <c r="H1254" s="10">
        <v>603.98</v>
      </c>
      <c r="I1254" s="11">
        <v>2589861</v>
      </c>
      <c r="J1254" s="10">
        <v>483184000000</v>
      </c>
    </row>
    <row r="1255" spans="1:10" x14ac:dyDescent="0.25">
      <c r="A1255" s="14">
        <v>46009</v>
      </c>
      <c r="B1255" s="15" t="s">
        <v>73</v>
      </c>
      <c r="C1255" s="15" t="s">
        <v>74</v>
      </c>
      <c r="D1255" s="15" t="s">
        <v>75</v>
      </c>
      <c r="E1255" s="16">
        <v>102.54</v>
      </c>
      <c r="F1255" s="16">
        <v>102.6</v>
      </c>
      <c r="G1255" s="16">
        <v>101.07</v>
      </c>
      <c r="H1255" s="16">
        <v>102.51</v>
      </c>
      <c r="I1255" s="17">
        <v>3287160</v>
      </c>
      <c r="J1255" s="16">
        <v>22552200000</v>
      </c>
    </row>
    <row r="1256" spans="1:10" x14ac:dyDescent="0.25">
      <c r="A1256" s="8">
        <v>46009</v>
      </c>
      <c r="B1256" s="9" t="s">
        <v>76</v>
      </c>
      <c r="C1256" s="9" t="s">
        <v>77</v>
      </c>
      <c r="D1256" s="9" t="s">
        <v>75</v>
      </c>
      <c r="E1256" s="10">
        <v>98.45</v>
      </c>
      <c r="F1256" s="10">
        <v>98.61</v>
      </c>
      <c r="G1256" s="10">
        <v>97.7</v>
      </c>
      <c r="H1256" s="10">
        <v>97.95</v>
      </c>
      <c r="I1256" s="11">
        <v>4113752</v>
      </c>
      <c r="J1256" s="10">
        <v>19590000000</v>
      </c>
    </row>
    <row r="1257" spans="1:10" x14ac:dyDescent="0.25">
      <c r="A1257" s="14">
        <v>46010</v>
      </c>
      <c r="B1257" s="15" t="s">
        <v>60</v>
      </c>
      <c r="C1257" s="15" t="s">
        <v>61</v>
      </c>
      <c r="D1257" s="15" t="s">
        <v>62</v>
      </c>
      <c r="E1257" s="16">
        <v>5077.7</v>
      </c>
      <c r="F1257" s="16">
        <v>5101.72</v>
      </c>
      <c r="G1257" s="16">
        <v>5058.32</v>
      </c>
      <c r="H1257" s="16">
        <v>5079.8999999999996</v>
      </c>
      <c r="I1257" s="17">
        <v>1429176</v>
      </c>
      <c r="J1257" s="16">
        <v>7111860000000</v>
      </c>
    </row>
    <row r="1258" spans="1:10" x14ac:dyDescent="0.25">
      <c r="A1258" s="8">
        <v>46010</v>
      </c>
      <c r="B1258" s="9" t="s">
        <v>65</v>
      </c>
      <c r="C1258" s="9" t="s">
        <v>66</v>
      </c>
      <c r="D1258" s="9" t="s">
        <v>67</v>
      </c>
      <c r="E1258" s="10">
        <v>118.73</v>
      </c>
      <c r="F1258" s="10">
        <v>119.02</v>
      </c>
      <c r="G1258" s="10">
        <v>118.19</v>
      </c>
      <c r="H1258" s="10">
        <v>118.21</v>
      </c>
      <c r="I1258" s="11">
        <v>1802363</v>
      </c>
      <c r="J1258" s="10">
        <v>29552500000</v>
      </c>
    </row>
    <row r="1259" spans="1:10" x14ac:dyDescent="0.25">
      <c r="A1259" s="14">
        <v>46010</v>
      </c>
      <c r="B1259" s="15" t="s">
        <v>69</v>
      </c>
      <c r="C1259" s="15" t="s">
        <v>70</v>
      </c>
      <c r="D1259" s="15" t="s">
        <v>71</v>
      </c>
      <c r="E1259" s="16">
        <v>594.79</v>
      </c>
      <c r="F1259" s="16">
        <v>600.1</v>
      </c>
      <c r="G1259" s="16">
        <v>589.97</v>
      </c>
      <c r="H1259" s="16">
        <v>591.52</v>
      </c>
      <c r="I1259" s="17">
        <v>1108105</v>
      </c>
      <c r="J1259" s="16">
        <v>473216000000</v>
      </c>
    </row>
    <row r="1260" spans="1:10" x14ac:dyDescent="0.25">
      <c r="A1260" s="8">
        <v>46010</v>
      </c>
      <c r="B1260" s="9" t="s">
        <v>73</v>
      </c>
      <c r="C1260" s="9" t="s">
        <v>74</v>
      </c>
      <c r="D1260" s="9" t="s">
        <v>75</v>
      </c>
      <c r="E1260" s="10">
        <v>102.67</v>
      </c>
      <c r="F1260" s="10">
        <v>103.88</v>
      </c>
      <c r="G1260" s="10">
        <v>101.72</v>
      </c>
      <c r="H1260" s="10">
        <v>102.73</v>
      </c>
      <c r="I1260" s="11">
        <v>2762584</v>
      </c>
      <c r="J1260" s="10">
        <v>22600600000</v>
      </c>
    </row>
    <row r="1261" spans="1:10" x14ac:dyDescent="0.25">
      <c r="A1261" s="14">
        <v>46010</v>
      </c>
      <c r="B1261" s="15" t="s">
        <v>76</v>
      </c>
      <c r="C1261" s="15" t="s">
        <v>77</v>
      </c>
      <c r="D1261" s="15" t="s">
        <v>75</v>
      </c>
      <c r="E1261" s="16">
        <v>97.76</v>
      </c>
      <c r="F1261" s="16">
        <v>98.24</v>
      </c>
      <c r="G1261" s="16">
        <v>96.99</v>
      </c>
      <c r="H1261" s="16">
        <v>97.32</v>
      </c>
      <c r="I1261" s="17">
        <v>3182456</v>
      </c>
      <c r="J1261" s="16">
        <v>19464000000</v>
      </c>
    </row>
    <row r="1262" spans="1:10" x14ac:dyDescent="0.25">
      <c r="A1262" s="8">
        <v>46013</v>
      </c>
      <c r="B1262" s="9" t="s">
        <v>60</v>
      </c>
      <c r="C1262" s="9" t="s">
        <v>61</v>
      </c>
      <c r="D1262" s="9" t="s">
        <v>62</v>
      </c>
      <c r="E1262" s="10">
        <v>5115.6099999999997</v>
      </c>
      <c r="F1262" s="10">
        <v>5163.13</v>
      </c>
      <c r="G1262" s="10">
        <v>5046.5</v>
      </c>
      <c r="H1262" s="10">
        <v>5162.05</v>
      </c>
      <c r="I1262" s="11">
        <v>1299369</v>
      </c>
      <c r="J1262" s="10">
        <v>7226870000000</v>
      </c>
    </row>
    <row r="1263" spans="1:10" x14ac:dyDescent="0.25">
      <c r="A1263" s="14">
        <v>46013</v>
      </c>
      <c r="B1263" s="15" t="s">
        <v>65</v>
      </c>
      <c r="C1263" s="15" t="s">
        <v>66</v>
      </c>
      <c r="D1263" s="15" t="s">
        <v>67</v>
      </c>
      <c r="E1263" s="16">
        <v>118.57</v>
      </c>
      <c r="F1263" s="16">
        <v>119.18</v>
      </c>
      <c r="G1263" s="16">
        <v>118.02</v>
      </c>
      <c r="H1263" s="16">
        <v>118.46</v>
      </c>
      <c r="I1263" s="17">
        <v>4155876</v>
      </c>
      <c r="J1263" s="16">
        <v>29615000000</v>
      </c>
    </row>
    <row r="1264" spans="1:10" x14ac:dyDescent="0.25">
      <c r="A1264" s="8">
        <v>46013</v>
      </c>
      <c r="B1264" s="9" t="s">
        <v>69</v>
      </c>
      <c r="C1264" s="9" t="s">
        <v>70</v>
      </c>
      <c r="D1264" s="9" t="s">
        <v>71</v>
      </c>
      <c r="E1264" s="10">
        <v>597.03</v>
      </c>
      <c r="F1264" s="10">
        <v>597.70000000000005</v>
      </c>
      <c r="G1264" s="10">
        <v>592.54999999999995</v>
      </c>
      <c r="H1264" s="10">
        <v>597.11</v>
      </c>
      <c r="I1264" s="11">
        <v>1676941</v>
      </c>
      <c r="J1264" s="10">
        <v>477688000000</v>
      </c>
    </row>
    <row r="1265" spans="1:10" x14ac:dyDescent="0.25">
      <c r="A1265" s="14">
        <v>46013</v>
      </c>
      <c r="B1265" s="15" t="s">
        <v>73</v>
      </c>
      <c r="C1265" s="15" t="s">
        <v>74</v>
      </c>
      <c r="D1265" s="15" t="s">
        <v>75</v>
      </c>
      <c r="E1265" s="16">
        <v>100.49</v>
      </c>
      <c r="F1265" s="16">
        <v>100.92</v>
      </c>
      <c r="G1265" s="16">
        <v>100.47</v>
      </c>
      <c r="H1265" s="16">
        <v>100.79</v>
      </c>
      <c r="I1265" s="17">
        <v>4389068</v>
      </c>
      <c r="J1265" s="16">
        <v>22173800000</v>
      </c>
    </row>
    <row r="1266" spans="1:10" x14ac:dyDescent="0.25">
      <c r="A1266" s="8">
        <v>46013</v>
      </c>
      <c r="B1266" s="9" t="s">
        <v>76</v>
      </c>
      <c r="C1266" s="9" t="s">
        <v>77</v>
      </c>
      <c r="D1266" s="9" t="s">
        <v>75</v>
      </c>
      <c r="E1266" s="10">
        <v>97.51</v>
      </c>
      <c r="F1266" s="10">
        <v>98.52</v>
      </c>
      <c r="G1266" s="10">
        <v>96.52</v>
      </c>
      <c r="H1266" s="10">
        <v>97.6</v>
      </c>
      <c r="I1266" s="11">
        <v>4241122</v>
      </c>
      <c r="J1266" s="10">
        <v>19520000000</v>
      </c>
    </row>
    <row r="1267" spans="1:10" x14ac:dyDescent="0.25">
      <c r="A1267" s="14">
        <v>46014</v>
      </c>
      <c r="B1267" s="15" t="s">
        <v>60</v>
      </c>
      <c r="C1267" s="15" t="s">
        <v>61</v>
      </c>
      <c r="D1267" s="15" t="s">
        <v>62</v>
      </c>
      <c r="E1267" s="16">
        <v>5168.92</v>
      </c>
      <c r="F1267" s="16">
        <v>5249.16</v>
      </c>
      <c r="G1267" s="16">
        <v>5156.68</v>
      </c>
      <c r="H1267" s="16">
        <v>5203.54</v>
      </c>
      <c r="I1267" s="17">
        <v>3583173</v>
      </c>
      <c r="J1267" s="16">
        <v>7284956000000</v>
      </c>
    </row>
    <row r="1268" spans="1:10" x14ac:dyDescent="0.25">
      <c r="A1268" s="8">
        <v>46014</v>
      </c>
      <c r="B1268" s="9" t="s">
        <v>65</v>
      </c>
      <c r="C1268" s="9" t="s">
        <v>66</v>
      </c>
      <c r="D1268" s="9" t="s">
        <v>67</v>
      </c>
      <c r="E1268" s="10">
        <v>118.28</v>
      </c>
      <c r="F1268" s="10">
        <v>119.54</v>
      </c>
      <c r="G1268" s="10">
        <v>117.26</v>
      </c>
      <c r="H1268" s="10">
        <v>119.01</v>
      </c>
      <c r="I1268" s="11">
        <v>2686035</v>
      </c>
      <c r="J1268" s="10">
        <v>29752500000</v>
      </c>
    </row>
    <row r="1269" spans="1:10" x14ac:dyDescent="0.25">
      <c r="A1269" s="14">
        <v>46014</v>
      </c>
      <c r="B1269" s="15" t="s">
        <v>69</v>
      </c>
      <c r="C1269" s="15" t="s">
        <v>70</v>
      </c>
      <c r="D1269" s="15" t="s">
        <v>71</v>
      </c>
      <c r="E1269" s="16">
        <v>606.58000000000004</v>
      </c>
      <c r="F1269" s="16">
        <v>607.08000000000004</v>
      </c>
      <c r="G1269" s="16">
        <v>605.53</v>
      </c>
      <c r="H1269" s="16">
        <v>605.6</v>
      </c>
      <c r="I1269" s="17">
        <v>3373670</v>
      </c>
      <c r="J1269" s="16">
        <v>484480000000</v>
      </c>
    </row>
    <row r="1270" spans="1:10" x14ac:dyDescent="0.25">
      <c r="A1270" s="8">
        <v>46014</v>
      </c>
      <c r="B1270" s="9" t="s">
        <v>73</v>
      </c>
      <c r="C1270" s="9" t="s">
        <v>74</v>
      </c>
      <c r="D1270" s="9" t="s">
        <v>75</v>
      </c>
      <c r="E1270" s="10">
        <v>99.36</v>
      </c>
      <c r="F1270" s="10">
        <v>100.42</v>
      </c>
      <c r="G1270" s="10">
        <v>97.71</v>
      </c>
      <c r="H1270" s="10">
        <v>98.63</v>
      </c>
      <c r="I1270" s="11">
        <v>1116631</v>
      </c>
      <c r="J1270" s="10">
        <v>21698600000</v>
      </c>
    </row>
    <row r="1271" spans="1:10" x14ac:dyDescent="0.25">
      <c r="A1271" s="14">
        <v>46014</v>
      </c>
      <c r="B1271" s="15" t="s">
        <v>76</v>
      </c>
      <c r="C1271" s="15" t="s">
        <v>77</v>
      </c>
      <c r="D1271" s="15" t="s">
        <v>75</v>
      </c>
      <c r="E1271" s="16">
        <v>98.14</v>
      </c>
      <c r="F1271" s="16">
        <v>100.33</v>
      </c>
      <c r="G1271" s="16">
        <v>97.08</v>
      </c>
      <c r="H1271" s="16">
        <v>98.42</v>
      </c>
      <c r="I1271" s="17">
        <v>773530</v>
      </c>
      <c r="J1271" s="16">
        <v>19684000000</v>
      </c>
    </row>
    <row r="1272" spans="1:10" x14ac:dyDescent="0.25">
      <c r="A1272" s="8">
        <v>46015</v>
      </c>
      <c r="B1272" s="9" t="s">
        <v>60</v>
      </c>
      <c r="C1272" s="9" t="s">
        <v>61</v>
      </c>
      <c r="D1272" s="9" t="s">
        <v>62</v>
      </c>
      <c r="E1272" s="10">
        <v>5173.42</v>
      </c>
      <c r="F1272" s="10">
        <v>5199.91</v>
      </c>
      <c r="G1272" s="10">
        <v>5140.28</v>
      </c>
      <c r="H1272" s="10">
        <v>5194.57</v>
      </c>
      <c r="I1272" s="11">
        <v>849455</v>
      </c>
      <c r="J1272" s="10">
        <v>7272398000000</v>
      </c>
    </row>
    <row r="1273" spans="1:10" x14ac:dyDescent="0.25">
      <c r="A1273" s="14">
        <v>46015</v>
      </c>
      <c r="B1273" s="15" t="s">
        <v>65</v>
      </c>
      <c r="C1273" s="15" t="s">
        <v>66</v>
      </c>
      <c r="D1273" s="15" t="s">
        <v>67</v>
      </c>
      <c r="E1273" s="16">
        <v>117.12</v>
      </c>
      <c r="F1273" s="16">
        <v>117.43</v>
      </c>
      <c r="G1273" s="16">
        <v>116.78</v>
      </c>
      <c r="H1273" s="16">
        <v>116.89</v>
      </c>
      <c r="I1273" s="17">
        <v>4816567</v>
      </c>
      <c r="J1273" s="16">
        <v>29222500000</v>
      </c>
    </row>
    <row r="1274" spans="1:10" x14ac:dyDescent="0.25">
      <c r="A1274" s="8">
        <v>46015</v>
      </c>
      <c r="B1274" s="9" t="s">
        <v>69</v>
      </c>
      <c r="C1274" s="9" t="s">
        <v>70</v>
      </c>
      <c r="D1274" s="9" t="s">
        <v>71</v>
      </c>
      <c r="E1274" s="10">
        <v>601.07000000000005</v>
      </c>
      <c r="F1274" s="10">
        <v>605.82000000000005</v>
      </c>
      <c r="G1274" s="10">
        <v>597</v>
      </c>
      <c r="H1274" s="10">
        <v>604.95000000000005</v>
      </c>
      <c r="I1274" s="11">
        <v>2536561</v>
      </c>
      <c r="J1274" s="10">
        <v>483960000000</v>
      </c>
    </row>
    <row r="1275" spans="1:10" x14ac:dyDescent="0.25">
      <c r="A1275" s="14">
        <v>46015</v>
      </c>
      <c r="B1275" s="15" t="s">
        <v>73</v>
      </c>
      <c r="C1275" s="15" t="s">
        <v>74</v>
      </c>
      <c r="D1275" s="15" t="s">
        <v>75</v>
      </c>
      <c r="E1275" s="16">
        <v>97.2</v>
      </c>
      <c r="F1275" s="16">
        <v>98.07</v>
      </c>
      <c r="G1275" s="16">
        <v>97.09</v>
      </c>
      <c r="H1275" s="16">
        <v>97.11</v>
      </c>
      <c r="I1275" s="17">
        <v>2955114</v>
      </c>
      <c r="J1275" s="16">
        <v>21364200000</v>
      </c>
    </row>
    <row r="1276" spans="1:10" x14ac:dyDescent="0.25">
      <c r="A1276" s="8">
        <v>46015</v>
      </c>
      <c r="B1276" s="9" t="s">
        <v>76</v>
      </c>
      <c r="C1276" s="9" t="s">
        <v>77</v>
      </c>
      <c r="D1276" s="9" t="s">
        <v>75</v>
      </c>
      <c r="E1276" s="10">
        <v>97.38</v>
      </c>
      <c r="F1276" s="10">
        <v>97.92</v>
      </c>
      <c r="G1276" s="10">
        <v>96.11</v>
      </c>
      <c r="H1276" s="10">
        <v>96.29</v>
      </c>
      <c r="I1276" s="11">
        <v>2027284</v>
      </c>
      <c r="J1276" s="10">
        <v>19258000000</v>
      </c>
    </row>
    <row r="1277" spans="1:10" x14ac:dyDescent="0.25">
      <c r="A1277" s="14">
        <v>46016</v>
      </c>
      <c r="B1277" s="15" t="s">
        <v>60</v>
      </c>
      <c r="C1277" s="15" t="s">
        <v>61</v>
      </c>
      <c r="D1277" s="15" t="s">
        <v>62</v>
      </c>
      <c r="E1277" s="16">
        <v>5133.2700000000004</v>
      </c>
      <c r="F1277" s="16">
        <v>5158.2299999999996</v>
      </c>
      <c r="G1277" s="16">
        <v>5091.6400000000003</v>
      </c>
      <c r="H1277" s="16">
        <v>5142.57</v>
      </c>
      <c r="I1277" s="17">
        <v>3148263</v>
      </c>
      <c r="J1277" s="16">
        <v>7199598000000</v>
      </c>
    </row>
    <row r="1278" spans="1:10" x14ac:dyDescent="0.25">
      <c r="A1278" s="8">
        <v>46016</v>
      </c>
      <c r="B1278" s="9" t="s">
        <v>65</v>
      </c>
      <c r="C1278" s="9" t="s">
        <v>66</v>
      </c>
      <c r="D1278" s="9" t="s">
        <v>67</v>
      </c>
      <c r="E1278" s="10">
        <v>117.65</v>
      </c>
      <c r="F1278" s="10">
        <v>118.34</v>
      </c>
      <c r="G1278" s="10">
        <v>117.03</v>
      </c>
      <c r="H1278" s="10">
        <v>117.86</v>
      </c>
      <c r="I1278" s="11">
        <v>931839</v>
      </c>
      <c r="J1278" s="10">
        <v>29465000000</v>
      </c>
    </row>
    <row r="1279" spans="1:10" x14ac:dyDescent="0.25">
      <c r="A1279" s="14">
        <v>46016</v>
      </c>
      <c r="B1279" s="15" t="s">
        <v>69</v>
      </c>
      <c r="C1279" s="15" t="s">
        <v>70</v>
      </c>
      <c r="D1279" s="15" t="s">
        <v>71</v>
      </c>
      <c r="E1279" s="16">
        <v>603.91</v>
      </c>
      <c r="F1279" s="16">
        <v>607.13</v>
      </c>
      <c r="G1279" s="16">
        <v>598.86</v>
      </c>
      <c r="H1279" s="16">
        <v>601.24</v>
      </c>
      <c r="I1279" s="17">
        <v>698721</v>
      </c>
      <c r="J1279" s="16">
        <v>480992000000</v>
      </c>
    </row>
    <row r="1280" spans="1:10" x14ac:dyDescent="0.25">
      <c r="A1280" s="8">
        <v>46016</v>
      </c>
      <c r="B1280" s="9" t="s">
        <v>73</v>
      </c>
      <c r="C1280" s="9" t="s">
        <v>74</v>
      </c>
      <c r="D1280" s="9" t="s">
        <v>75</v>
      </c>
      <c r="E1280" s="10">
        <v>96.57</v>
      </c>
      <c r="F1280" s="10">
        <v>97.53</v>
      </c>
      <c r="G1280" s="10">
        <v>96.21</v>
      </c>
      <c r="H1280" s="10">
        <v>97.47</v>
      </c>
      <c r="I1280" s="11">
        <v>1094683</v>
      </c>
      <c r="J1280" s="10">
        <v>21443400000</v>
      </c>
    </row>
    <row r="1281" spans="1:10" x14ac:dyDescent="0.25">
      <c r="A1281" s="14">
        <v>46016</v>
      </c>
      <c r="B1281" s="15" t="s">
        <v>76</v>
      </c>
      <c r="C1281" s="15" t="s">
        <v>77</v>
      </c>
      <c r="D1281" s="15" t="s">
        <v>75</v>
      </c>
      <c r="E1281" s="16">
        <v>94.41</v>
      </c>
      <c r="F1281" s="16">
        <v>94.92</v>
      </c>
      <c r="G1281" s="16">
        <v>94.08</v>
      </c>
      <c r="H1281" s="16">
        <v>94.56</v>
      </c>
      <c r="I1281" s="17">
        <v>4754884</v>
      </c>
      <c r="J1281" s="16">
        <v>18912000000</v>
      </c>
    </row>
    <row r="1282" spans="1:10" x14ac:dyDescent="0.25">
      <c r="A1282" s="8">
        <v>46017</v>
      </c>
      <c r="B1282" s="9" t="s">
        <v>60</v>
      </c>
      <c r="C1282" s="9" t="s">
        <v>61</v>
      </c>
      <c r="D1282" s="9" t="s">
        <v>62</v>
      </c>
      <c r="E1282" s="10">
        <v>5091.3100000000004</v>
      </c>
      <c r="F1282" s="10">
        <v>5095.6400000000003</v>
      </c>
      <c r="G1282" s="10">
        <v>5074.58</v>
      </c>
      <c r="H1282" s="10">
        <v>5080.9399999999996</v>
      </c>
      <c r="I1282" s="11">
        <v>2815819</v>
      </c>
      <c r="J1282" s="10">
        <v>7113316000000</v>
      </c>
    </row>
    <row r="1283" spans="1:10" x14ac:dyDescent="0.25">
      <c r="A1283" s="14">
        <v>46017</v>
      </c>
      <c r="B1283" s="15" t="s">
        <v>65</v>
      </c>
      <c r="C1283" s="15" t="s">
        <v>66</v>
      </c>
      <c r="D1283" s="15" t="s">
        <v>67</v>
      </c>
      <c r="E1283" s="16">
        <v>115.42</v>
      </c>
      <c r="F1283" s="16">
        <v>116.47</v>
      </c>
      <c r="G1283" s="16">
        <v>114.95</v>
      </c>
      <c r="H1283" s="16">
        <v>115.25</v>
      </c>
      <c r="I1283" s="17">
        <v>3674745</v>
      </c>
      <c r="J1283" s="16">
        <v>28812500000</v>
      </c>
    </row>
    <row r="1284" spans="1:10" x14ac:dyDescent="0.25">
      <c r="A1284" s="8">
        <v>46017</v>
      </c>
      <c r="B1284" s="9" t="s">
        <v>69</v>
      </c>
      <c r="C1284" s="9" t="s">
        <v>70</v>
      </c>
      <c r="D1284" s="9" t="s">
        <v>71</v>
      </c>
      <c r="E1284" s="10">
        <v>601.27</v>
      </c>
      <c r="F1284" s="10">
        <v>607.05999999999995</v>
      </c>
      <c r="G1284" s="10">
        <v>598.4</v>
      </c>
      <c r="H1284" s="10">
        <v>606.03</v>
      </c>
      <c r="I1284" s="11">
        <v>4630401</v>
      </c>
      <c r="J1284" s="10">
        <v>484824000000</v>
      </c>
    </row>
    <row r="1285" spans="1:10" x14ac:dyDescent="0.25">
      <c r="A1285" s="14">
        <v>46017</v>
      </c>
      <c r="B1285" s="15" t="s">
        <v>73</v>
      </c>
      <c r="C1285" s="15" t="s">
        <v>74</v>
      </c>
      <c r="D1285" s="15" t="s">
        <v>75</v>
      </c>
      <c r="E1285" s="16">
        <v>95.87</v>
      </c>
      <c r="F1285" s="16">
        <v>96.52</v>
      </c>
      <c r="G1285" s="16">
        <v>95.11</v>
      </c>
      <c r="H1285" s="16">
        <v>95.41</v>
      </c>
      <c r="I1285" s="17">
        <v>4219957</v>
      </c>
      <c r="J1285" s="16">
        <v>20990200000</v>
      </c>
    </row>
    <row r="1286" spans="1:10" x14ac:dyDescent="0.25">
      <c r="A1286" s="8">
        <v>46017</v>
      </c>
      <c r="B1286" s="9" t="s">
        <v>76</v>
      </c>
      <c r="C1286" s="9" t="s">
        <v>77</v>
      </c>
      <c r="D1286" s="9" t="s">
        <v>75</v>
      </c>
      <c r="E1286" s="10">
        <v>94.35</v>
      </c>
      <c r="F1286" s="10">
        <v>95.42</v>
      </c>
      <c r="G1286" s="10">
        <v>93.82</v>
      </c>
      <c r="H1286" s="10">
        <v>95.27</v>
      </c>
      <c r="I1286" s="11">
        <v>802323</v>
      </c>
      <c r="J1286" s="10">
        <v>19054000000</v>
      </c>
    </row>
    <row r="1287" spans="1:10" x14ac:dyDescent="0.25">
      <c r="A1287" s="14">
        <v>46020</v>
      </c>
      <c r="B1287" s="15" t="s">
        <v>60</v>
      </c>
      <c r="C1287" s="15" t="s">
        <v>61</v>
      </c>
      <c r="D1287" s="15" t="s">
        <v>62</v>
      </c>
      <c r="E1287" s="16">
        <v>4942.88</v>
      </c>
      <c r="F1287" s="16">
        <v>4980.1499999999996</v>
      </c>
      <c r="G1287" s="16">
        <v>4937.63</v>
      </c>
      <c r="H1287" s="16">
        <v>4943.91</v>
      </c>
      <c r="I1287" s="17">
        <v>1562256</v>
      </c>
      <c r="J1287" s="16">
        <v>6921474000000</v>
      </c>
    </row>
    <row r="1288" spans="1:10" x14ac:dyDescent="0.25">
      <c r="A1288" s="8">
        <v>46020</v>
      </c>
      <c r="B1288" s="9" t="s">
        <v>65</v>
      </c>
      <c r="C1288" s="9" t="s">
        <v>66</v>
      </c>
      <c r="D1288" s="9" t="s">
        <v>67</v>
      </c>
      <c r="E1288" s="10">
        <v>115.21</v>
      </c>
      <c r="F1288" s="10">
        <v>116.78</v>
      </c>
      <c r="G1288" s="10">
        <v>114.68</v>
      </c>
      <c r="H1288" s="10">
        <v>116.49</v>
      </c>
      <c r="I1288" s="11">
        <v>840457</v>
      </c>
      <c r="J1288" s="10">
        <v>29122500000</v>
      </c>
    </row>
    <row r="1289" spans="1:10" x14ac:dyDescent="0.25">
      <c r="A1289" s="14">
        <v>46020</v>
      </c>
      <c r="B1289" s="15" t="s">
        <v>69</v>
      </c>
      <c r="C1289" s="15" t="s">
        <v>70</v>
      </c>
      <c r="D1289" s="15" t="s">
        <v>71</v>
      </c>
      <c r="E1289" s="16">
        <v>598.4</v>
      </c>
      <c r="F1289" s="16">
        <v>604.57000000000005</v>
      </c>
      <c r="G1289" s="16">
        <v>591.5</v>
      </c>
      <c r="H1289" s="16">
        <v>594.99</v>
      </c>
      <c r="I1289" s="17">
        <v>2707904</v>
      </c>
      <c r="J1289" s="16">
        <v>475992000000</v>
      </c>
    </row>
    <row r="1290" spans="1:10" x14ac:dyDescent="0.25">
      <c r="A1290" s="8">
        <v>46020</v>
      </c>
      <c r="B1290" s="9" t="s">
        <v>73</v>
      </c>
      <c r="C1290" s="9" t="s">
        <v>74</v>
      </c>
      <c r="D1290" s="9" t="s">
        <v>75</v>
      </c>
      <c r="E1290" s="10">
        <v>94.76</v>
      </c>
      <c r="F1290" s="10">
        <v>95.22</v>
      </c>
      <c r="G1290" s="10">
        <v>94.14</v>
      </c>
      <c r="H1290" s="10">
        <v>94.26</v>
      </c>
      <c r="I1290" s="11">
        <v>1909908</v>
      </c>
      <c r="J1290" s="10">
        <v>20737200000</v>
      </c>
    </row>
    <row r="1291" spans="1:10" x14ac:dyDescent="0.25">
      <c r="A1291" s="14">
        <v>46020</v>
      </c>
      <c r="B1291" s="15" t="s">
        <v>76</v>
      </c>
      <c r="C1291" s="15" t="s">
        <v>77</v>
      </c>
      <c r="D1291" s="15" t="s">
        <v>75</v>
      </c>
      <c r="E1291" s="16">
        <v>94.42</v>
      </c>
      <c r="F1291" s="16">
        <v>95.75</v>
      </c>
      <c r="G1291" s="16">
        <v>94.19</v>
      </c>
      <c r="H1291" s="16">
        <v>94.67</v>
      </c>
      <c r="I1291" s="17">
        <v>4371682</v>
      </c>
      <c r="J1291" s="16">
        <v>18934000000</v>
      </c>
    </row>
    <row r="1292" spans="1:10" x14ac:dyDescent="0.25">
      <c r="A1292" s="8">
        <v>46021</v>
      </c>
      <c r="B1292" s="9" t="s">
        <v>60</v>
      </c>
      <c r="C1292" s="9" t="s">
        <v>61</v>
      </c>
      <c r="D1292" s="9" t="s">
        <v>62</v>
      </c>
      <c r="E1292" s="10">
        <v>4871.0600000000004</v>
      </c>
      <c r="F1292" s="10">
        <v>4886.37</v>
      </c>
      <c r="G1292" s="10">
        <v>4864.6000000000004</v>
      </c>
      <c r="H1292" s="10">
        <v>4868.07</v>
      </c>
      <c r="I1292" s="11">
        <v>1444463</v>
      </c>
      <c r="J1292" s="10">
        <v>6815298000000</v>
      </c>
    </row>
    <row r="1293" spans="1:10" x14ac:dyDescent="0.25">
      <c r="A1293" s="14">
        <v>46021</v>
      </c>
      <c r="B1293" s="15" t="s">
        <v>65</v>
      </c>
      <c r="C1293" s="15" t="s">
        <v>66</v>
      </c>
      <c r="D1293" s="15" t="s">
        <v>67</v>
      </c>
      <c r="E1293" s="16">
        <v>116.13</v>
      </c>
      <c r="F1293" s="16">
        <v>117.74</v>
      </c>
      <c r="G1293" s="16">
        <v>115.83</v>
      </c>
      <c r="H1293" s="16">
        <v>116.36</v>
      </c>
      <c r="I1293" s="17">
        <v>4919657</v>
      </c>
      <c r="J1293" s="16">
        <v>29090000000</v>
      </c>
    </row>
    <row r="1294" spans="1:10" x14ac:dyDescent="0.25">
      <c r="A1294" s="8">
        <v>46021</v>
      </c>
      <c r="B1294" s="9" t="s">
        <v>69</v>
      </c>
      <c r="C1294" s="9" t="s">
        <v>70</v>
      </c>
      <c r="D1294" s="9" t="s">
        <v>71</v>
      </c>
      <c r="E1294" s="10">
        <v>602.94000000000005</v>
      </c>
      <c r="F1294" s="10">
        <v>611.38</v>
      </c>
      <c r="G1294" s="10">
        <v>597.52</v>
      </c>
      <c r="H1294" s="10">
        <v>597.79999999999995</v>
      </c>
      <c r="I1294" s="11">
        <v>1004052</v>
      </c>
      <c r="J1294" s="10">
        <v>478240000000</v>
      </c>
    </row>
    <row r="1295" spans="1:10" x14ac:dyDescent="0.25">
      <c r="A1295" s="14">
        <v>46021</v>
      </c>
      <c r="B1295" s="15" t="s">
        <v>73</v>
      </c>
      <c r="C1295" s="15" t="s">
        <v>74</v>
      </c>
      <c r="D1295" s="15" t="s">
        <v>75</v>
      </c>
      <c r="E1295" s="16">
        <v>93.91</v>
      </c>
      <c r="F1295" s="16">
        <v>94.16</v>
      </c>
      <c r="G1295" s="16">
        <v>93.33</v>
      </c>
      <c r="H1295" s="16">
        <v>93.38</v>
      </c>
      <c r="I1295" s="17">
        <v>3714220</v>
      </c>
      <c r="J1295" s="16">
        <v>20543600000</v>
      </c>
    </row>
    <row r="1296" spans="1:10" x14ac:dyDescent="0.25">
      <c r="A1296" s="8">
        <v>46021</v>
      </c>
      <c r="B1296" s="9" t="s">
        <v>76</v>
      </c>
      <c r="C1296" s="9" t="s">
        <v>77</v>
      </c>
      <c r="D1296" s="9" t="s">
        <v>75</v>
      </c>
      <c r="E1296" s="10">
        <v>96.38</v>
      </c>
      <c r="F1296" s="10">
        <v>97.08</v>
      </c>
      <c r="G1296" s="10">
        <v>95.8</v>
      </c>
      <c r="H1296" s="10">
        <v>96.87</v>
      </c>
      <c r="I1296" s="11">
        <v>1479104</v>
      </c>
      <c r="J1296" s="10">
        <v>19374000000</v>
      </c>
    </row>
    <row r="1297" spans="1:10" x14ac:dyDescent="0.25">
      <c r="A1297" s="14">
        <v>46022</v>
      </c>
      <c r="B1297" s="15" t="s">
        <v>60</v>
      </c>
      <c r="C1297" s="15" t="s">
        <v>61</v>
      </c>
      <c r="D1297" s="15" t="s">
        <v>62</v>
      </c>
      <c r="E1297" s="16">
        <v>4820.7299999999996</v>
      </c>
      <c r="F1297" s="16">
        <v>4825.12</v>
      </c>
      <c r="G1297" s="16">
        <v>4770.75</v>
      </c>
      <c r="H1297" s="16">
        <v>4797.95</v>
      </c>
      <c r="I1297" s="17">
        <v>1312023</v>
      </c>
      <c r="J1297" s="16">
        <v>6717130000000</v>
      </c>
    </row>
    <row r="1298" spans="1:10" x14ac:dyDescent="0.25">
      <c r="A1298" s="8">
        <v>46022</v>
      </c>
      <c r="B1298" s="9" t="s">
        <v>65</v>
      </c>
      <c r="C1298" s="9" t="s">
        <v>66</v>
      </c>
      <c r="D1298" s="9" t="s">
        <v>67</v>
      </c>
      <c r="E1298" s="10">
        <v>113.13</v>
      </c>
      <c r="F1298" s="10">
        <v>113.36</v>
      </c>
      <c r="G1298" s="10">
        <v>111.14</v>
      </c>
      <c r="H1298" s="10">
        <v>111.7</v>
      </c>
      <c r="I1298" s="11">
        <v>1057061</v>
      </c>
      <c r="J1298" s="10">
        <v>27925000000</v>
      </c>
    </row>
    <row r="1299" spans="1:10" x14ac:dyDescent="0.25">
      <c r="A1299" s="14">
        <v>46022</v>
      </c>
      <c r="B1299" s="15" t="s">
        <v>69</v>
      </c>
      <c r="C1299" s="15" t="s">
        <v>70</v>
      </c>
      <c r="D1299" s="15" t="s">
        <v>71</v>
      </c>
      <c r="E1299" s="16">
        <v>591.46</v>
      </c>
      <c r="F1299" s="16">
        <v>591.64</v>
      </c>
      <c r="G1299" s="16">
        <v>589.04999999999995</v>
      </c>
      <c r="H1299" s="16">
        <v>591.14</v>
      </c>
      <c r="I1299" s="17">
        <v>3062250</v>
      </c>
      <c r="J1299" s="16">
        <v>472912000000</v>
      </c>
    </row>
    <row r="1300" spans="1:10" x14ac:dyDescent="0.25">
      <c r="A1300" s="8">
        <v>46022</v>
      </c>
      <c r="B1300" s="9" t="s">
        <v>73</v>
      </c>
      <c r="C1300" s="9" t="s">
        <v>74</v>
      </c>
      <c r="D1300" s="9" t="s">
        <v>75</v>
      </c>
      <c r="E1300" s="10">
        <v>94.53</v>
      </c>
      <c r="F1300" s="10">
        <v>95.6</v>
      </c>
      <c r="G1300" s="10">
        <v>94.1</v>
      </c>
      <c r="H1300" s="10">
        <v>95.5</v>
      </c>
      <c r="I1300" s="11">
        <v>2128786</v>
      </c>
      <c r="J1300" s="10">
        <v>21010000000</v>
      </c>
    </row>
    <row r="1301" spans="1:10" x14ac:dyDescent="0.25">
      <c r="A1301" s="14">
        <v>46022</v>
      </c>
      <c r="B1301" s="15" t="s">
        <v>76</v>
      </c>
      <c r="C1301" s="15" t="s">
        <v>77</v>
      </c>
      <c r="D1301" s="15" t="s">
        <v>75</v>
      </c>
      <c r="E1301" s="16">
        <v>94.64</v>
      </c>
      <c r="F1301" s="16">
        <v>94.93</v>
      </c>
      <c r="G1301" s="16">
        <v>94.27</v>
      </c>
      <c r="H1301" s="16">
        <v>94.91</v>
      </c>
      <c r="I1301" s="17">
        <v>3986586</v>
      </c>
      <c r="J1301" s="16">
        <v>18982000000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304"/>
  <sheetViews>
    <sheetView showGridLines="0" topLeftCell="G1" workbookViewId="0">
      <pane ySplit="1" topLeftCell="A905" activePane="bottomLeft" state="frozen"/>
      <selection pane="bottomLeft" activeCell="O1100" sqref="O1100"/>
    </sheetView>
  </sheetViews>
  <sheetFormatPr defaultRowHeight="15" x14ac:dyDescent="0.25"/>
  <cols>
    <col min="1" max="1" width="13" customWidth="1"/>
    <col min="2" max="2" width="8" customWidth="1"/>
    <col min="3" max="3" width="18" customWidth="1"/>
    <col min="4" max="8" width="12" customWidth="1"/>
    <col min="9" max="9" width="14" customWidth="1"/>
    <col min="10" max="10" width="16" customWidth="1"/>
    <col min="11" max="12" width="28" customWidth="1"/>
    <col min="13" max="19" width="14" customWidth="1"/>
  </cols>
  <sheetData>
    <row r="1" spans="1:18" x14ac:dyDescent="0.25">
      <c r="A1" s="6" t="s">
        <v>49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  <c r="I1" s="6" t="s">
        <v>57</v>
      </c>
      <c r="J1" s="6" t="s">
        <v>58</v>
      </c>
      <c r="K1" s="18" t="s">
        <v>89</v>
      </c>
      <c r="L1" s="18" t="s">
        <v>90</v>
      </c>
      <c r="M1" s="18" t="s">
        <v>91</v>
      </c>
      <c r="N1" s="18" t="s">
        <v>92</v>
      </c>
      <c r="O1" s="18" t="s">
        <v>93</v>
      </c>
      <c r="P1" s="18" t="s">
        <v>94</v>
      </c>
      <c r="Q1" s="18" t="s">
        <v>95</v>
      </c>
      <c r="R1" s="19" t="s">
        <v>96</v>
      </c>
    </row>
    <row r="2" spans="1:18" x14ac:dyDescent="0.25">
      <c r="A2" s="8">
        <v>45659</v>
      </c>
      <c r="B2" s="9" t="s">
        <v>60</v>
      </c>
      <c r="C2" s="9" t="s">
        <v>61</v>
      </c>
      <c r="D2" s="9" t="s">
        <v>62</v>
      </c>
      <c r="E2" s="10">
        <v>3193.72</v>
      </c>
      <c r="F2" s="10">
        <v>3198.14</v>
      </c>
      <c r="G2" s="10">
        <v>3190.88</v>
      </c>
      <c r="H2" s="10">
        <v>3196.23</v>
      </c>
      <c r="I2" s="11">
        <v>4874866</v>
      </c>
      <c r="J2" s="10">
        <v>4474722000000</v>
      </c>
      <c r="K2" s="30">
        <f>((H2-E2)/E2)*100</f>
        <v>7.8591736282461147E-2</v>
      </c>
      <c r="L2" s="31">
        <f>F2-G2</f>
        <v>7.2599999999997635</v>
      </c>
      <c r="M2" s="30">
        <f>L2/E2</f>
        <v>2.2732111769346603E-3</v>
      </c>
      <c r="N2" s="20" t="str">
        <f>IF(I2&gt;2000000,"High volume","Normal")</f>
        <v>High volume</v>
      </c>
      <c r="O2" s="32">
        <f>J2/1000000000</f>
        <v>4474.7219999999998</v>
      </c>
      <c r="P2" s="20">
        <f>MONTH(A2)</f>
        <v>1</v>
      </c>
      <c r="Q2" s="20" t="str" cm="1">
        <f t="array" ref="Q2">_xlfn.IFS(P2&lt;=3,"Q1",P2&lt;=6,"Q2",P2&lt;=9,"Q3",P2&lt;=12,"Q4")</f>
        <v>Q1</v>
      </c>
    </row>
    <row r="3" spans="1:18" x14ac:dyDescent="0.25">
      <c r="A3" s="14">
        <v>45659</v>
      </c>
      <c r="B3" s="15" t="s">
        <v>65</v>
      </c>
      <c r="C3" s="15" t="s">
        <v>66</v>
      </c>
      <c r="D3" s="15" t="s">
        <v>67</v>
      </c>
      <c r="E3" s="16">
        <v>179.91</v>
      </c>
      <c r="F3" s="16">
        <v>181.2</v>
      </c>
      <c r="G3" s="16">
        <v>179.13</v>
      </c>
      <c r="H3" s="16">
        <v>179.19</v>
      </c>
      <c r="I3" s="17">
        <v>2134068</v>
      </c>
      <c r="J3" s="16">
        <v>44797500000</v>
      </c>
      <c r="K3" s="30">
        <f t="shared" ref="K3:K66" si="0">((H3-E3)/E3)*100</f>
        <v>-0.40020010005002438</v>
      </c>
      <c r="L3" s="31">
        <f t="shared" ref="L3:L66" si="1">F3-G3</f>
        <v>2.0699999999999932</v>
      </c>
      <c r="M3" s="30">
        <f t="shared" ref="M3:M66" si="2">L3/E3</f>
        <v>1.1505752876438182E-2</v>
      </c>
      <c r="N3" s="20" t="str">
        <f>IF(I3&gt;2000000,"High volume","Normal")</f>
        <v>High volume</v>
      </c>
      <c r="O3" s="32">
        <f t="shared" ref="O3:O66" si="3">J3/1000000000</f>
        <v>44.797499999999999</v>
      </c>
      <c r="P3" s="20">
        <f t="shared" ref="P3:P66" si="4">MONTH(A3)</f>
        <v>1</v>
      </c>
      <c r="Q3" s="20" t="str" cm="1">
        <f t="array" ref="Q3">_xlfn.IFS(P3&lt;=3,"Q1",P3&lt;=6,"Q2",P3&lt;=9,"Q3",P3&lt;=12,"Q4")</f>
        <v>Q1</v>
      </c>
    </row>
    <row r="4" spans="1:18" x14ac:dyDescent="0.25">
      <c r="A4" s="8">
        <v>45659</v>
      </c>
      <c r="B4" s="9" t="s">
        <v>69</v>
      </c>
      <c r="C4" s="9" t="s">
        <v>70</v>
      </c>
      <c r="D4" s="9" t="s">
        <v>71</v>
      </c>
      <c r="E4" s="10">
        <v>621.5</v>
      </c>
      <c r="F4" s="10">
        <v>628.21</v>
      </c>
      <c r="G4" s="10">
        <v>614.19000000000005</v>
      </c>
      <c r="H4" s="10">
        <v>624.02</v>
      </c>
      <c r="I4" s="11">
        <v>3819187</v>
      </c>
      <c r="J4" s="10">
        <v>499216000000</v>
      </c>
      <c r="K4" s="30">
        <f t="shared" si="0"/>
        <v>0.40547063555912821</v>
      </c>
      <c r="L4" s="31">
        <f t="shared" si="1"/>
        <v>14.019999999999982</v>
      </c>
      <c r="M4" s="30">
        <f t="shared" si="2"/>
        <v>2.2558326629123059E-2</v>
      </c>
      <c r="N4" s="20" t="str">
        <f t="shared" ref="N4:N67" si="5">IF(I4&gt;2000000,"High volume","Normal")</f>
        <v>High volume</v>
      </c>
      <c r="O4" s="32">
        <f t="shared" si="3"/>
        <v>499.21600000000001</v>
      </c>
      <c r="P4" s="20">
        <f t="shared" si="4"/>
        <v>1</v>
      </c>
      <c r="Q4" s="20" t="str" cm="1">
        <f t="array" ref="Q4">_xlfn.IFS(P4&lt;=3,"Q1",P4&lt;=6,"Q2",P4&lt;=9,"Q3",P4&lt;=12,"Q4")</f>
        <v>Q1</v>
      </c>
    </row>
    <row r="5" spans="1:18" x14ac:dyDescent="0.25">
      <c r="A5" s="14">
        <v>45659</v>
      </c>
      <c r="B5" s="15" t="s">
        <v>73</v>
      </c>
      <c r="C5" s="15" t="s">
        <v>74</v>
      </c>
      <c r="D5" s="15" t="s">
        <v>75</v>
      </c>
      <c r="E5" s="16">
        <v>118.95</v>
      </c>
      <c r="F5" s="16">
        <v>119.18</v>
      </c>
      <c r="G5" s="16">
        <v>117.7</v>
      </c>
      <c r="H5" s="16">
        <v>118.9</v>
      </c>
      <c r="I5" s="17">
        <v>354515</v>
      </c>
      <c r="J5" s="16">
        <v>26158000000</v>
      </c>
      <c r="K5" s="30">
        <f t="shared" si="0"/>
        <v>-4.203446826397407E-2</v>
      </c>
      <c r="L5" s="31">
        <f t="shared" si="1"/>
        <v>1.480000000000004</v>
      </c>
      <c r="M5" s="30">
        <f t="shared" si="2"/>
        <v>1.2442202606137065E-2</v>
      </c>
      <c r="N5" s="20" t="str">
        <f t="shared" si="5"/>
        <v>Normal</v>
      </c>
      <c r="O5" s="32">
        <f t="shared" si="3"/>
        <v>26.158000000000001</v>
      </c>
      <c r="P5" s="20">
        <f t="shared" si="4"/>
        <v>1</v>
      </c>
      <c r="Q5" s="20" t="str" cm="1">
        <f t="array" ref="Q5">_xlfn.IFS(P5&lt;=3,"Q1",P5&lt;=6,"Q2",P5&lt;=9,"Q3",P5&lt;=12,"Q4")</f>
        <v>Q1</v>
      </c>
    </row>
    <row r="6" spans="1:18" x14ac:dyDescent="0.25">
      <c r="A6" s="8">
        <v>45659</v>
      </c>
      <c r="B6" s="9" t="s">
        <v>76</v>
      </c>
      <c r="C6" s="9" t="s">
        <v>77</v>
      </c>
      <c r="D6" s="9" t="s">
        <v>75</v>
      </c>
      <c r="E6" s="10">
        <v>130.09</v>
      </c>
      <c r="F6" s="10">
        <v>130.69999999999999</v>
      </c>
      <c r="G6" s="10">
        <v>129.35</v>
      </c>
      <c r="H6" s="10">
        <v>129.63999999999999</v>
      </c>
      <c r="I6" s="11">
        <v>3123559</v>
      </c>
      <c r="J6" s="10">
        <v>25928000000</v>
      </c>
      <c r="K6" s="30">
        <f t="shared" si="0"/>
        <v>-0.34591436697672151</v>
      </c>
      <c r="L6" s="31">
        <f t="shared" si="1"/>
        <v>1.3499999999999943</v>
      </c>
      <c r="M6" s="30">
        <f t="shared" si="2"/>
        <v>1.0377431009301209E-2</v>
      </c>
      <c r="N6" s="20" t="str">
        <f t="shared" si="5"/>
        <v>High volume</v>
      </c>
      <c r="O6" s="32">
        <f t="shared" si="3"/>
        <v>25.928000000000001</v>
      </c>
      <c r="P6" s="20">
        <f t="shared" si="4"/>
        <v>1</v>
      </c>
      <c r="Q6" s="20" t="str" cm="1">
        <f t="array" ref="Q6">_xlfn.IFS(P6&lt;=3,"Q1",P6&lt;=6,"Q2",P6&lt;=9,"Q3",P6&lt;=12,"Q4")</f>
        <v>Q1</v>
      </c>
    </row>
    <row r="7" spans="1:18" x14ac:dyDescent="0.25">
      <c r="A7" s="14">
        <v>45660</v>
      </c>
      <c r="B7" s="15" t="s">
        <v>60</v>
      </c>
      <c r="C7" s="15" t="s">
        <v>61</v>
      </c>
      <c r="D7" s="15" t="s">
        <v>62</v>
      </c>
      <c r="E7" s="16">
        <v>3214.95</v>
      </c>
      <c r="F7" s="16">
        <v>3235.09</v>
      </c>
      <c r="G7" s="16">
        <v>3199.89</v>
      </c>
      <c r="H7" s="16">
        <v>3212.53</v>
      </c>
      <c r="I7" s="17">
        <v>3185309</v>
      </c>
      <c r="J7" s="16">
        <v>4497542000000</v>
      </c>
      <c r="K7" s="30">
        <f t="shared" si="0"/>
        <v>-7.527333240018097E-2</v>
      </c>
      <c r="L7" s="31">
        <f t="shared" si="1"/>
        <v>35.200000000000273</v>
      </c>
      <c r="M7" s="30">
        <f t="shared" si="2"/>
        <v>1.0948848349119045E-2</v>
      </c>
      <c r="N7" s="20" t="str">
        <f t="shared" si="5"/>
        <v>High volume</v>
      </c>
      <c r="O7" s="32">
        <f t="shared" si="3"/>
        <v>4497.5420000000004</v>
      </c>
      <c r="P7" s="20">
        <f t="shared" si="4"/>
        <v>1</v>
      </c>
      <c r="Q7" s="20" t="str" cm="1">
        <f t="array" ref="Q7">_xlfn.IFS(P7&lt;=3,"Q1",P7&lt;=6,"Q2",P7&lt;=9,"Q3",P7&lt;=12,"Q4")</f>
        <v>Q1</v>
      </c>
    </row>
    <row r="8" spans="1:18" x14ac:dyDescent="0.25">
      <c r="A8" s="8">
        <v>45660</v>
      </c>
      <c r="B8" s="9" t="s">
        <v>65</v>
      </c>
      <c r="C8" s="9" t="s">
        <v>66</v>
      </c>
      <c r="D8" s="9" t="s">
        <v>67</v>
      </c>
      <c r="E8" s="10">
        <v>175.35</v>
      </c>
      <c r="F8" s="10">
        <v>176.89</v>
      </c>
      <c r="G8" s="10">
        <v>175.13</v>
      </c>
      <c r="H8" s="10">
        <v>176.84</v>
      </c>
      <c r="I8" s="11">
        <v>3475376</v>
      </c>
      <c r="J8" s="10">
        <v>44210000000</v>
      </c>
      <c r="K8" s="30">
        <f t="shared" si="0"/>
        <v>0.84972911320217226</v>
      </c>
      <c r="L8" s="31">
        <f t="shared" si="1"/>
        <v>1.7599999999999909</v>
      </c>
      <c r="M8" s="30">
        <f t="shared" si="2"/>
        <v>1.0037068719703399E-2</v>
      </c>
      <c r="N8" s="20" t="str">
        <f t="shared" si="5"/>
        <v>High volume</v>
      </c>
      <c r="O8" s="32">
        <f t="shared" si="3"/>
        <v>44.21</v>
      </c>
      <c r="P8" s="20">
        <f t="shared" si="4"/>
        <v>1</v>
      </c>
      <c r="Q8" s="20" t="str" cm="1">
        <f t="array" ref="Q8">_xlfn.IFS(P8&lt;=3,"Q1",P8&lt;=6,"Q2",P8&lt;=9,"Q3",P8&lt;=12,"Q4")</f>
        <v>Q1</v>
      </c>
    </row>
    <row r="9" spans="1:18" x14ac:dyDescent="0.25">
      <c r="A9" s="14">
        <v>45660</v>
      </c>
      <c r="B9" s="15" t="s">
        <v>69</v>
      </c>
      <c r="C9" s="15" t="s">
        <v>70</v>
      </c>
      <c r="D9" s="15" t="s">
        <v>71</v>
      </c>
      <c r="E9" s="16">
        <v>612.64</v>
      </c>
      <c r="F9" s="16">
        <v>616.23</v>
      </c>
      <c r="G9" s="16">
        <v>610.70000000000005</v>
      </c>
      <c r="H9" s="16">
        <v>614.17999999999995</v>
      </c>
      <c r="I9" s="17">
        <v>3333614</v>
      </c>
      <c r="J9" s="16">
        <v>491344000000</v>
      </c>
      <c r="K9" s="30">
        <f t="shared" si="0"/>
        <v>0.25137111517366867</v>
      </c>
      <c r="L9" s="31">
        <f t="shared" si="1"/>
        <v>5.5299999999999727</v>
      </c>
      <c r="M9" s="30">
        <f t="shared" si="2"/>
        <v>9.0265082266909984E-3</v>
      </c>
      <c r="N9" s="20" t="str">
        <f t="shared" si="5"/>
        <v>High volume</v>
      </c>
      <c r="O9" s="32">
        <f t="shared" si="3"/>
        <v>491.34399999999999</v>
      </c>
      <c r="P9" s="20">
        <f t="shared" si="4"/>
        <v>1</v>
      </c>
      <c r="Q9" s="20" t="str" cm="1">
        <f t="array" ref="Q9">_xlfn.IFS(P9&lt;=3,"Q1",P9&lt;=6,"Q2",P9&lt;=9,"Q3",P9&lt;=12,"Q4")</f>
        <v>Q1</v>
      </c>
    </row>
    <row r="10" spans="1:18" x14ac:dyDescent="0.25">
      <c r="A10" s="8">
        <v>45660</v>
      </c>
      <c r="B10" s="9" t="s">
        <v>73</v>
      </c>
      <c r="C10" s="9" t="s">
        <v>74</v>
      </c>
      <c r="D10" s="9" t="s">
        <v>75</v>
      </c>
      <c r="E10" s="10">
        <v>116.46</v>
      </c>
      <c r="F10" s="10">
        <v>117.14</v>
      </c>
      <c r="G10" s="10">
        <v>115.82</v>
      </c>
      <c r="H10" s="10">
        <v>116.2</v>
      </c>
      <c r="I10" s="11">
        <v>969343</v>
      </c>
      <c r="J10" s="10">
        <v>25564000000</v>
      </c>
      <c r="K10" s="30">
        <f t="shared" si="0"/>
        <v>-0.22325261892494497</v>
      </c>
      <c r="L10" s="31">
        <f t="shared" si="1"/>
        <v>1.3200000000000074</v>
      </c>
      <c r="M10" s="30">
        <f t="shared" si="2"/>
        <v>1.1334363730036127E-2</v>
      </c>
      <c r="N10" s="20" t="str">
        <f t="shared" si="5"/>
        <v>Normal</v>
      </c>
      <c r="O10" s="32">
        <f t="shared" si="3"/>
        <v>25.564</v>
      </c>
      <c r="P10" s="20">
        <f t="shared" si="4"/>
        <v>1</v>
      </c>
      <c r="Q10" s="20" t="str" cm="1">
        <f t="array" ref="Q10">_xlfn.IFS(P10&lt;=3,"Q1",P10&lt;=6,"Q2",P10&lt;=9,"Q3",P10&lt;=12,"Q4")</f>
        <v>Q1</v>
      </c>
    </row>
    <row r="11" spans="1:18" x14ac:dyDescent="0.25">
      <c r="A11" s="14">
        <v>45660</v>
      </c>
      <c r="B11" s="15" t="s">
        <v>76</v>
      </c>
      <c r="C11" s="15" t="s">
        <v>77</v>
      </c>
      <c r="D11" s="15" t="s">
        <v>75</v>
      </c>
      <c r="E11" s="16">
        <v>130.06</v>
      </c>
      <c r="F11" s="16">
        <v>131.34</v>
      </c>
      <c r="G11" s="16">
        <v>128.41</v>
      </c>
      <c r="H11" s="16">
        <v>129.52000000000001</v>
      </c>
      <c r="I11" s="17">
        <v>4103481</v>
      </c>
      <c r="J11" s="16">
        <v>25904000000</v>
      </c>
      <c r="K11" s="30">
        <f t="shared" si="0"/>
        <v>-0.41519298785175462</v>
      </c>
      <c r="L11" s="31">
        <f t="shared" si="1"/>
        <v>2.9300000000000068</v>
      </c>
      <c r="M11" s="30">
        <f t="shared" si="2"/>
        <v>2.2528063970475218E-2</v>
      </c>
      <c r="N11" s="20" t="str">
        <f t="shared" si="5"/>
        <v>High volume</v>
      </c>
      <c r="O11" s="32">
        <f t="shared" si="3"/>
        <v>25.904</v>
      </c>
      <c r="P11" s="20">
        <f t="shared" si="4"/>
        <v>1</v>
      </c>
      <c r="Q11" s="20" t="str" cm="1">
        <f t="array" ref="Q11">_xlfn.IFS(P11&lt;=3,"Q1",P11&lt;=6,"Q2",P11&lt;=9,"Q3",P11&lt;=12,"Q4")</f>
        <v>Q1</v>
      </c>
    </row>
    <row r="12" spans="1:18" x14ac:dyDescent="0.25">
      <c r="A12" s="8">
        <v>45663</v>
      </c>
      <c r="B12" s="9" t="s">
        <v>60</v>
      </c>
      <c r="C12" s="9" t="s">
        <v>61</v>
      </c>
      <c r="D12" s="9" t="s">
        <v>62</v>
      </c>
      <c r="E12" s="10">
        <v>3182.96</v>
      </c>
      <c r="F12" s="10">
        <v>3201.23</v>
      </c>
      <c r="G12" s="10">
        <v>3170.99</v>
      </c>
      <c r="H12" s="10">
        <v>3179.06</v>
      </c>
      <c r="I12" s="11">
        <v>898967</v>
      </c>
      <c r="J12" s="10">
        <v>4450684000000</v>
      </c>
      <c r="K12" s="30">
        <f t="shared" si="0"/>
        <v>-0.12252745871767447</v>
      </c>
      <c r="L12" s="31">
        <f t="shared" si="1"/>
        <v>30.240000000000236</v>
      </c>
      <c r="M12" s="30">
        <f t="shared" si="2"/>
        <v>9.5005906451856876E-3</v>
      </c>
      <c r="N12" s="20" t="str">
        <f t="shared" si="5"/>
        <v>Normal</v>
      </c>
      <c r="O12" s="32">
        <f t="shared" si="3"/>
        <v>4450.6840000000002</v>
      </c>
      <c r="P12" s="20">
        <f t="shared" si="4"/>
        <v>1</v>
      </c>
      <c r="Q12" s="20" t="str" cm="1">
        <f t="array" ref="Q12">_xlfn.IFS(P12&lt;=3,"Q1",P12&lt;=6,"Q2",P12&lt;=9,"Q3",P12&lt;=12,"Q4")</f>
        <v>Q1</v>
      </c>
    </row>
    <row r="13" spans="1:18" x14ac:dyDescent="0.25">
      <c r="A13" s="14">
        <v>45663</v>
      </c>
      <c r="B13" s="15" t="s">
        <v>65</v>
      </c>
      <c r="C13" s="15" t="s">
        <v>66</v>
      </c>
      <c r="D13" s="15" t="s">
        <v>67</v>
      </c>
      <c r="E13" s="16">
        <v>178.2</v>
      </c>
      <c r="F13" s="16">
        <v>178.88</v>
      </c>
      <c r="G13" s="16">
        <v>177.65</v>
      </c>
      <c r="H13" s="16">
        <v>178.55</v>
      </c>
      <c r="I13" s="17">
        <v>1670719</v>
      </c>
      <c r="J13" s="16">
        <v>44637500000</v>
      </c>
      <c r="K13" s="30">
        <f t="shared" si="0"/>
        <v>0.19640852974187584</v>
      </c>
      <c r="L13" s="31">
        <f t="shared" si="1"/>
        <v>1.2299999999999898</v>
      </c>
      <c r="M13" s="30">
        <f t="shared" si="2"/>
        <v>6.9023569023568456E-3</v>
      </c>
      <c r="N13" s="20" t="str">
        <f t="shared" si="5"/>
        <v>Normal</v>
      </c>
      <c r="O13" s="32">
        <f t="shared" si="3"/>
        <v>44.637500000000003</v>
      </c>
      <c r="P13" s="20">
        <f t="shared" si="4"/>
        <v>1</v>
      </c>
      <c r="Q13" s="20" t="str" cm="1">
        <f t="array" ref="Q13">_xlfn.IFS(P13&lt;=3,"Q1",P13&lt;=6,"Q2",P13&lt;=9,"Q3",P13&lt;=12,"Q4")</f>
        <v>Q1</v>
      </c>
    </row>
    <row r="14" spans="1:18" x14ac:dyDescent="0.25">
      <c r="A14" s="8">
        <v>45663</v>
      </c>
      <c r="B14" s="9" t="s">
        <v>69</v>
      </c>
      <c r="C14" s="9" t="s">
        <v>70</v>
      </c>
      <c r="D14" s="9" t="s">
        <v>71</v>
      </c>
      <c r="E14" s="10">
        <v>607.20000000000005</v>
      </c>
      <c r="F14" s="10">
        <v>608.11</v>
      </c>
      <c r="G14" s="10">
        <v>600.58000000000004</v>
      </c>
      <c r="H14" s="10">
        <v>602.23</v>
      </c>
      <c r="I14" s="11">
        <v>3020280</v>
      </c>
      <c r="J14" s="10">
        <v>481784000000</v>
      </c>
      <c r="K14" s="30">
        <f t="shared" si="0"/>
        <v>-0.81851119894598601</v>
      </c>
      <c r="L14" s="31">
        <f t="shared" si="1"/>
        <v>7.5299999999999727</v>
      </c>
      <c r="M14" s="30">
        <f t="shared" si="2"/>
        <v>1.2401185770750943E-2</v>
      </c>
      <c r="N14" s="20" t="str">
        <f t="shared" si="5"/>
        <v>High volume</v>
      </c>
      <c r="O14" s="32">
        <f t="shared" si="3"/>
        <v>481.78399999999999</v>
      </c>
      <c r="P14" s="20">
        <f t="shared" si="4"/>
        <v>1</v>
      </c>
      <c r="Q14" s="20" t="str" cm="1">
        <f t="array" ref="Q14">_xlfn.IFS(P14&lt;=3,"Q1",P14&lt;=6,"Q2",P14&lt;=9,"Q3",P14&lt;=12,"Q4")</f>
        <v>Q1</v>
      </c>
    </row>
    <row r="15" spans="1:18" x14ac:dyDescent="0.25">
      <c r="A15" s="14">
        <v>45663</v>
      </c>
      <c r="B15" s="15" t="s">
        <v>73</v>
      </c>
      <c r="C15" s="15" t="s">
        <v>74</v>
      </c>
      <c r="D15" s="15" t="s">
        <v>75</v>
      </c>
      <c r="E15" s="16">
        <v>115.02</v>
      </c>
      <c r="F15" s="16">
        <v>115.9</v>
      </c>
      <c r="G15" s="16">
        <v>113.69</v>
      </c>
      <c r="H15" s="16">
        <v>114.2</v>
      </c>
      <c r="I15" s="17">
        <v>569276</v>
      </c>
      <c r="J15" s="16">
        <v>25124000000</v>
      </c>
      <c r="K15" s="30">
        <f t="shared" si="0"/>
        <v>-0.7129194922622093</v>
      </c>
      <c r="L15" s="31">
        <f t="shared" si="1"/>
        <v>2.210000000000008</v>
      </c>
      <c r="M15" s="30">
        <f t="shared" si="2"/>
        <v>1.9214049730481724E-2</v>
      </c>
      <c r="N15" s="20" t="str">
        <f t="shared" si="5"/>
        <v>Normal</v>
      </c>
      <c r="O15" s="32">
        <f t="shared" si="3"/>
        <v>25.123999999999999</v>
      </c>
      <c r="P15" s="20">
        <f t="shared" si="4"/>
        <v>1</v>
      </c>
      <c r="Q15" s="20" t="str" cm="1">
        <f t="array" ref="Q15">_xlfn.IFS(P15&lt;=3,"Q1",P15&lt;=6,"Q2",P15&lt;=9,"Q3",P15&lt;=12,"Q4")</f>
        <v>Q1</v>
      </c>
    </row>
    <row r="16" spans="1:18" x14ac:dyDescent="0.25">
      <c r="A16" s="8">
        <v>45663</v>
      </c>
      <c r="B16" s="9" t="s">
        <v>76</v>
      </c>
      <c r="C16" s="9" t="s">
        <v>77</v>
      </c>
      <c r="D16" s="9" t="s">
        <v>75</v>
      </c>
      <c r="E16" s="10">
        <v>130.21</v>
      </c>
      <c r="F16" s="10">
        <v>131.19999999999999</v>
      </c>
      <c r="G16" s="10">
        <v>128.1</v>
      </c>
      <c r="H16" s="10">
        <v>129.86000000000001</v>
      </c>
      <c r="I16" s="11">
        <v>2939709</v>
      </c>
      <c r="J16" s="10">
        <v>25972000000</v>
      </c>
      <c r="K16" s="30">
        <f t="shared" si="0"/>
        <v>-0.26879655940403524</v>
      </c>
      <c r="L16" s="31">
        <f t="shared" si="1"/>
        <v>3.0999999999999943</v>
      </c>
      <c r="M16" s="30">
        <f t="shared" si="2"/>
        <v>2.3807695261500606E-2</v>
      </c>
      <c r="N16" s="20" t="str">
        <f t="shared" si="5"/>
        <v>High volume</v>
      </c>
      <c r="O16" s="32">
        <f t="shared" si="3"/>
        <v>25.972000000000001</v>
      </c>
      <c r="P16" s="20">
        <f t="shared" si="4"/>
        <v>1</v>
      </c>
      <c r="Q16" s="20" t="str" cm="1">
        <f t="array" ref="Q16">_xlfn.IFS(P16&lt;=3,"Q1",P16&lt;=6,"Q2",P16&lt;=9,"Q3",P16&lt;=12,"Q4")</f>
        <v>Q1</v>
      </c>
    </row>
    <row r="17" spans="1:17" x14ac:dyDescent="0.25">
      <c r="A17" s="14">
        <v>45664</v>
      </c>
      <c r="B17" s="15" t="s">
        <v>60</v>
      </c>
      <c r="C17" s="15" t="s">
        <v>61</v>
      </c>
      <c r="D17" s="15" t="s">
        <v>62</v>
      </c>
      <c r="E17" s="16">
        <v>3222.28</v>
      </c>
      <c r="F17" s="16">
        <v>3229.33</v>
      </c>
      <c r="G17" s="16">
        <v>3192.79</v>
      </c>
      <c r="H17" s="16">
        <v>3225.12</v>
      </c>
      <c r="I17" s="17">
        <v>4149128</v>
      </c>
      <c r="J17" s="16">
        <v>4515168000000</v>
      </c>
      <c r="K17" s="30">
        <f t="shared" si="0"/>
        <v>8.8136350658530316E-2</v>
      </c>
      <c r="L17" s="31">
        <f t="shared" si="1"/>
        <v>36.539999999999964</v>
      </c>
      <c r="M17" s="30">
        <f t="shared" si="2"/>
        <v>1.1339796665714948E-2</v>
      </c>
      <c r="N17" s="20" t="str">
        <f t="shared" si="5"/>
        <v>High volume</v>
      </c>
      <c r="O17" s="32">
        <f t="shared" si="3"/>
        <v>4515.1679999999997</v>
      </c>
      <c r="P17" s="20">
        <f t="shared" si="4"/>
        <v>1</v>
      </c>
      <c r="Q17" s="20" t="str" cm="1">
        <f t="array" ref="Q17">_xlfn.IFS(P17&lt;=3,"Q1",P17&lt;=6,"Q2",P17&lt;=9,"Q3",P17&lt;=12,"Q4")</f>
        <v>Q1</v>
      </c>
    </row>
    <row r="18" spans="1:17" x14ac:dyDescent="0.25">
      <c r="A18" s="8">
        <v>45664</v>
      </c>
      <c r="B18" s="9" t="s">
        <v>65</v>
      </c>
      <c r="C18" s="9" t="s">
        <v>66</v>
      </c>
      <c r="D18" s="9" t="s">
        <v>67</v>
      </c>
      <c r="E18" s="10">
        <v>179.5</v>
      </c>
      <c r="F18" s="10">
        <v>180.12</v>
      </c>
      <c r="G18" s="10">
        <v>179.44</v>
      </c>
      <c r="H18" s="10">
        <v>179.95</v>
      </c>
      <c r="I18" s="11">
        <v>3893963</v>
      </c>
      <c r="J18" s="10">
        <v>44987500000</v>
      </c>
      <c r="K18" s="30">
        <f t="shared" si="0"/>
        <v>0.25069637883007723</v>
      </c>
      <c r="L18" s="31">
        <f t="shared" si="1"/>
        <v>0.68000000000000682</v>
      </c>
      <c r="M18" s="30">
        <f t="shared" si="2"/>
        <v>3.7883008356546341E-3</v>
      </c>
      <c r="N18" s="20" t="str">
        <f t="shared" si="5"/>
        <v>High volume</v>
      </c>
      <c r="O18" s="32">
        <f t="shared" si="3"/>
        <v>44.987499999999997</v>
      </c>
      <c r="P18" s="20">
        <f t="shared" si="4"/>
        <v>1</v>
      </c>
      <c r="Q18" s="20" t="str" cm="1">
        <f t="array" ref="Q18">_xlfn.IFS(P18&lt;=3,"Q1",P18&lt;=6,"Q2",P18&lt;=9,"Q3",P18&lt;=12,"Q4")</f>
        <v>Q1</v>
      </c>
    </row>
    <row r="19" spans="1:17" x14ac:dyDescent="0.25">
      <c r="A19" s="14">
        <v>45664</v>
      </c>
      <c r="B19" s="15" t="s">
        <v>69</v>
      </c>
      <c r="C19" s="15" t="s">
        <v>70</v>
      </c>
      <c r="D19" s="15" t="s">
        <v>71</v>
      </c>
      <c r="E19" s="16">
        <v>591.11</v>
      </c>
      <c r="F19" s="16">
        <v>594.92999999999995</v>
      </c>
      <c r="G19" s="16">
        <v>588.25</v>
      </c>
      <c r="H19" s="16">
        <v>589.72</v>
      </c>
      <c r="I19" s="17">
        <v>1460410</v>
      </c>
      <c r="J19" s="16">
        <v>471776000000</v>
      </c>
      <c r="K19" s="30">
        <f t="shared" si="0"/>
        <v>-0.23515081795266302</v>
      </c>
      <c r="L19" s="31">
        <f t="shared" si="1"/>
        <v>6.67999999999995</v>
      </c>
      <c r="M19" s="30">
        <f t="shared" si="2"/>
        <v>1.1300773121753904E-2</v>
      </c>
      <c r="N19" s="20" t="str">
        <f t="shared" si="5"/>
        <v>Normal</v>
      </c>
      <c r="O19" s="32">
        <f t="shared" si="3"/>
        <v>471.77600000000001</v>
      </c>
      <c r="P19" s="20">
        <f t="shared" si="4"/>
        <v>1</v>
      </c>
      <c r="Q19" s="20" t="str" cm="1">
        <f t="array" ref="Q19">_xlfn.IFS(P19&lt;=3,"Q1",P19&lt;=6,"Q2",P19&lt;=9,"Q3",P19&lt;=12,"Q4")</f>
        <v>Q1</v>
      </c>
    </row>
    <row r="20" spans="1:17" x14ac:dyDescent="0.25">
      <c r="A20" s="8">
        <v>45664</v>
      </c>
      <c r="B20" s="9" t="s">
        <v>73</v>
      </c>
      <c r="C20" s="9" t="s">
        <v>74</v>
      </c>
      <c r="D20" s="9" t="s">
        <v>75</v>
      </c>
      <c r="E20" s="10">
        <v>113.48</v>
      </c>
      <c r="F20" s="10">
        <v>113.5</v>
      </c>
      <c r="G20" s="10">
        <v>113.06</v>
      </c>
      <c r="H20" s="10">
        <v>113.34</v>
      </c>
      <c r="I20" s="11">
        <v>3841334</v>
      </c>
      <c r="J20" s="10">
        <v>24934800000</v>
      </c>
      <c r="K20" s="30">
        <f t="shared" si="0"/>
        <v>-0.12336975678533713</v>
      </c>
      <c r="L20" s="31">
        <f t="shared" si="1"/>
        <v>0.43999999999999773</v>
      </c>
      <c r="M20" s="30">
        <f t="shared" si="2"/>
        <v>3.8773352132534166E-3</v>
      </c>
      <c r="N20" s="20" t="str">
        <f t="shared" si="5"/>
        <v>High volume</v>
      </c>
      <c r="O20" s="32">
        <f t="shared" si="3"/>
        <v>24.934799999999999</v>
      </c>
      <c r="P20" s="20">
        <f t="shared" si="4"/>
        <v>1</v>
      </c>
      <c r="Q20" s="20" t="str" cm="1">
        <f t="array" ref="Q20">_xlfn.IFS(P20&lt;=3,"Q1",P20&lt;=6,"Q2",P20&lt;=9,"Q3",P20&lt;=12,"Q4")</f>
        <v>Q1</v>
      </c>
    </row>
    <row r="21" spans="1:17" x14ac:dyDescent="0.25">
      <c r="A21" s="14">
        <v>45664</v>
      </c>
      <c r="B21" s="15" t="s">
        <v>76</v>
      </c>
      <c r="C21" s="15" t="s">
        <v>77</v>
      </c>
      <c r="D21" s="15" t="s">
        <v>75</v>
      </c>
      <c r="E21" s="16">
        <v>130.16</v>
      </c>
      <c r="F21" s="16">
        <v>131</v>
      </c>
      <c r="G21" s="16">
        <v>129.58000000000001</v>
      </c>
      <c r="H21" s="16">
        <v>130.43</v>
      </c>
      <c r="I21" s="17">
        <v>4226287</v>
      </c>
      <c r="J21" s="16">
        <v>26086000000</v>
      </c>
      <c r="K21" s="30">
        <f t="shared" si="0"/>
        <v>0.20743700061463602</v>
      </c>
      <c r="L21" s="31">
        <f t="shared" si="1"/>
        <v>1.4199999999999875</v>
      </c>
      <c r="M21" s="30">
        <f t="shared" si="2"/>
        <v>1.0909649661954422E-2</v>
      </c>
      <c r="N21" s="20" t="str">
        <f t="shared" si="5"/>
        <v>High volume</v>
      </c>
      <c r="O21" s="32">
        <f t="shared" si="3"/>
        <v>26.085999999999999</v>
      </c>
      <c r="P21" s="20">
        <f t="shared" si="4"/>
        <v>1</v>
      </c>
      <c r="Q21" s="20" t="str" cm="1">
        <f t="array" ref="Q21">_xlfn.IFS(P21&lt;=3,"Q1",P21&lt;=6,"Q2",P21&lt;=9,"Q3",P21&lt;=12,"Q4")</f>
        <v>Q1</v>
      </c>
    </row>
    <row r="22" spans="1:17" x14ac:dyDescent="0.25">
      <c r="A22" s="8">
        <v>45665</v>
      </c>
      <c r="B22" s="9" t="s">
        <v>60</v>
      </c>
      <c r="C22" s="9" t="s">
        <v>61</v>
      </c>
      <c r="D22" s="9" t="s">
        <v>62</v>
      </c>
      <c r="E22" s="10">
        <v>3099.13</v>
      </c>
      <c r="F22" s="10">
        <v>3111.14</v>
      </c>
      <c r="G22" s="10">
        <v>3096.71</v>
      </c>
      <c r="H22" s="10">
        <v>3107.11</v>
      </c>
      <c r="I22" s="11">
        <v>4804433</v>
      </c>
      <c r="J22" s="10">
        <v>4349954000000</v>
      </c>
      <c r="K22" s="30">
        <f t="shared" si="0"/>
        <v>0.25749161861554754</v>
      </c>
      <c r="L22" s="31">
        <f t="shared" si="1"/>
        <v>14.429999999999836</v>
      </c>
      <c r="M22" s="30">
        <f t="shared" si="2"/>
        <v>4.6561454343637849E-3</v>
      </c>
      <c r="N22" s="20" t="str">
        <f t="shared" si="5"/>
        <v>High volume</v>
      </c>
      <c r="O22" s="32">
        <f t="shared" si="3"/>
        <v>4349.9539999999997</v>
      </c>
      <c r="P22" s="20">
        <f t="shared" si="4"/>
        <v>1</v>
      </c>
      <c r="Q22" s="20" t="str" cm="1">
        <f t="array" ref="Q22">_xlfn.IFS(P22&lt;=3,"Q1",P22&lt;=6,"Q2",P22&lt;=9,"Q3",P22&lt;=12,"Q4")</f>
        <v>Q1</v>
      </c>
    </row>
    <row r="23" spans="1:17" x14ac:dyDescent="0.25">
      <c r="A23" s="14">
        <v>45665</v>
      </c>
      <c r="B23" s="15" t="s">
        <v>65</v>
      </c>
      <c r="C23" s="15" t="s">
        <v>66</v>
      </c>
      <c r="D23" s="15" t="s">
        <v>67</v>
      </c>
      <c r="E23" s="16">
        <v>179.67</v>
      </c>
      <c r="F23" s="16">
        <v>179.68</v>
      </c>
      <c r="G23" s="16">
        <v>177.21</v>
      </c>
      <c r="H23" s="16">
        <v>178.05</v>
      </c>
      <c r="I23" s="17">
        <v>2762057</v>
      </c>
      <c r="J23" s="16">
        <v>44512500000</v>
      </c>
      <c r="K23" s="30">
        <f t="shared" si="0"/>
        <v>-0.90165303055600621</v>
      </c>
      <c r="L23" s="31">
        <f t="shared" si="1"/>
        <v>2.4699999999999989</v>
      </c>
      <c r="M23" s="30">
        <f t="shared" si="2"/>
        <v>1.3747425836255352E-2</v>
      </c>
      <c r="N23" s="20" t="str">
        <f t="shared" si="5"/>
        <v>High volume</v>
      </c>
      <c r="O23" s="32">
        <f t="shared" si="3"/>
        <v>44.512500000000003</v>
      </c>
      <c r="P23" s="20">
        <f t="shared" si="4"/>
        <v>1</v>
      </c>
      <c r="Q23" s="20" t="str" cm="1">
        <f t="array" ref="Q23">_xlfn.IFS(P23&lt;=3,"Q1",P23&lt;=6,"Q2",P23&lt;=9,"Q3",P23&lt;=12,"Q4")</f>
        <v>Q1</v>
      </c>
    </row>
    <row r="24" spans="1:17" x14ac:dyDescent="0.25">
      <c r="A24" s="8">
        <v>45665</v>
      </c>
      <c r="B24" s="9" t="s">
        <v>69</v>
      </c>
      <c r="C24" s="9" t="s">
        <v>70</v>
      </c>
      <c r="D24" s="9" t="s">
        <v>71</v>
      </c>
      <c r="E24" s="10">
        <v>580.91999999999996</v>
      </c>
      <c r="F24" s="10">
        <v>582.96</v>
      </c>
      <c r="G24" s="10">
        <v>571.82000000000005</v>
      </c>
      <c r="H24" s="10">
        <v>574.75</v>
      </c>
      <c r="I24" s="11">
        <v>4499220</v>
      </c>
      <c r="J24" s="10">
        <v>459800000000</v>
      </c>
      <c r="K24" s="30">
        <f t="shared" si="0"/>
        <v>-1.0621083798113269</v>
      </c>
      <c r="L24" s="31">
        <f t="shared" si="1"/>
        <v>11.139999999999986</v>
      </c>
      <c r="M24" s="30">
        <f t="shared" si="2"/>
        <v>1.9176478688976085E-2</v>
      </c>
      <c r="N24" s="20" t="str">
        <f t="shared" si="5"/>
        <v>High volume</v>
      </c>
      <c r="O24" s="32">
        <f t="shared" si="3"/>
        <v>459.8</v>
      </c>
      <c r="P24" s="20">
        <f t="shared" si="4"/>
        <v>1</v>
      </c>
      <c r="Q24" s="20" t="str" cm="1">
        <f t="array" ref="Q24">_xlfn.IFS(P24&lt;=3,"Q1",P24&lt;=6,"Q2",P24&lt;=9,"Q3",P24&lt;=12,"Q4")</f>
        <v>Q1</v>
      </c>
    </row>
    <row r="25" spans="1:17" x14ac:dyDescent="0.25">
      <c r="A25" s="14">
        <v>45665</v>
      </c>
      <c r="B25" s="15" t="s">
        <v>73</v>
      </c>
      <c r="C25" s="15" t="s">
        <v>74</v>
      </c>
      <c r="D25" s="15" t="s">
        <v>75</v>
      </c>
      <c r="E25" s="16">
        <v>112.37</v>
      </c>
      <c r="F25" s="16">
        <v>112.45</v>
      </c>
      <c r="G25" s="16">
        <v>111.3</v>
      </c>
      <c r="H25" s="16">
        <v>111.42</v>
      </c>
      <c r="I25" s="17">
        <v>2803536</v>
      </c>
      <c r="J25" s="16">
        <v>24512400000</v>
      </c>
      <c r="K25" s="30">
        <f t="shared" si="0"/>
        <v>-0.84542137581205201</v>
      </c>
      <c r="L25" s="31">
        <f t="shared" si="1"/>
        <v>1.1500000000000057</v>
      </c>
      <c r="M25" s="30">
        <f t="shared" si="2"/>
        <v>1.0234048233514334E-2</v>
      </c>
      <c r="N25" s="20" t="str">
        <f t="shared" si="5"/>
        <v>High volume</v>
      </c>
      <c r="O25" s="32">
        <f t="shared" si="3"/>
        <v>24.5124</v>
      </c>
      <c r="P25" s="20">
        <f t="shared" si="4"/>
        <v>1</v>
      </c>
      <c r="Q25" s="20" t="str" cm="1">
        <f t="array" ref="Q25">_xlfn.IFS(P25&lt;=3,"Q1",P25&lt;=6,"Q2",P25&lt;=9,"Q3",P25&lt;=12,"Q4")</f>
        <v>Q1</v>
      </c>
    </row>
    <row r="26" spans="1:17" x14ac:dyDescent="0.25">
      <c r="A26" s="8">
        <v>45665</v>
      </c>
      <c r="B26" s="9" t="s">
        <v>76</v>
      </c>
      <c r="C26" s="9" t="s">
        <v>77</v>
      </c>
      <c r="D26" s="9" t="s">
        <v>75</v>
      </c>
      <c r="E26" s="10">
        <v>131.72</v>
      </c>
      <c r="F26" s="10">
        <v>132.77000000000001</v>
      </c>
      <c r="G26" s="10">
        <v>131.4</v>
      </c>
      <c r="H26" s="10">
        <v>131.62</v>
      </c>
      <c r="I26" s="11">
        <v>4748929</v>
      </c>
      <c r="J26" s="10">
        <v>26324000000</v>
      </c>
      <c r="K26" s="30">
        <f t="shared" si="0"/>
        <v>-7.5918615244453633E-2</v>
      </c>
      <c r="L26" s="31">
        <f t="shared" si="1"/>
        <v>1.3700000000000045</v>
      </c>
      <c r="M26" s="30">
        <f t="shared" si="2"/>
        <v>1.0400850288490773E-2</v>
      </c>
      <c r="N26" s="20" t="str">
        <f t="shared" si="5"/>
        <v>High volume</v>
      </c>
      <c r="O26" s="32">
        <f t="shared" si="3"/>
        <v>26.324000000000002</v>
      </c>
      <c r="P26" s="20">
        <f t="shared" si="4"/>
        <v>1</v>
      </c>
      <c r="Q26" s="20" t="str" cm="1">
        <f t="array" ref="Q26">_xlfn.IFS(P26&lt;=3,"Q1",P26&lt;=6,"Q2",P26&lt;=9,"Q3",P26&lt;=12,"Q4")</f>
        <v>Q1</v>
      </c>
    </row>
    <row r="27" spans="1:17" x14ac:dyDescent="0.25">
      <c r="A27" s="14">
        <v>45666</v>
      </c>
      <c r="B27" s="15" t="s">
        <v>60</v>
      </c>
      <c r="C27" s="15" t="s">
        <v>61</v>
      </c>
      <c r="D27" s="15" t="s">
        <v>62</v>
      </c>
      <c r="E27" s="16">
        <v>3150.53</v>
      </c>
      <c r="F27" s="16">
        <v>3180.23</v>
      </c>
      <c r="G27" s="16">
        <v>3133.83</v>
      </c>
      <c r="H27" s="16">
        <v>3156.5</v>
      </c>
      <c r="I27" s="17">
        <v>1238414</v>
      </c>
      <c r="J27" s="16">
        <v>4419100000000</v>
      </c>
      <c r="K27" s="30">
        <f t="shared" si="0"/>
        <v>0.18949192675517451</v>
      </c>
      <c r="L27" s="31">
        <f t="shared" si="1"/>
        <v>46.400000000000091</v>
      </c>
      <c r="M27" s="30">
        <f t="shared" si="2"/>
        <v>1.4727680739431171E-2</v>
      </c>
      <c r="N27" s="20" t="str">
        <f t="shared" si="5"/>
        <v>Normal</v>
      </c>
      <c r="O27" s="32">
        <f t="shared" si="3"/>
        <v>4419.1000000000004</v>
      </c>
      <c r="P27" s="20">
        <f t="shared" si="4"/>
        <v>1</v>
      </c>
      <c r="Q27" s="20" t="str" cm="1">
        <f t="array" ref="Q27">_xlfn.IFS(P27&lt;=3,"Q1",P27&lt;=6,"Q2",P27&lt;=9,"Q3",P27&lt;=12,"Q4")</f>
        <v>Q1</v>
      </c>
    </row>
    <row r="28" spans="1:17" x14ac:dyDescent="0.25">
      <c r="A28" s="8">
        <v>45666</v>
      </c>
      <c r="B28" s="9" t="s">
        <v>65</v>
      </c>
      <c r="C28" s="9" t="s">
        <v>66</v>
      </c>
      <c r="D28" s="9" t="s">
        <v>67</v>
      </c>
      <c r="E28" s="10">
        <v>183.04</v>
      </c>
      <c r="F28" s="10">
        <v>184.34</v>
      </c>
      <c r="G28" s="10">
        <v>182.42</v>
      </c>
      <c r="H28" s="10">
        <v>182.53</v>
      </c>
      <c r="I28" s="11">
        <v>960662</v>
      </c>
      <c r="J28" s="10">
        <v>45632500000</v>
      </c>
      <c r="K28" s="30">
        <f t="shared" si="0"/>
        <v>-0.2786276223776174</v>
      </c>
      <c r="L28" s="31">
        <f t="shared" si="1"/>
        <v>1.9200000000000159</v>
      </c>
      <c r="M28" s="30">
        <f t="shared" si="2"/>
        <v>1.0489510489510577E-2</v>
      </c>
      <c r="N28" s="20" t="str">
        <f t="shared" si="5"/>
        <v>Normal</v>
      </c>
      <c r="O28" s="32">
        <f t="shared" si="3"/>
        <v>45.6325</v>
      </c>
      <c r="P28" s="20">
        <f t="shared" si="4"/>
        <v>1</v>
      </c>
      <c r="Q28" s="20" t="str" cm="1">
        <f t="array" ref="Q28">_xlfn.IFS(P28&lt;=3,"Q1",P28&lt;=6,"Q2",P28&lt;=9,"Q3",P28&lt;=12,"Q4")</f>
        <v>Q1</v>
      </c>
    </row>
    <row r="29" spans="1:17" x14ac:dyDescent="0.25">
      <c r="A29" s="14">
        <v>45666</v>
      </c>
      <c r="B29" s="15" t="s">
        <v>69</v>
      </c>
      <c r="C29" s="15" t="s">
        <v>70</v>
      </c>
      <c r="D29" s="15" t="s">
        <v>71</v>
      </c>
      <c r="E29" s="16">
        <v>568.42999999999995</v>
      </c>
      <c r="F29" s="16">
        <v>572.92999999999995</v>
      </c>
      <c r="G29" s="16">
        <v>565.74</v>
      </c>
      <c r="H29" s="16">
        <v>566.24</v>
      </c>
      <c r="I29" s="17">
        <v>4768663</v>
      </c>
      <c r="J29" s="16">
        <v>452992000000</v>
      </c>
      <c r="K29" s="30">
        <f t="shared" si="0"/>
        <v>-0.38527171331561333</v>
      </c>
      <c r="L29" s="31">
        <f t="shared" si="1"/>
        <v>7.1899999999999409</v>
      </c>
      <c r="M29" s="30">
        <f t="shared" si="2"/>
        <v>1.2648874971412384E-2</v>
      </c>
      <c r="N29" s="20" t="str">
        <f t="shared" si="5"/>
        <v>High volume</v>
      </c>
      <c r="O29" s="32">
        <f t="shared" si="3"/>
        <v>452.99200000000002</v>
      </c>
      <c r="P29" s="20">
        <f t="shared" si="4"/>
        <v>1</v>
      </c>
      <c r="Q29" s="20" t="str" cm="1">
        <f t="array" ref="Q29">_xlfn.IFS(P29&lt;=3,"Q1",P29&lt;=6,"Q2",P29&lt;=9,"Q3",P29&lt;=12,"Q4")</f>
        <v>Q1</v>
      </c>
    </row>
    <row r="30" spans="1:17" x14ac:dyDescent="0.25">
      <c r="A30" s="8">
        <v>45666</v>
      </c>
      <c r="B30" s="9" t="s">
        <v>73</v>
      </c>
      <c r="C30" s="9" t="s">
        <v>74</v>
      </c>
      <c r="D30" s="9" t="s">
        <v>75</v>
      </c>
      <c r="E30" s="10">
        <v>111.53</v>
      </c>
      <c r="F30" s="10">
        <v>112</v>
      </c>
      <c r="G30" s="10">
        <v>110.42</v>
      </c>
      <c r="H30" s="10">
        <v>110.84</v>
      </c>
      <c r="I30" s="11">
        <v>3849538</v>
      </c>
      <c r="J30" s="10">
        <v>24384800000</v>
      </c>
      <c r="K30" s="30">
        <f t="shared" si="0"/>
        <v>-0.61866762306105783</v>
      </c>
      <c r="L30" s="31">
        <f t="shared" si="1"/>
        <v>1.5799999999999983</v>
      </c>
      <c r="M30" s="30">
        <f t="shared" si="2"/>
        <v>1.4166591948354687E-2</v>
      </c>
      <c r="N30" s="20" t="str">
        <f t="shared" si="5"/>
        <v>High volume</v>
      </c>
      <c r="O30" s="32">
        <f t="shared" si="3"/>
        <v>24.384799999999998</v>
      </c>
      <c r="P30" s="20">
        <f t="shared" si="4"/>
        <v>1</v>
      </c>
      <c r="Q30" s="20" t="str" cm="1">
        <f t="array" ref="Q30">_xlfn.IFS(P30&lt;=3,"Q1",P30&lt;=6,"Q2",P30&lt;=9,"Q3",P30&lt;=12,"Q4")</f>
        <v>Q1</v>
      </c>
    </row>
    <row r="31" spans="1:17" x14ac:dyDescent="0.25">
      <c r="A31" s="14">
        <v>45666</v>
      </c>
      <c r="B31" s="15" t="s">
        <v>76</v>
      </c>
      <c r="C31" s="15" t="s">
        <v>77</v>
      </c>
      <c r="D31" s="15" t="s">
        <v>75</v>
      </c>
      <c r="E31" s="16">
        <v>132.03</v>
      </c>
      <c r="F31" s="16">
        <v>134.4</v>
      </c>
      <c r="G31" s="16">
        <v>131.49</v>
      </c>
      <c r="H31" s="16">
        <v>133.69</v>
      </c>
      <c r="I31" s="17">
        <v>1987377</v>
      </c>
      <c r="J31" s="16">
        <v>26738000000</v>
      </c>
      <c r="K31" s="30">
        <f t="shared" si="0"/>
        <v>1.2572900098462445</v>
      </c>
      <c r="L31" s="31">
        <f t="shared" si="1"/>
        <v>2.9099999999999966</v>
      </c>
      <c r="M31" s="30">
        <f t="shared" si="2"/>
        <v>2.2040445353328764E-2</v>
      </c>
      <c r="N31" s="20" t="str">
        <f t="shared" si="5"/>
        <v>Normal</v>
      </c>
      <c r="O31" s="32">
        <f t="shared" si="3"/>
        <v>26.738</v>
      </c>
      <c r="P31" s="20">
        <f t="shared" si="4"/>
        <v>1</v>
      </c>
      <c r="Q31" s="20" t="str" cm="1">
        <f t="array" ref="Q31">_xlfn.IFS(P31&lt;=3,"Q1",P31&lt;=6,"Q2",P31&lt;=9,"Q3",P31&lt;=12,"Q4")</f>
        <v>Q1</v>
      </c>
    </row>
    <row r="32" spans="1:17" x14ac:dyDescent="0.25">
      <c r="A32" s="8">
        <v>45667</v>
      </c>
      <c r="B32" s="9" t="s">
        <v>60</v>
      </c>
      <c r="C32" s="9" t="s">
        <v>61</v>
      </c>
      <c r="D32" s="9" t="s">
        <v>62</v>
      </c>
      <c r="E32" s="10">
        <v>3146.11</v>
      </c>
      <c r="F32" s="10">
        <v>3170.82</v>
      </c>
      <c r="G32" s="10">
        <v>3134.61</v>
      </c>
      <c r="H32" s="10">
        <v>3167.19</v>
      </c>
      <c r="I32" s="11">
        <v>4087340</v>
      </c>
      <c r="J32" s="10">
        <v>4434066000000</v>
      </c>
      <c r="K32" s="30">
        <f t="shared" si="0"/>
        <v>0.670033787756942</v>
      </c>
      <c r="L32" s="31">
        <f t="shared" si="1"/>
        <v>36.210000000000036</v>
      </c>
      <c r="M32" s="30">
        <f t="shared" si="2"/>
        <v>1.1509451354212039E-2</v>
      </c>
      <c r="N32" s="20" t="str">
        <f t="shared" si="5"/>
        <v>High volume</v>
      </c>
      <c r="O32" s="32">
        <f t="shared" si="3"/>
        <v>4434.0659999999998</v>
      </c>
      <c r="P32" s="20">
        <f t="shared" si="4"/>
        <v>1</v>
      </c>
      <c r="Q32" s="20" t="str" cm="1">
        <f t="array" ref="Q32">_xlfn.IFS(P32&lt;=3,"Q1",P32&lt;=6,"Q2",P32&lt;=9,"Q3",P32&lt;=12,"Q4")</f>
        <v>Q1</v>
      </c>
    </row>
    <row r="33" spans="1:17" x14ac:dyDescent="0.25">
      <c r="A33" s="14">
        <v>45667</v>
      </c>
      <c r="B33" s="15" t="s">
        <v>65</v>
      </c>
      <c r="C33" s="15" t="s">
        <v>66</v>
      </c>
      <c r="D33" s="15" t="s">
        <v>67</v>
      </c>
      <c r="E33" s="16">
        <v>180.23</v>
      </c>
      <c r="F33" s="16">
        <v>180.98</v>
      </c>
      <c r="G33" s="16">
        <v>179.52</v>
      </c>
      <c r="H33" s="16">
        <v>180.01</v>
      </c>
      <c r="I33" s="17">
        <v>4946630</v>
      </c>
      <c r="J33" s="16">
        <v>45002500000</v>
      </c>
      <c r="K33" s="30">
        <f t="shared" si="0"/>
        <v>-0.12206624868223873</v>
      </c>
      <c r="L33" s="31">
        <f t="shared" si="1"/>
        <v>1.4599999999999795</v>
      </c>
      <c r="M33" s="30">
        <f t="shared" si="2"/>
        <v>8.100760139821226E-3</v>
      </c>
      <c r="N33" s="20" t="str">
        <f t="shared" si="5"/>
        <v>High volume</v>
      </c>
      <c r="O33" s="32">
        <f t="shared" si="3"/>
        <v>45.002499999999998</v>
      </c>
      <c r="P33" s="20">
        <f t="shared" si="4"/>
        <v>1</v>
      </c>
      <c r="Q33" s="20" t="str" cm="1">
        <f t="array" ref="Q33">_xlfn.IFS(P33&lt;=3,"Q1",P33&lt;=6,"Q2",P33&lt;=9,"Q3",P33&lt;=12,"Q4")</f>
        <v>Q1</v>
      </c>
    </row>
    <row r="34" spans="1:17" x14ac:dyDescent="0.25">
      <c r="A34" s="8">
        <v>45667</v>
      </c>
      <c r="B34" s="9" t="s">
        <v>69</v>
      </c>
      <c r="C34" s="9" t="s">
        <v>70</v>
      </c>
      <c r="D34" s="9" t="s">
        <v>71</v>
      </c>
      <c r="E34" s="10">
        <v>567.1</v>
      </c>
      <c r="F34" s="10">
        <v>570.27</v>
      </c>
      <c r="G34" s="10">
        <v>561.32000000000005</v>
      </c>
      <c r="H34" s="10">
        <v>563.37</v>
      </c>
      <c r="I34" s="11">
        <v>563510</v>
      </c>
      <c r="J34" s="10">
        <v>450696000000</v>
      </c>
      <c r="K34" s="30">
        <f t="shared" si="0"/>
        <v>-0.65773232234174184</v>
      </c>
      <c r="L34" s="31">
        <f t="shared" si="1"/>
        <v>8.9499999999999318</v>
      </c>
      <c r="M34" s="30">
        <f t="shared" si="2"/>
        <v>1.5782049021336505E-2</v>
      </c>
      <c r="N34" s="20" t="str">
        <f t="shared" si="5"/>
        <v>Normal</v>
      </c>
      <c r="O34" s="32">
        <f t="shared" si="3"/>
        <v>450.69600000000003</v>
      </c>
      <c r="P34" s="20">
        <f t="shared" si="4"/>
        <v>1</v>
      </c>
      <c r="Q34" s="20" t="str" cm="1">
        <f t="array" ref="Q34">_xlfn.IFS(P34&lt;=3,"Q1",P34&lt;=6,"Q2",P34&lt;=9,"Q3",P34&lt;=12,"Q4")</f>
        <v>Q1</v>
      </c>
    </row>
    <row r="35" spans="1:17" x14ac:dyDescent="0.25">
      <c r="A35" s="14">
        <v>45667</v>
      </c>
      <c r="B35" s="15" t="s">
        <v>73</v>
      </c>
      <c r="C35" s="15" t="s">
        <v>74</v>
      </c>
      <c r="D35" s="15" t="s">
        <v>75</v>
      </c>
      <c r="E35" s="16">
        <v>111.88</v>
      </c>
      <c r="F35" s="16">
        <v>112.1</v>
      </c>
      <c r="G35" s="16">
        <v>111.62</v>
      </c>
      <c r="H35" s="16">
        <v>111.73</v>
      </c>
      <c r="I35" s="17">
        <v>4371951</v>
      </c>
      <c r="J35" s="16">
        <v>24580600000</v>
      </c>
      <c r="K35" s="30">
        <f t="shared" si="0"/>
        <v>-0.13407222023595949</v>
      </c>
      <c r="L35" s="31">
        <f t="shared" si="1"/>
        <v>0.47999999999998977</v>
      </c>
      <c r="M35" s="30">
        <f t="shared" si="2"/>
        <v>4.2903110475508563E-3</v>
      </c>
      <c r="N35" s="20" t="str">
        <f t="shared" si="5"/>
        <v>High volume</v>
      </c>
      <c r="O35" s="32">
        <f t="shared" si="3"/>
        <v>24.5806</v>
      </c>
      <c r="P35" s="20">
        <f t="shared" si="4"/>
        <v>1</v>
      </c>
      <c r="Q35" s="20" t="str" cm="1">
        <f t="array" ref="Q35">_xlfn.IFS(P35&lt;=3,"Q1",P35&lt;=6,"Q2",P35&lt;=9,"Q3",P35&lt;=12,"Q4")</f>
        <v>Q1</v>
      </c>
    </row>
    <row r="36" spans="1:17" x14ac:dyDescent="0.25">
      <c r="A36" s="8">
        <v>45667</v>
      </c>
      <c r="B36" s="9" t="s">
        <v>76</v>
      </c>
      <c r="C36" s="9" t="s">
        <v>77</v>
      </c>
      <c r="D36" s="9" t="s">
        <v>75</v>
      </c>
      <c r="E36" s="10">
        <v>133.94999999999999</v>
      </c>
      <c r="F36" s="10">
        <v>134.51</v>
      </c>
      <c r="G36" s="10">
        <v>132.66999999999999</v>
      </c>
      <c r="H36" s="10">
        <v>133.54</v>
      </c>
      <c r="I36" s="11">
        <v>4267584</v>
      </c>
      <c r="J36" s="10">
        <v>26708000000</v>
      </c>
      <c r="K36" s="30">
        <f t="shared" si="0"/>
        <v>-0.3060843598357571</v>
      </c>
      <c r="L36" s="31">
        <f t="shared" si="1"/>
        <v>1.8400000000000034</v>
      </c>
      <c r="M36" s="30">
        <f t="shared" si="2"/>
        <v>1.373646883165363E-2</v>
      </c>
      <c r="N36" s="20" t="str">
        <f t="shared" si="5"/>
        <v>High volume</v>
      </c>
      <c r="O36" s="32">
        <f t="shared" si="3"/>
        <v>26.707999999999998</v>
      </c>
      <c r="P36" s="20">
        <f t="shared" si="4"/>
        <v>1</v>
      </c>
      <c r="Q36" s="20" t="str" cm="1">
        <f t="array" ref="Q36">_xlfn.IFS(P36&lt;=3,"Q1",P36&lt;=6,"Q2",P36&lt;=9,"Q3",P36&lt;=12,"Q4")</f>
        <v>Q1</v>
      </c>
    </row>
    <row r="37" spans="1:17" x14ac:dyDescent="0.25">
      <c r="A37" s="14">
        <v>45670</v>
      </c>
      <c r="B37" s="15" t="s">
        <v>60</v>
      </c>
      <c r="C37" s="15" t="s">
        <v>61</v>
      </c>
      <c r="D37" s="15" t="s">
        <v>62</v>
      </c>
      <c r="E37" s="16">
        <v>3143.46</v>
      </c>
      <c r="F37" s="16">
        <v>3149.24</v>
      </c>
      <c r="G37" s="16">
        <v>3128.17</v>
      </c>
      <c r="H37" s="16">
        <v>3130.21</v>
      </c>
      <c r="I37" s="17">
        <v>3915919</v>
      </c>
      <c r="J37" s="16">
        <v>4382294000000</v>
      </c>
      <c r="K37" s="30">
        <f t="shared" si="0"/>
        <v>-0.42151005579838774</v>
      </c>
      <c r="L37" s="31">
        <f t="shared" si="1"/>
        <v>21.069999999999709</v>
      </c>
      <c r="M37" s="30">
        <f t="shared" si="2"/>
        <v>6.7028051891863455E-3</v>
      </c>
      <c r="N37" s="20" t="str">
        <f t="shared" si="5"/>
        <v>High volume</v>
      </c>
      <c r="O37" s="32">
        <f t="shared" si="3"/>
        <v>4382.2939999999999</v>
      </c>
      <c r="P37" s="20">
        <f t="shared" si="4"/>
        <v>1</v>
      </c>
      <c r="Q37" s="20" t="str" cm="1">
        <f t="array" ref="Q37">_xlfn.IFS(P37&lt;=3,"Q1",P37&lt;=6,"Q2",P37&lt;=9,"Q3",P37&lt;=12,"Q4")</f>
        <v>Q1</v>
      </c>
    </row>
    <row r="38" spans="1:17" x14ac:dyDescent="0.25">
      <c r="A38" s="8">
        <v>45670</v>
      </c>
      <c r="B38" s="9" t="s">
        <v>65</v>
      </c>
      <c r="C38" s="9" t="s">
        <v>66</v>
      </c>
      <c r="D38" s="9" t="s">
        <v>67</v>
      </c>
      <c r="E38" s="10">
        <v>178.35</v>
      </c>
      <c r="F38" s="10">
        <v>179.51</v>
      </c>
      <c r="G38" s="10">
        <v>178.04</v>
      </c>
      <c r="H38" s="10">
        <v>179</v>
      </c>
      <c r="I38" s="11">
        <v>1125588</v>
      </c>
      <c r="J38" s="10">
        <v>44750000000</v>
      </c>
      <c r="K38" s="30">
        <f t="shared" si="0"/>
        <v>0.364451920381276</v>
      </c>
      <c r="L38" s="31">
        <f t="shared" si="1"/>
        <v>1.4699999999999989</v>
      </c>
      <c r="M38" s="30">
        <f t="shared" si="2"/>
        <v>8.2422203532380098E-3</v>
      </c>
      <c r="N38" s="20" t="str">
        <f t="shared" si="5"/>
        <v>Normal</v>
      </c>
      <c r="O38" s="32">
        <f t="shared" si="3"/>
        <v>44.75</v>
      </c>
      <c r="P38" s="20">
        <f t="shared" si="4"/>
        <v>1</v>
      </c>
      <c r="Q38" s="20" t="str" cm="1">
        <f t="array" ref="Q38">_xlfn.IFS(P38&lt;=3,"Q1",P38&lt;=6,"Q2",P38&lt;=9,"Q3",P38&lt;=12,"Q4")</f>
        <v>Q1</v>
      </c>
    </row>
    <row r="39" spans="1:17" x14ac:dyDescent="0.25">
      <c r="A39" s="14">
        <v>45670</v>
      </c>
      <c r="B39" s="15" t="s">
        <v>69</v>
      </c>
      <c r="C39" s="15" t="s">
        <v>70</v>
      </c>
      <c r="D39" s="15" t="s">
        <v>71</v>
      </c>
      <c r="E39" s="16">
        <v>561.35</v>
      </c>
      <c r="F39" s="16">
        <v>568.08000000000004</v>
      </c>
      <c r="G39" s="16">
        <v>558.66</v>
      </c>
      <c r="H39" s="16">
        <v>566.20000000000005</v>
      </c>
      <c r="I39" s="17">
        <v>1216615</v>
      </c>
      <c r="J39" s="16">
        <v>452960000000</v>
      </c>
      <c r="K39" s="30">
        <f t="shared" si="0"/>
        <v>0.8639885989133379</v>
      </c>
      <c r="L39" s="31">
        <f t="shared" si="1"/>
        <v>9.4200000000000728</v>
      </c>
      <c r="M39" s="30">
        <f t="shared" si="2"/>
        <v>1.6780974436626121E-2</v>
      </c>
      <c r="N39" s="20" t="str">
        <f t="shared" si="5"/>
        <v>Normal</v>
      </c>
      <c r="O39" s="32">
        <f t="shared" si="3"/>
        <v>452.96</v>
      </c>
      <c r="P39" s="20">
        <f t="shared" si="4"/>
        <v>1</v>
      </c>
      <c r="Q39" s="20" t="str" cm="1">
        <f t="array" ref="Q39">_xlfn.IFS(P39&lt;=3,"Q1",P39&lt;=6,"Q2",P39&lt;=9,"Q3",P39&lt;=12,"Q4")</f>
        <v>Q1</v>
      </c>
    </row>
    <row r="40" spans="1:17" x14ac:dyDescent="0.25">
      <c r="A40" s="8">
        <v>45670</v>
      </c>
      <c r="B40" s="9" t="s">
        <v>73</v>
      </c>
      <c r="C40" s="9" t="s">
        <v>74</v>
      </c>
      <c r="D40" s="9" t="s">
        <v>75</v>
      </c>
      <c r="E40" s="10">
        <v>111.76</v>
      </c>
      <c r="F40" s="10">
        <v>112.34</v>
      </c>
      <c r="G40" s="10">
        <v>110.87</v>
      </c>
      <c r="H40" s="10">
        <v>111.28</v>
      </c>
      <c r="I40" s="11">
        <v>2395528</v>
      </c>
      <c r="J40" s="10">
        <v>24481600000</v>
      </c>
      <c r="K40" s="30">
        <f t="shared" si="0"/>
        <v>-0.42949176807444883</v>
      </c>
      <c r="L40" s="31">
        <f t="shared" si="1"/>
        <v>1.4699999999999989</v>
      </c>
      <c r="M40" s="30">
        <f t="shared" si="2"/>
        <v>1.3153185397279875E-2</v>
      </c>
      <c r="N40" s="20" t="str">
        <f t="shared" si="5"/>
        <v>High volume</v>
      </c>
      <c r="O40" s="32">
        <f t="shared" si="3"/>
        <v>24.4816</v>
      </c>
      <c r="P40" s="20">
        <f t="shared" si="4"/>
        <v>1</v>
      </c>
      <c r="Q40" s="20" t="str" cm="1">
        <f t="array" ref="Q40">_xlfn.IFS(P40&lt;=3,"Q1",P40&lt;=6,"Q2",P40&lt;=9,"Q3",P40&lt;=12,"Q4")</f>
        <v>Q1</v>
      </c>
    </row>
    <row r="41" spans="1:17" x14ac:dyDescent="0.25">
      <c r="A41" s="14">
        <v>45670</v>
      </c>
      <c r="B41" s="15" t="s">
        <v>76</v>
      </c>
      <c r="C41" s="15" t="s">
        <v>77</v>
      </c>
      <c r="D41" s="15" t="s">
        <v>75</v>
      </c>
      <c r="E41" s="16">
        <v>134.22999999999999</v>
      </c>
      <c r="F41" s="16">
        <v>134.53</v>
      </c>
      <c r="G41" s="16">
        <v>133.93</v>
      </c>
      <c r="H41" s="16">
        <v>134.41</v>
      </c>
      <c r="I41" s="17">
        <v>4916463</v>
      </c>
      <c r="J41" s="16">
        <v>26882000000</v>
      </c>
      <c r="K41" s="30">
        <f t="shared" si="0"/>
        <v>0.13409818967444451</v>
      </c>
      <c r="L41" s="31">
        <f t="shared" si="1"/>
        <v>0.59999999999999432</v>
      </c>
      <c r="M41" s="30">
        <f t="shared" si="2"/>
        <v>4.4699396558146049E-3</v>
      </c>
      <c r="N41" s="20" t="str">
        <f t="shared" si="5"/>
        <v>High volume</v>
      </c>
      <c r="O41" s="32">
        <f t="shared" si="3"/>
        <v>26.882000000000001</v>
      </c>
      <c r="P41" s="20">
        <f t="shared" si="4"/>
        <v>1</v>
      </c>
      <c r="Q41" s="20" t="str" cm="1">
        <f t="array" ref="Q41">_xlfn.IFS(P41&lt;=3,"Q1",P41&lt;=6,"Q2",P41&lt;=9,"Q3",P41&lt;=12,"Q4")</f>
        <v>Q1</v>
      </c>
    </row>
    <row r="42" spans="1:17" x14ac:dyDescent="0.25">
      <c r="A42" s="8">
        <v>45671</v>
      </c>
      <c r="B42" s="9" t="s">
        <v>60</v>
      </c>
      <c r="C42" s="9" t="s">
        <v>61</v>
      </c>
      <c r="D42" s="9" t="s">
        <v>62</v>
      </c>
      <c r="E42" s="10">
        <v>3186.56</v>
      </c>
      <c r="F42" s="10">
        <v>3207.94</v>
      </c>
      <c r="G42" s="10">
        <v>3182.31</v>
      </c>
      <c r="H42" s="10">
        <v>3184.7</v>
      </c>
      <c r="I42" s="11">
        <v>2282894</v>
      </c>
      <c r="J42" s="10">
        <v>4458580000000</v>
      </c>
      <c r="K42" s="30">
        <f t="shared" si="0"/>
        <v>-5.8370154649532019E-2</v>
      </c>
      <c r="L42" s="31">
        <f t="shared" si="1"/>
        <v>25.630000000000109</v>
      </c>
      <c r="M42" s="30">
        <f t="shared" si="2"/>
        <v>8.0431562562763952E-3</v>
      </c>
      <c r="N42" s="20" t="str">
        <f t="shared" si="5"/>
        <v>High volume</v>
      </c>
      <c r="O42" s="32">
        <f t="shared" si="3"/>
        <v>4458.58</v>
      </c>
      <c r="P42" s="20">
        <f t="shared" si="4"/>
        <v>1</v>
      </c>
      <c r="Q42" s="20" t="str" cm="1">
        <f t="array" ref="Q42">_xlfn.IFS(P42&lt;=3,"Q1",P42&lt;=6,"Q2",P42&lt;=9,"Q3",P42&lt;=12,"Q4")</f>
        <v>Q1</v>
      </c>
    </row>
    <row r="43" spans="1:17" x14ac:dyDescent="0.25">
      <c r="A43" s="14">
        <v>45671</v>
      </c>
      <c r="B43" s="15" t="s">
        <v>65</v>
      </c>
      <c r="C43" s="15" t="s">
        <v>66</v>
      </c>
      <c r="D43" s="15" t="s">
        <v>67</v>
      </c>
      <c r="E43" s="16">
        <v>178.92</v>
      </c>
      <c r="F43" s="16">
        <v>179.75</v>
      </c>
      <c r="G43" s="16">
        <v>177.49</v>
      </c>
      <c r="H43" s="16">
        <v>177.97</v>
      </c>
      <c r="I43" s="17">
        <v>3664169</v>
      </c>
      <c r="J43" s="16">
        <v>44492500000</v>
      </c>
      <c r="K43" s="30">
        <f t="shared" si="0"/>
        <v>-0.53096355913256688</v>
      </c>
      <c r="L43" s="31">
        <f t="shared" si="1"/>
        <v>2.2599999999999909</v>
      </c>
      <c r="M43" s="30">
        <f t="shared" si="2"/>
        <v>1.263134361725906E-2</v>
      </c>
      <c r="N43" s="20" t="str">
        <f t="shared" si="5"/>
        <v>High volume</v>
      </c>
      <c r="O43" s="32">
        <f t="shared" si="3"/>
        <v>44.4925</v>
      </c>
      <c r="P43" s="20">
        <f t="shared" si="4"/>
        <v>1</v>
      </c>
      <c r="Q43" s="20" t="str" cm="1">
        <f t="array" ref="Q43">_xlfn.IFS(P43&lt;=3,"Q1",P43&lt;=6,"Q2",P43&lt;=9,"Q3",P43&lt;=12,"Q4")</f>
        <v>Q1</v>
      </c>
    </row>
    <row r="44" spans="1:17" x14ac:dyDescent="0.25">
      <c r="A44" s="8">
        <v>45671</v>
      </c>
      <c r="B44" s="9" t="s">
        <v>69</v>
      </c>
      <c r="C44" s="9" t="s">
        <v>70</v>
      </c>
      <c r="D44" s="9" t="s">
        <v>71</v>
      </c>
      <c r="E44" s="10">
        <v>570.48</v>
      </c>
      <c r="F44" s="10">
        <v>572.04999999999995</v>
      </c>
      <c r="G44" s="10">
        <v>565.94000000000005</v>
      </c>
      <c r="H44" s="10">
        <v>571.6</v>
      </c>
      <c r="I44" s="11">
        <v>4116886</v>
      </c>
      <c r="J44" s="10">
        <v>457280000000</v>
      </c>
      <c r="K44" s="30">
        <f t="shared" si="0"/>
        <v>0.19632590099565358</v>
      </c>
      <c r="L44" s="31">
        <f t="shared" si="1"/>
        <v>6.1099999999999</v>
      </c>
      <c r="M44" s="30">
        <f t="shared" si="2"/>
        <v>1.0710279063244812E-2</v>
      </c>
      <c r="N44" s="20" t="str">
        <f t="shared" si="5"/>
        <v>High volume</v>
      </c>
      <c r="O44" s="32">
        <f t="shared" si="3"/>
        <v>457.28</v>
      </c>
      <c r="P44" s="20">
        <f t="shared" si="4"/>
        <v>1</v>
      </c>
      <c r="Q44" s="20" t="str" cm="1">
        <f t="array" ref="Q44">_xlfn.IFS(P44&lt;=3,"Q1",P44&lt;=6,"Q2",P44&lt;=9,"Q3",P44&lt;=12,"Q4")</f>
        <v>Q1</v>
      </c>
    </row>
    <row r="45" spans="1:17" x14ac:dyDescent="0.25">
      <c r="A45" s="14">
        <v>45671</v>
      </c>
      <c r="B45" s="15" t="s">
        <v>73</v>
      </c>
      <c r="C45" s="15" t="s">
        <v>74</v>
      </c>
      <c r="D45" s="15" t="s">
        <v>75</v>
      </c>
      <c r="E45" s="16">
        <v>111.32</v>
      </c>
      <c r="F45" s="16">
        <v>111.62</v>
      </c>
      <c r="G45" s="16">
        <v>109.98</v>
      </c>
      <c r="H45" s="16">
        <v>111.18</v>
      </c>
      <c r="I45" s="17">
        <v>4962122</v>
      </c>
      <c r="J45" s="16">
        <v>24459600000</v>
      </c>
      <c r="K45" s="30">
        <f t="shared" si="0"/>
        <v>-0.12576356449873011</v>
      </c>
      <c r="L45" s="31">
        <f t="shared" si="1"/>
        <v>1.6400000000000006</v>
      </c>
      <c r="M45" s="30">
        <f t="shared" si="2"/>
        <v>1.4732303269852682E-2</v>
      </c>
      <c r="N45" s="20" t="str">
        <f t="shared" si="5"/>
        <v>High volume</v>
      </c>
      <c r="O45" s="32">
        <f t="shared" si="3"/>
        <v>24.459599999999998</v>
      </c>
      <c r="P45" s="20">
        <f t="shared" si="4"/>
        <v>1</v>
      </c>
      <c r="Q45" s="20" t="str" cm="1">
        <f t="array" ref="Q45">_xlfn.IFS(P45&lt;=3,"Q1",P45&lt;=6,"Q2",P45&lt;=9,"Q3",P45&lt;=12,"Q4")</f>
        <v>Q1</v>
      </c>
    </row>
    <row r="46" spans="1:17" x14ac:dyDescent="0.25">
      <c r="A46" s="8">
        <v>45671</v>
      </c>
      <c r="B46" s="9" t="s">
        <v>76</v>
      </c>
      <c r="C46" s="9" t="s">
        <v>77</v>
      </c>
      <c r="D46" s="9" t="s">
        <v>75</v>
      </c>
      <c r="E46" s="10">
        <v>133.21</v>
      </c>
      <c r="F46" s="10">
        <v>134.26</v>
      </c>
      <c r="G46" s="10">
        <v>132.93</v>
      </c>
      <c r="H46" s="10">
        <v>133.01</v>
      </c>
      <c r="I46" s="11">
        <v>4848263</v>
      </c>
      <c r="J46" s="10">
        <v>26602000000</v>
      </c>
      <c r="K46" s="30">
        <f t="shared" si="0"/>
        <v>-0.15013887846259066</v>
      </c>
      <c r="L46" s="31">
        <f t="shared" si="1"/>
        <v>1.3299999999999841</v>
      </c>
      <c r="M46" s="30">
        <f t="shared" si="2"/>
        <v>9.9842354177613092E-3</v>
      </c>
      <c r="N46" s="20" t="str">
        <f t="shared" si="5"/>
        <v>High volume</v>
      </c>
      <c r="O46" s="32">
        <f t="shared" si="3"/>
        <v>26.602</v>
      </c>
      <c r="P46" s="20">
        <f t="shared" si="4"/>
        <v>1</v>
      </c>
      <c r="Q46" s="20" t="str" cm="1">
        <f t="array" ref="Q46">_xlfn.IFS(P46&lt;=3,"Q1",P46&lt;=6,"Q2",P46&lt;=9,"Q3",P46&lt;=12,"Q4")</f>
        <v>Q1</v>
      </c>
    </row>
    <row r="47" spans="1:17" x14ac:dyDescent="0.25">
      <c r="A47" s="14">
        <v>45672</v>
      </c>
      <c r="B47" s="15" t="s">
        <v>60</v>
      </c>
      <c r="C47" s="15" t="s">
        <v>61</v>
      </c>
      <c r="D47" s="15" t="s">
        <v>62</v>
      </c>
      <c r="E47" s="16">
        <v>3216.45</v>
      </c>
      <c r="F47" s="16">
        <v>3237.16</v>
      </c>
      <c r="G47" s="16">
        <v>3208.11</v>
      </c>
      <c r="H47" s="16">
        <v>3209.57</v>
      </c>
      <c r="I47" s="17">
        <v>4299591</v>
      </c>
      <c r="J47" s="16">
        <v>4493398000000</v>
      </c>
      <c r="K47" s="30">
        <f t="shared" si="0"/>
        <v>-0.21390041816287073</v>
      </c>
      <c r="L47" s="31">
        <f t="shared" si="1"/>
        <v>29.049999999999727</v>
      </c>
      <c r="M47" s="30">
        <f t="shared" si="2"/>
        <v>9.0316964355111155E-3</v>
      </c>
      <c r="N47" s="20" t="str">
        <f t="shared" si="5"/>
        <v>High volume</v>
      </c>
      <c r="O47" s="32">
        <f t="shared" si="3"/>
        <v>4493.3980000000001</v>
      </c>
      <c r="P47" s="20">
        <f t="shared" si="4"/>
        <v>1</v>
      </c>
      <c r="Q47" s="20" t="str" cm="1">
        <f t="array" ref="Q47">_xlfn.IFS(P47&lt;=3,"Q1",P47&lt;=6,"Q2",P47&lt;=9,"Q3",P47&lt;=12,"Q4")</f>
        <v>Q1</v>
      </c>
    </row>
    <row r="48" spans="1:17" x14ac:dyDescent="0.25">
      <c r="A48" s="8">
        <v>45672</v>
      </c>
      <c r="B48" s="9" t="s">
        <v>65</v>
      </c>
      <c r="C48" s="9" t="s">
        <v>66</v>
      </c>
      <c r="D48" s="9" t="s">
        <v>67</v>
      </c>
      <c r="E48" s="10">
        <v>172.78</v>
      </c>
      <c r="F48" s="10">
        <v>172.83</v>
      </c>
      <c r="G48" s="10">
        <v>170.85</v>
      </c>
      <c r="H48" s="10">
        <v>171.01</v>
      </c>
      <c r="I48" s="11">
        <v>1858812</v>
      </c>
      <c r="J48" s="10">
        <v>42752500000</v>
      </c>
      <c r="K48" s="30">
        <f t="shared" si="0"/>
        <v>-1.0244241231624089</v>
      </c>
      <c r="L48" s="31">
        <f t="shared" si="1"/>
        <v>1.9800000000000182</v>
      </c>
      <c r="M48" s="30">
        <f t="shared" si="2"/>
        <v>1.1459659682833766E-2</v>
      </c>
      <c r="N48" s="20" t="str">
        <f t="shared" si="5"/>
        <v>Normal</v>
      </c>
      <c r="O48" s="32">
        <f t="shared" si="3"/>
        <v>42.752499999999998</v>
      </c>
      <c r="P48" s="20">
        <f t="shared" si="4"/>
        <v>1</v>
      </c>
      <c r="Q48" s="20" t="str" cm="1">
        <f t="array" ref="Q48">_xlfn.IFS(P48&lt;=3,"Q1",P48&lt;=6,"Q2",P48&lt;=9,"Q3",P48&lt;=12,"Q4")</f>
        <v>Q1</v>
      </c>
    </row>
    <row r="49" spans="1:17" x14ac:dyDescent="0.25">
      <c r="A49" s="14">
        <v>45672</v>
      </c>
      <c r="B49" s="15" t="s">
        <v>69</v>
      </c>
      <c r="C49" s="15" t="s">
        <v>70</v>
      </c>
      <c r="D49" s="15" t="s">
        <v>71</v>
      </c>
      <c r="E49" s="16">
        <v>589.95000000000005</v>
      </c>
      <c r="F49" s="16">
        <v>591.55999999999995</v>
      </c>
      <c r="G49" s="16">
        <v>589.21</v>
      </c>
      <c r="H49" s="16">
        <v>591.24</v>
      </c>
      <c r="I49" s="17">
        <v>3687114</v>
      </c>
      <c r="J49" s="16">
        <v>472992000000</v>
      </c>
      <c r="K49" s="30">
        <f t="shared" si="0"/>
        <v>0.2186625985252926</v>
      </c>
      <c r="L49" s="31">
        <f t="shared" si="1"/>
        <v>2.3499999999999091</v>
      </c>
      <c r="M49" s="30">
        <f t="shared" si="2"/>
        <v>3.9833884227475358E-3</v>
      </c>
      <c r="N49" s="20" t="str">
        <f t="shared" si="5"/>
        <v>High volume</v>
      </c>
      <c r="O49" s="32">
        <f t="shared" si="3"/>
        <v>472.99200000000002</v>
      </c>
      <c r="P49" s="20">
        <f t="shared" si="4"/>
        <v>1</v>
      </c>
      <c r="Q49" s="20" t="str" cm="1">
        <f t="array" ref="Q49">_xlfn.IFS(P49&lt;=3,"Q1",P49&lt;=6,"Q2",P49&lt;=9,"Q3",P49&lt;=12,"Q4")</f>
        <v>Q1</v>
      </c>
    </row>
    <row r="50" spans="1:17" x14ac:dyDescent="0.25">
      <c r="A50" s="8">
        <v>45672</v>
      </c>
      <c r="B50" s="9" t="s">
        <v>73</v>
      </c>
      <c r="C50" s="9" t="s">
        <v>74</v>
      </c>
      <c r="D50" s="9" t="s">
        <v>75</v>
      </c>
      <c r="E50" s="10">
        <v>113.76</v>
      </c>
      <c r="F50" s="10">
        <v>115.07</v>
      </c>
      <c r="G50" s="10">
        <v>113.73</v>
      </c>
      <c r="H50" s="10">
        <v>114.56</v>
      </c>
      <c r="I50" s="11">
        <v>3816713</v>
      </c>
      <c r="J50" s="10">
        <v>25203200000</v>
      </c>
      <c r="K50" s="30">
        <f t="shared" si="0"/>
        <v>0.70323488045006777</v>
      </c>
      <c r="L50" s="31">
        <f t="shared" si="1"/>
        <v>1.3399999999999892</v>
      </c>
      <c r="M50" s="30">
        <f t="shared" si="2"/>
        <v>1.1779184247538583E-2</v>
      </c>
      <c r="N50" s="20" t="str">
        <f t="shared" si="5"/>
        <v>High volume</v>
      </c>
      <c r="O50" s="32">
        <f t="shared" si="3"/>
        <v>25.203199999999999</v>
      </c>
      <c r="P50" s="20">
        <f t="shared" si="4"/>
        <v>1</v>
      </c>
      <c r="Q50" s="20" t="str" cm="1">
        <f t="array" ref="Q50">_xlfn.IFS(P50&lt;=3,"Q1",P50&lt;=6,"Q2",P50&lt;=9,"Q3",P50&lt;=12,"Q4")</f>
        <v>Q1</v>
      </c>
    </row>
    <row r="51" spans="1:17" x14ac:dyDescent="0.25">
      <c r="A51" s="14">
        <v>45672</v>
      </c>
      <c r="B51" s="15" t="s">
        <v>76</v>
      </c>
      <c r="C51" s="15" t="s">
        <v>77</v>
      </c>
      <c r="D51" s="15" t="s">
        <v>75</v>
      </c>
      <c r="E51" s="16">
        <v>135.72</v>
      </c>
      <c r="F51" s="16">
        <v>136.49</v>
      </c>
      <c r="G51" s="16">
        <v>134.55000000000001</v>
      </c>
      <c r="H51" s="16">
        <v>135.16</v>
      </c>
      <c r="I51" s="17">
        <v>2487461</v>
      </c>
      <c r="J51" s="16">
        <v>27032000000</v>
      </c>
      <c r="K51" s="30">
        <f t="shared" si="0"/>
        <v>-0.41261420571765572</v>
      </c>
      <c r="L51" s="31">
        <f t="shared" si="1"/>
        <v>1.9399999999999977</v>
      </c>
      <c r="M51" s="30">
        <f t="shared" si="2"/>
        <v>1.429413498379014E-2</v>
      </c>
      <c r="N51" s="20" t="str">
        <f t="shared" si="5"/>
        <v>High volume</v>
      </c>
      <c r="O51" s="32">
        <f t="shared" si="3"/>
        <v>27.032</v>
      </c>
      <c r="P51" s="20">
        <f t="shared" si="4"/>
        <v>1</v>
      </c>
      <c r="Q51" s="20" t="str" cm="1">
        <f t="array" ref="Q51">_xlfn.IFS(P51&lt;=3,"Q1",P51&lt;=6,"Q2",P51&lt;=9,"Q3",P51&lt;=12,"Q4")</f>
        <v>Q1</v>
      </c>
    </row>
    <row r="52" spans="1:17" x14ac:dyDescent="0.25">
      <c r="A52" s="8">
        <v>45673</v>
      </c>
      <c r="B52" s="9" t="s">
        <v>60</v>
      </c>
      <c r="C52" s="9" t="s">
        <v>61</v>
      </c>
      <c r="D52" s="9" t="s">
        <v>62</v>
      </c>
      <c r="E52" s="10">
        <v>3231.87</v>
      </c>
      <c r="F52" s="10">
        <v>3271.22</v>
      </c>
      <c r="G52" s="10">
        <v>3230.03</v>
      </c>
      <c r="H52" s="10">
        <v>3257.7</v>
      </c>
      <c r="I52" s="11">
        <v>2816557</v>
      </c>
      <c r="J52" s="10">
        <v>4560780000000</v>
      </c>
      <c r="K52" s="30">
        <f t="shared" si="0"/>
        <v>0.79922769170789432</v>
      </c>
      <c r="L52" s="31">
        <f t="shared" si="1"/>
        <v>41.1899999999996</v>
      </c>
      <c r="M52" s="30">
        <f t="shared" si="2"/>
        <v>1.2744943330022433E-2</v>
      </c>
      <c r="N52" s="20" t="str">
        <f t="shared" si="5"/>
        <v>High volume</v>
      </c>
      <c r="O52" s="32">
        <f t="shared" si="3"/>
        <v>4560.78</v>
      </c>
      <c r="P52" s="20">
        <f t="shared" si="4"/>
        <v>1</v>
      </c>
      <c r="Q52" s="20" t="str" cm="1">
        <f t="array" ref="Q52">_xlfn.IFS(P52&lt;=3,"Q1",P52&lt;=6,"Q2",P52&lt;=9,"Q3",P52&lt;=12,"Q4")</f>
        <v>Q1</v>
      </c>
    </row>
    <row r="53" spans="1:17" x14ac:dyDescent="0.25">
      <c r="A53" s="14">
        <v>45673</v>
      </c>
      <c r="B53" s="15" t="s">
        <v>65</v>
      </c>
      <c r="C53" s="15" t="s">
        <v>66</v>
      </c>
      <c r="D53" s="15" t="s">
        <v>67</v>
      </c>
      <c r="E53" s="16">
        <v>173.61</v>
      </c>
      <c r="F53" s="16">
        <v>176.69</v>
      </c>
      <c r="G53" s="16">
        <v>172.76</v>
      </c>
      <c r="H53" s="16">
        <v>176.44</v>
      </c>
      <c r="I53" s="17">
        <v>378143</v>
      </c>
      <c r="J53" s="16">
        <v>44110000000</v>
      </c>
      <c r="K53" s="30">
        <f t="shared" si="0"/>
        <v>1.6300904325787593</v>
      </c>
      <c r="L53" s="31">
        <f t="shared" si="1"/>
        <v>3.9300000000000068</v>
      </c>
      <c r="M53" s="30">
        <f t="shared" si="2"/>
        <v>2.2636944876447247E-2</v>
      </c>
      <c r="N53" s="20" t="str">
        <f t="shared" si="5"/>
        <v>Normal</v>
      </c>
      <c r="O53" s="32">
        <f t="shared" si="3"/>
        <v>44.11</v>
      </c>
      <c r="P53" s="20">
        <f t="shared" si="4"/>
        <v>1</v>
      </c>
      <c r="Q53" s="20" t="str" cm="1">
        <f t="array" ref="Q53">_xlfn.IFS(P53&lt;=3,"Q1",P53&lt;=6,"Q2",P53&lt;=9,"Q3",P53&lt;=12,"Q4")</f>
        <v>Q1</v>
      </c>
    </row>
    <row r="54" spans="1:17" x14ac:dyDescent="0.25">
      <c r="A54" s="8">
        <v>45673</v>
      </c>
      <c r="B54" s="9" t="s">
        <v>69</v>
      </c>
      <c r="C54" s="9" t="s">
        <v>70</v>
      </c>
      <c r="D54" s="9" t="s">
        <v>71</v>
      </c>
      <c r="E54" s="10">
        <v>560.54</v>
      </c>
      <c r="F54" s="10">
        <v>564.72</v>
      </c>
      <c r="G54" s="10">
        <v>558.79</v>
      </c>
      <c r="H54" s="10">
        <v>560.04999999999995</v>
      </c>
      <c r="I54" s="11">
        <v>2524662</v>
      </c>
      <c r="J54" s="10">
        <v>448040000000</v>
      </c>
      <c r="K54" s="30">
        <f t="shared" si="0"/>
        <v>-8.741570628322852E-2</v>
      </c>
      <c r="L54" s="31">
        <f t="shared" si="1"/>
        <v>5.9300000000000637</v>
      </c>
      <c r="M54" s="30">
        <f t="shared" si="2"/>
        <v>1.0579084454276348E-2</v>
      </c>
      <c r="N54" s="20" t="str">
        <f t="shared" si="5"/>
        <v>High volume</v>
      </c>
      <c r="O54" s="32">
        <f t="shared" si="3"/>
        <v>448.04</v>
      </c>
      <c r="P54" s="20">
        <f t="shared" si="4"/>
        <v>1</v>
      </c>
      <c r="Q54" s="20" t="str" cm="1">
        <f t="array" ref="Q54">_xlfn.IFS(P54&lt;=3,"Q1",P54&lt;=6,"Q2",P54&lt;=9,"Q3",P54&lt;=12,"Q4")</f>
        <v>Q1</v>
      </c>
    </row>
    <row r="55" spans="1:17" x14ac:dyDescent="0.25">
      <c r="A55" s="14">
        <v>45673</v>
      </c>
      <c r="B55" s="15" t="s">
        <v>73</v>
      </c>
      <c r="C55" s="15" t="s">
        <v>74</v>
      </c>
      <c r="D55" s="15" t="s">
        <v>75</v>
      </c>
      <c r="E55" s="16">
        <v>114.57</v>
      </c>
      <c r="F55" s="16">
        <v>115.14</v>
      </c>
      <c r="G55" s="16">
        <v>113.94</v>
      </c>
      <c r="H55" s="16">
        <v>114.02</v>
      </c>
      <c r="I55" s="17">
        <v>2349206</v>
      </c>
      <c r="J55" s="16">
        <v>25084400000</v>
      </c>
      <c r="K55" s="30">
        <f t="shared" si="0"/>
        <v>-0.48005586104564646</v>
      </c>
      <c r="L55" s="31">
        <f t="shared" si="1"/>
        <v>1.2000000000000028</v>
      </c>
      <c r="M55" s="30">
        <f t="shared" si="2"/>
        <v>1.047394605917782E-2</v>
      </c>
      <c r="N55" s="20" t="str">
        <f t="shared" si="5"/>
        <v>High volume</v>
      </c>
      <c r="O55" s="32">
        <f t="shared" si="3"/>
        <v>25.084399999999999</v>
      </c>
      <c r="P55" s="20">
        <f t="shared" si="4"/>
        <v>1</v>
      </c>
      <c r="Q55" s="20" t="str" cm="1">
        <f t="array" ref="Q55">_xlfn.IFS(P55&lt;=3,"Q1",P55&lt;=6,"Q2",P55&lt;=9,"Q3",P55&lt;=12,"Q4")</f>
        <v>Q1</v>
      </c>
    </row>
    <row r="56" spans="1:17" x14ac:dyDescent="0.25">
      <c r="A56" s="8">
        <v>45673</v>
      </c>
      <c r="B56" s="9" t="s">
        <v>76</v>
      </c>
      <c r="C56" s="9" t="s">
        <v>77</v>
      </c>
      <c r="D56" s="9" t="s">
        <v>75</v>
      </c>
      <c r="E56" s="10">
        <v>134.38</v>
      </c>
      <c r="F56" s="10">
        <v>134.84</v>
      </c>
      <c r="G56" s="10">
        <v>133.54</v>
      </c>
      <c r="H56" s="10">
        <v>134.34</v>
      </c>
      <c r="I56" s="11">
        <v>4737076</v>
      </c>
      <c r="J56" s="10">
        <v>26868000000</v>
      </c>
      <c r="K56" s="30">
        <f t="shared" si="0"/>
        <v>-2.9766334275927998E-2</v>
      </c>
      <c r="L56" s="31">
        <f t="shared" si="1"/>
        <v>1.3000000000000114</v>
      </c>
      <c r="M56" s="30">
        <f t="shared" si="2"/>
        <v>9.674058639678608E-3</v>
      </c>
      <c r="N56" s="20" t="str">
        <f t="shared" si="5"/>
        <v>High volume</v>
      </c>
      <c r="O56" s="32">
        <f t="shared" si="3"/>
        <v>26.867999999999999</v>
      </c>
      <c r="P56" s="20">
        <f t="shared" si="4"/>
        <v>1</v>
      </c>
      <c r="Q56" s="20" t="str" cm="1">
        <f t="array" ref="Q56">_xlfn.IFS(P56&lt;=3,"Q1",P56&lt;=6,"Q2",P56&lt;=9,"Q3",P56&lt;=12,"Q4")</f>
        <v>Q1</v>
      </c>
    </row>
    <row r="57" spans="1:17" x14ac:dyDescent="0.25">
      <c r="A57" s="14">
        <v>45674</v>
      </c>
      <c r="B57" s="15" t="s">
        <v>60</v>
      </c>
      <c r="C57" s="15" t="s">
        <v>61</v>
      </c>
      <c r="D57" s="15" t="s">
        <v>62</v>
      </c>
      <c r="E57" s="16">
        <v>3192.46</v>
      </c>
      <c r="F57" s="16">
        <v>3239.48</v>
      </c>
      <c r="G57" s="16">
        <v>3190.15</v>
      </c>
      <c r="H57" s="16">
        <v>3204.92</v>
      </c>
      <c r="I57" s="17">
        <v>1168946</v>
      </c>
      <c r="J57" s="16">
        <v>4486888000000</v>
      </c>
      <c r="K57" s="30">
        <f t="shared" si="0"/>
        <v>0.39029463172600554</v>
      </c>
      <c r="L57" s="31">
        <f t="shared" si="1"/>
        <v>49.329999999999927</v>
      </c>
      <c r="M57" s="30">
        <f t="shared" si="2"/>
        <v>1.5452033854770279E-2</v>
      </c>
      <c r="N57" s="20" t="str">
        <f t="shared" si="5"/>
        <v>Normal</v>
      </c>
      <c r="O57" s="32">
        <f t="shared" si="3"/>
        <v>4486.8879999999999</v>
      </c>
      <c r="P57" s="20">
        <f t="shared" si="4"/>
        <v>1</v>
      </c>
      <c r="Q57" s="20" t="str" cm="1">
        <f t="array" ref="Q57">_xlfn.IFS(P57&lt;=3,"Q1",P57&lt;=6,"Q2",P57&lt;=9,"Q3",P57&lt;=12,"Q4")</f>
        <v>Q1</v>
      </c>
    </row>
    <row r="58" spans="1:17" x14ac:dyDescent="0.25">
      <c r="A58" s="8">
        <v>45674</v>
      </c>
      <c r="B58" s="9" t="s">
        <v>65</v>
      </c>
      <c r="C58" s="9" t="s">
        <v>66</v>
      </c>
      <c r="D58" s="9" t="s">
        <v>67</v>
      </c>
      <c r="E58" s="10">
        <v>177.79</v>
      </c>
      <c r="F58" s="10">
        <v>178.08</v>
      </c>
      <c r="G58" s="10">
        <v>177.28</v>
      </c>
      <c r="H58" s="10">
        <v>177.72</v>
      </c>
      <c r="I58" s="11">
        <v>2584622</v>
      </c>
      <c r="J58" s="10">
        <v>44430000000</v>
      </c>
      <c r="K58" s="30">
        <f t="shared" si="0"/>
        <v>-3.9372293154841774E-2</v>
      </c>
      <c r="L58" s="31">
        <f t="shared" si="1"/>
        <v>0.80000000000001137</v>
      </c>
      <c r="M58" s="30">
        <f t="shared" si="2"/>
        <v>4.4996906462681334E-3</v>
      </c>
      <c r="N58" s="20" t="str">
        <f t="shared" si="5"/>
        <v>High volume</v>
      </c>
      <c r="O58" s="32">
        <f t="shared" si="3"/>
        <v>44.43</v>
      </c>
      <c r="P58" s="20">
        <f t="shared" si="4"/>
        <v>1</v>
      </c>
      <c r="Q58" s="20" t="str" cm="1">
        <f t="array" ref="Q58">_xlfn.IFS(P58&lt;=3,"Q1",P58&lt;=6,"Q2",P58&lt;=9,"Q3",P58&lt;=12,"Q4")</f>
        <v>Q1</v>
      </c>
    </row>
    <row r="59" spans="1:17" x14ac:dyDescent="0.25">
      <c r="A59" s="14">
        <v>45674</v>
      </c>
      <c r="B59" s="15" t="s">
        <v>69</v>
      </c>
      <c r="C59" s="15" t="s">
        <v>70</v>
      </c>
      <c r="D59" s="15" t="s">
        <v>71</v>
      </c>
      <c r="E59" s="16">
        <v>562.80999999999995</v>
      </c>
      <c r="F59" s="16">
        <v>563.41999999999996</v>
      </c>
      <c r="G59" s="16">
        <v>559.77</v>
      </c>
      <c r="H59" s="16">
        <v>561.02</v>
      </c>
      <c r="I59" s="17">
        <v>2514457</v>
      </c>
      <c r="J59" s="16">
        <v>448816000000</v>
      </c>
      <c r="K59" s="30">
        <f t="shared" si="0"/>
        <v>-0.31804694301806358</v>
      </c>
      <c r="L59" s="31">
        <f t="shared" si="1"/>
        <v>3.6499999999999773</v>
      </c>
      <c r="M59" s="30">
        <f t="shared" si="2"/>
        <v>6.4853147598656347E-3</v>
      </c>
      <c r="N59" s="20" t="str">
        <f t="shared" si="5"/>
        <v>High volume</v>
      </c>
      <c r="O59" s="32">
        <f t="shared" si="3"/>
        <v>448.81599999999997</v>
      </c>
      <c r="P59" s="20">
        <f t="shared" si="4"/>
        <v>1</v>
      </c>
      <c r="Q59" s="20" t="str" cm="1">
        <f t="array" ref="Q59">_xlfn.IFS(P59&lt;=3,"Q1",P59&lt;=6,"Q2",P59&lt;=9,"Q3",P59&lt;=12,"Q4")</f>
        <v>Q1</v>
      </c>
    </row>
    <row r="60" spans="1:17" x14ac:dyDescent="0.25">
      <c r="A60" s="8">
        <v>45674</v>
      </c>
      <c r="B60" s="9" t="s">
        <v>73</v>
      </c>
      <c r="C60" s="9" t="s">
        <v>74</v>
      </c>
      <c r="D60" s="9" t="s">
        <v>75</v>
      </c>
      <c r="E60" s="10">
        <v>112.74</v>
      </c>
      <c r="F60" s="10">
        <v>112.76</v>
      </c>
      <c r="G60" s="10">
        <v>112.5</v>
      </c>
      <c r="H60" s="10">
        <v>112.66</v>
      </c>
      <c r="I60" s="11">
        <v>2620961</v>
      </c>
      <c r="J60" s="10">
        <v>24785200000</v>
      </c>
      <c r="K60" s="30">
        <f t="shared" si="0"/>
        <v>-7.0959730353023151E-2</v>
      </c>
      <c r="L60" s="31">
        <f t="shared" si="1"/>
        <v>0.26000000000000512</v>
      </c>
      <c r="M60" s="30">
        <f t="shared" si="2"/>
        <v>2.306191236473347E-3</v>
      </c>
      <c r="N60" s="20" t="str">
        <f t="shared" si="5"/>
        <v>High volume</v>
      </c>
      <c r="O60" s="32">
        <f t="shared" si="3"/>
        <v>24.7852</v>
      </c>
      <c r="P60" s="20">
        <f t="shared" si="4"/>
        <v>1</v>
      </c>
      <c r="Q60" s="20" t="str" cm="1">
        <f t="array" ref="Q60">_xlfn.IFS(P60&lt;=3,"Q1",P60&lt;=6,"Q2",P60&lt;=9,"Q3",P60&lt;=12,"Q4")</f>
        <v>Q1</v>
      </c>
    </row>
    <row r="61" spans="1:17" x14ac:dyDescent="0.25">
      <c r="A61" s="14">
        <v>45674</v>
      </c>
      <c r="B61" s="15" t="s">
        <v>76</v>
      </c>
      <c r="C61" s="15" t="s">
        <v>77</v>
      </c>
      <c r="D61" s="15" t="s">
        <v>75</v>
      </c>
      <c r="E61" s="16">
        <v>134.01</v>
      </c>
      <c r="F61" s="16">
        <v>134.94</v>
      </c>
      <c r="G61" s="16">
        <v>133.75</v>
      </c>
      <c r="H61" s="16">
        <v>133.91</v>
      </c>
      <c r="I61" s="17">
        <v>2497440</v>
      </c>
      <c r="J61" s="16">
        <v>26782000000</v>
      </c>
      <c r="K61" s="30">
        <f t="shared" si="0"/>
        <v>-7.4621296918136196E-2</v>
      </c>
      <c r="L61" s="31">
        <f t="shared" si="1"/>
        <v>1.1899999999999977</v>
      </c>
      <c r="M61" s="30">
        <f t="shared" si="2"/>
        <v>8.8799343332586957E-3</v>
      </c>
      <c r="N61" s="20" t="str">
        <f t="shared" si="5"/>
        <v>High volume</v>
      </c>
      <c r="O61" s="32">
        <f t="shared" si="3"/>
        <v>26.782</v>
      </c>
      <c r="P61" s="20">
        <f t="shared" si="4"/>
        <v>1</v>
      </c>
      <c r="Q61" s="20" t="str" cm="1">
        <f t="array" ref="Q61">_xlfn.IFS(P61&lt;=3,"Q1",P61&lt;=6,"Q2",P61&lt;=9,"Q3",P61&lt;=12,"Q4")</f>
        <v>Q1</v>
      </c>
    </row>
    <row r="62" spans="1:17" x14ac:dyDescent="0.25">
      <c r="A62" s="8">
        <v>45677</v>
      </c>
      <c r="B62" s="9" t="s">
        <v>60</v>
      </c>
      <c r="C62" s="9" t="s">
        <v>61</v>
      </c>
      <c r="D62" s="9" t="s">
        <v>62</v>
      </c>
      <c r="E62" s="10">
        <v>3232.94</v>
      </c>
      <c r="F62" s="10">
        <v>3256.67</v>
      </c>
      <c r="G62" s="10">
        <v>3223.82</v>
      </c>
      <c r="H62" s="10">
        <v>3227.5</v>
      </c>
      <c r="I62" s="11">
        <v>1550357</v>
      </c>
      <c r="J62" s="10">
        <v>4518500000000</v>
      </c>
      <c r="K62" s="30">
        <f t="shared" si="0"/>
        <v>-0.16826789238278639</v>
      </c>
      <c r="L62" s="31">
        <f t="shared" si="1"/>
        <v>32.849999999999909</v>
      </c>
      <c r="M62" s="30">
        <f t="shared" si="2"/>
        <v>1.0161029898482467E-2</v>
      </c>
      <c r="N62" s="20" t="str">
        <f t="shared" si="5"/>
        <v>Normal</v>
      </c>
      <c r="O62" s="32">
        <f t="shared" si="3"/>
        <v>4518.5</v>
      </c>
      <c r="P62" s="20">
        <f t="shared" si="4"/>
        <v>1</v>
      </c>
      <c r="Q62" s="20" t="str" cm="1">
        <f t="array" ref="Q62">_xlfn.IFS(P62&lt;=3,"Q1",P62&lt;=6,"Q2",P62&lt;=9,"Q3",P62&lt;=12,"Q4")</f>
        <v>Q1</v>
      </c>
    </row>
    <row r="63" spans="1:17" x14ac:dyDescent="0.25">
      <c r="A63" s="14">
        <v>45677</v>
      </c>
      <c r="B63" s="15" t="s">
        <v>65</v>
      </c>
      <c r="C63" s="15" t="s">
        <v>66</v>
      </c>
      <c r="D63" s="15" t="s">
        <v>67</v>
      </c>
      <c r="E63" s="16">
        <v>174.47</v>
      </c>
      <c r="F63" s="16">
        <v>177.01</v>
      </c>
      <c r="G63" s="16">
        <v>173.72</v>
      </c>
      <c r="H63" s="16">
        <v>175.64</v>
      </c>
      <c r="I63" s="17">
        <v>1542300</v>
      </c>
      <c r="J63" s="16">
        <v>43910000000</v>
      </c>
      <c r="K63" s="30">
        <f t="shared" si="0"/>
        <v>0.6706023958273557</v>
      </c>
      <c r="L63" s="31">
        <f t="shared" si="1"/>
        <v>3.289999999999992</v>
      </c>
      <c r="M63" s="30">
        <f t="shared" si="2"/>
        <v>1.8857110104889049E-2</v>
      </c>
      <c r="N63" s="20" t="str">
        <f t="shared" si="5"/>
        <v>Normal</v>
      </c>
      <c r="O63" s="32">
        <f t="shared" si="3"/>
        <v>43.91</v>
      </c>
      <c r="P63" s="20">
        <f t="shared" si="4"/>
        <v>1</v>
      </c>
      <c r="Q63" s="20" t="str" cm="1">
        <f t="array" ref="Q63">_xlfn.IFS(P63&lt;=3,"Q1",P63&lt;=6,"Q2",P63&lt;=9,"Q3",P63&lt;=12,"Q4")</f>
        <v>Q1</v>
      </c>
    </row>
    <row r="64" spans="1:17" x14ac:dyDescent="0.25">
      <c r="A64" s="8">
        <v>45677</v>
      </c>
      <c r="B64" s="9" t="s">
        <v>69</v>
      </c>
      <c r="C64" s="9" t="s">
        <v>70</v>
      </c>
      <c r="D64" s="9" t="s">
        <v>71</v>
      </c>
      <c r="E64" s="10">
        <v>558.91</v>
      </c>
      <c r="F64" s="10">
        <v>559.47</v>
      </c>
      <c r="G64" s="10">
        <v>552.04999999999995</v>
      </c>
      <c r="H64" s="10">
        <v>559.26</v>
      </c>
      <c r="I64" s="11">
        <v>634662</v>
      </c>
      <c r="J64" s="10">
        <v>447408000000</v>
      </c>
      <c r="K64" s="30">
        <f t="shared" si="0"/>
        <v>6.2621889034016706E-2</v>
      </c>
      <c r="L64" s="31">
        <f t="shared" si="1"/>
        <v>7.4200000000000728</v>
      </c>
      <c r="M64" s="30">
        <f t="shared" si="2"/>
        <v>1.3275840475210809E-2</v>
      </c>
      <c r="N64" s="20" t="str">
        <f t="shared" si="5"/>
        <v>Normal</v>
      </c>
      <c r="O64" s="32">
        <f t="shared" si="3"/>
        <v>447.40800000000002</v>
      </c>
      <c r="P64" s="20">
        <f t="shared" si="4"/>
        <v>1</v>
      </c>
      <c r="Q64" s="20" t="str" cm="1">
        <f t="array" ref="Q64">_xlfn.IFS(P64&lt;=3,"Q1",P64&lt;=6,"Q2",P64&lt;=9,"Q3",P64&lt;=12,"Q4")</f>
        <v>Q1</v>
      </c>
    </row>
    <row r="65" spans="1:17" x14ac:dyDescent="0.25">
      <c r="A65" s="14">
        <v>45677</v>
      </c>
      <c r="B65" s="15" t="s">
        <v>73</v>
      </c>
      <c r="C65" s="15" t="s">
        <v>74</v>
      </c>
      <c r="D65" s="15" t="s">
        <v>75</v>
      </c>
      <c r="E65" s="16">
        <v>115.64</v>
      </c>
      <c r="F65" s="16">
        <v>116.15</v>
      </c>
      <c r="G65" s="16">
        <v>115.26</v>
      </c>
      <c r="H65" s="16">
        <v>115.48</v>
      </c>
      <c r="I65" s="17">
        <v>1162295</v>
      </c>
      <c r="J65" s="16">
        <v>25405600000</v>
      </c>
      <c r="K65" s="30">
        <f t="shared" si="0"/>
        <v>-0.13836042891732669</v>
      </c>
      <c r="L65" s="31">
        <f t="shared" si="1"/>
        <v>0.89000000000000057</v>
      </c>
      <c r="M65" s="30">
        <f t="shared" si="2"/>
        <v>7.6962988585264659E-3</v>
      </c>
      <c r="N65" s="20" t="str">
        <f t="shared" si="5"/>
        <v>Normal</v>
      </c>
      <c r="O65" s="32">
        <f t="shared" si="3"/>
        <v>25.4056</v>
      </c>
      <c r="P65" s="20">
        <f t="shared" si="4"/>
        <v>1</v>
      </c>
      <c r="Q65" s="20" t="str" cm="1">
        <f t="array" ref="Q65">_xlfn.IFS(P65&lt;=3,"Q1",P65&lt;=6,"Q2",P65&lt;=9,"Q3",P65&lt;=12,"Q4")</f>
        <v>Q1</v>
      </c>
    </row>
    <row r="66" spans="1:17" x14ac:dyDescent="0.25">
      <c r="A66" s="8">
        <v>45677</v>
      </c>
      <c r="B66" s="9" t="s">
        <v>76</v>
      </c>
      <c r="C66" s="9" t="s">
        <v>77</v>
      </c>
      <c r="D66" s="9" t="s">
        <v>75</v>
      </c>
      <c r="E66" s="10">
        <v>132.38</v>
      </c>
      <c r="F66" s="10">
        <v>133.46</v>
      </c>
      <c r="G66" s="10">
        <v>130.36000000000001</v>
      </c>
      <c r="H66" s="10">
        <v>132.68</v>
      </c>
      <c r="I66" s="11">
        <v>2285896</v>
      </c>
      <c r="J66" s="10">
        <v>26536000000</v>
      </c>
      <c r="K66" s="30">
        <f t="shared" si="0"/>
        <v>0.22662033539810497</v>
      </c>
      <c r="L66" s="31">
        <f t="shared" si="1"/>
        <v>3.0999999999999943</v>
      </c>
      <c r="M66" s="30">
        <f t="shared" si="2"/>
        <v>2.341743465780325E-2</v>
      </c>
      <c r="N66" s="20" t="str">
        <f t="shared" si="5"/>
        <v>High volume</v>
      </c>
      <c r="O66" s="32">
        <f t="shared" si="3"/>
        <v>26.536000000000001</v>
      </c>
      <c r="P66" s="20">
        <f t="shared" si="4"/>
        <v>1</v>
      </c>
      <c r="Q66" s="20" t="str" cm="1">
        <f t="array" ref="Q66">_xlfn.IFS(P66&lt;=3,"Q1",P66&lt;=6,"Q2",P66&lt;=9,"Q3",P66&lt;=12,"Q4")</f>
        <v>Q1</v>
      </c>
    </row>
    <row r="67" spans="1:17" x14ac:dyDescent="0.25">
      <c r="A67" s="14">
        <v>45678</v>
      </c>
      <c r="B67" s="15" t="s">
        <v>60</v>
      </c>
      <c r="C67" s="15" t="s">
        <v>61</v>
      </c>
      <c r="D67" s="15" t="s">
        <v>62</v>
      </c>
      <c r="E67" s="16">
        <v>3135.57</v>
      </c>
      <c r="F67" s="16">
        <v>3180.8</v>
      </c>
      <c r="G67" s="16">
        <v>3084.01</v>
      </c>
      <c r="H67" s="16">
        <v>3162.48</v>
      </c>
      <c r="I67" s="17">
        <v>3758576</v>
      </c>
      <c r="J67" s="16">
        <v>4427472000000</v>
      </c>
      <c r="K67" s="30">
        <f t="shared" ref="K67:K130" si="6">((H67-E67)/E67)*100</f>
        <v>0.85821716625684807</v>
      </c>
      <c r="L67" s="31">
        <f t="shared" ref="L67:L130" si="7">F67-G67</f>
        <v>96.789999999999964</v>
      </c>
      <c r="M67" s="30">
        <f t="shared" ref="M67:M130" si="8">L67/E67</f>
        <v>3.0868390755109904E-2</v>
      </c>
      <c r="N67" s="20" t="str">
        <f t="shared" si="5"/>
        <v>High volume</v>
      </c>
      <c r="O67" s="32">
        <f t="shared" ref="O67:O130" si="9">J67/1000000000</f>
        <v>4427.4719999999998</v>
      </c>
      <c r="P67" s="20">
        <f t="shared" ref="P67:P130" si="10">MONTH(A67)</f>
        <v>1</v>
      </c>
      <c r="Q67" s="20" t="str" cm="1">
        <f t="array" ref="Q67">_xlfn.IFS(P67&lt;=3,"Q1",P67&lt;=6,"Q2",P67&lt;=9,"Q3",P67&lt;=12,"Q4")</f>
        <v>Q1</v>
      </c>
    </row>
    <row r="68" spans="1:17" x14ac:dyDescent="0.25">
      <c r="A68" s="8">
        <v>45678</v>
      </c>
      <c r="B68" s="9" t="s">
        <v>65</v>
      </c>
      <c r="C68" s="9" t="s">
        <v>66</v>
      </c>
      <c r="D68" s="9" t="s">
        <v>67</v>
      </c>
      <c r="E68" s="10">
        <v>179.93</v>
      </c>
      <c r="F68" s="10">
        <v>180.29</v>
      </c>
      <c r="G68" s="10">
        <v>178.29</v>
      </c>
      <c r="H68" s="10">
        <v>179.89</v>
      </c>
      <c r="I68" s="11">
        <v>2381777</v>
      </c>
      <c r="J68" s="10">
        <v>44972500000</v>
      </c>
      <c r="K68" s="30">
        <f t="shared" si="6"/>
        <v>-2.2230867559617885E-2</v>
      </c>
      <c r="L68" s="31">
        <f t="shared" si="7"/>
        <v>2</v>
      </c>
      <c r="M68" s="30">
        <f t="shared" si="8"/>
        <v>1.1115433779803256E-2</v>
      </c>
      <c r="N68" s="20" t="str">
        <f t="shared" ref="N68:N131" si="11">IF(I68&gt;2000000,"High volume","Normal")</f>
        <v>High volume</v>
      </c>
      <c r="O68" s="32">
        <f t="shared" si="9"/>
        <v>44.972499999999997</v>
      </c>
      <c r="P68" s="20">
        <f t="shared" si="10"/>
        <v>1</v>
      </c>
      <c r="Q68" s="20" t="str" cm="1">
        <f t="array" ref="Q68">_xlfn.IFS(P68&lt;=3,"Q1",P68&lt;=6,"Q2",P68&lt;=9,"Q3",P68&lt;=12,"Q4")</f>
        <v>Q1</v>
      </c>
    </row>
    <row r="69" spans="1:17" x14ac:dyDescent="0.25">
      <c r="A69" s="14">
        <v>45678</v>
      </c>
      <c r="B69" s="15" t="s">
        <v>69</v>
      </c>
      <c r="C69" s="15" t="s">
        <v>70</v>
      </c>
      <c r="D69" s="15" t="s">
        <v>71</v>
      </c>
      <c r="E69" s="16">
        <v>576.23</v>
      </c>
      <c r="F69" s="16">
        <v>577.08000000000004</v>
      </c>
      <c r="G69" s="16">
        <v>568.16</v>
      </c>
      <c r="H69" s="16">
        <v>569.12</v>
      </c>
      <c r="I69" s="17">
        <v>624845</v>
      </c>
      <c r="J69" s="16">
        <v>455296000000</v>
      </c>
      <c r="K69" s="30">
        <f t="shared" si="6"/>
        <v>-1.2338823039411368</v>
      </c>
      <c r="L69" s="31">
        <f t="shared" si="7"/>
        <v>8.9200000000000728</v>
      </c>
      <c r="M69" s="30">
        <f t="shared" si="8"/>
        <v>1.5479929889106906E-2</v>
      </c>
      <c r="N69" s="20" t="str">
        <f t="shared" si="11"/>
        <v>Normal</v>
      </c>
      <c r="O69" s="32">
        <f t="shared" si="9"/>
        <v>455.29599999999999</v>
      </c>
      <c r="P69" s="20">
        <f t="shared" si="10"/>
        <v>1</v>
      </c>
      <c r="Q69" s="20" t="str" cm="1">
        <f t="array" ref="Q69">_xlfn.IFS(P69&lt;=3,"Q1",P69&lt;=6,"Q2",P69&lt;=9,"Q3",P69&lt;=12,"Q4")</f>
        <v>Q1</v>
      </c>
    </row>
    <row r="70" spans="1:17" x14ac:dyDescent="0.25">
      <c r="A70" s="8">
        <v>45678</v>
      </c>
      <c r="B70" s="9" t="s">
        <v>73</v>
      </c>
      <c r="C70" s="9" t="s">
        <v>74</v>
      </c>
      <c r="D70" s="9" t="s">
        <v>75</v>
      </c>
      <c r="E70" s="10">
        <v>116.28</v>
      </c>
      <c r="F70" s="10">
        <v>116.79</v>
      </c>
      <c r="G70" s="10">
        <v>115.86</v>
      </c>
      <c r="H70" s="10">
        <v>116.14</v>
      </c>
      <c r="I70" s="11">
        <v>2209209</v>
      </c>
      <c r="J70" s="10">
        <v>25550800000</v>
      </c>
      <c r="K70" s="30">
        <f t="shared" si="6"/>
        <v>-0.12039903680770601</v>
      </c>
      <c r="L70" s="31">
        <f t="shared" si="7"/>
        <v>0.93000000000000682</v>
      </c>
      <c r="M70" s="30">
        <f t="shared" si="8"/>
        <v>7.9979360165119261E-3</v>
      </c>
      <c r="N70" s="20" t="str">
        <f t="shared" si="11"/>
        <v>High volume</v>
      </c>
      <c r="O70" s="32">
        <f t="shared" si="9"/>
        <v>25.550799999999999</v>
      </c>
      <c r="P70" s="20">
        <f t="shared" si="10"/>
        <v>1</v>
      </c>
      <c r="Q70" s="20" t="str" cm="1">
        <f t="array" ref="Q70">_xlfn.IFS(P70&lt;=3,"Q1",P70&lt;=6,"Q2",P70&lt;=9,"Q3",P70&lt;=12,"Q4")</f>
        <v>Q1</v>
      </c>
    </row>
    <row r="71" spans="1:17" x14ac:dyDescent="0.25">
      <c r="A71" s="14">
        <v>45678</v>
      </c>
      <c r="B71" s="15" t="s">
        <v>76</v>
      </c>
      <c r="C71" s="15" t="s">
        <v>77</v>
      </c>
      <c r="D71" s="15" t="s">
        <v>75</v>
      </c>
      <c r="E71" s="16">
        <v>130.69</v>
      </c>
      <c r="F71" s="16">
        <v>130.94999999999999</v>
      </c>
      <c r="G71" s="16">
        <v>129.18</v>
      </c>
      <c r="H71" s="16">
        <v>129.88999999999999</v>
      </c>
      <c r="I71" s="17">
        <v>2637091</v>
      </c>
      <c r="J71" s="16">
        <v>25978000000</v>
      </c>
      <c r="K71" s="30">
        <f t="shared" si="6"/>
        <v>-0.61213558803275792</v>
      </c>
      <c r="L71" s="31">
        <f t="shared" si="7"/>
        <v>1.7699999999999818</v>
      </c>
      <c r="M71" s="30">
        <f t="shared" si="8"/>
        <v>1.3543499885224438E-2</v>
      </c>
      <c r="N71" s="20" t="str">
        <f t="shared" si="11"/>
        <v>High volume</v>
      </c>
      <c r="O71" s="32">
        <f t="shared" si="9"/>
        <v>25.978000000000002</v>
      </c>
      <c r="P71" s="20">
        <f t="shared" si="10"/>
        <v>1</v>
      </c>
      <c r="Q71" s="20" t="str" cm="1">
        <f t="array" ref="Q71">_xlfn.IFS(P71&lt;=3,"Q1",P71&lt;=6,"Q2",P71&lt;=9,"Q3",P71&lt;=12,"Q4")</f>
        <v>Q1</v>
      </c>
    </row>
    <row r="72" spans="1:17" x14ac:dyDescent="0.25">
      <c r="A72" s="8">
        <v>45679</v>
      </c>
      <c r="B72" s="9" t="s">
        <v>60</v>
      </c>
      <c r="C72" s="9" t="s">
        <v>61</v>
      </c>
      <c r="D72" s="9" t="s">
        <v>62</v>
      </c>
      <c r="E72" s="10">
        <v>3244.63</v>
      </c>
      <c r="F72" s="10">
        <v>3295.64</v>
      </c>
      <c r="G72" s="10">
        <v>3237.86</v>
      </c>
      <c r="H72" s="10">
        <v>3260.95</v>
      </c>
      <c r="I72" s="11">
        <v>4798103</v>
      </c>
      <c r="J72" s="10">
        <v>4565330000000</v>
      </c>
      <c r="K72" s="30">
        <f t="shared" si="6"/>
        <v>0.50298493202613881</v>
      </c>
      <c r="L72" s="31">
        <f t="shared" si="7"/>
        <v>57.779999999999745</v>
      </c>
      <c r="M72" s="30">
        <f t="shared" si="8"/>
        <v>1.7807885644896257E-2</v>
      </c>
      <c r="N72" s="20" t="str">
        <f t="shared" si="11"/>
        <v>High volume</v>
      </c>
      <c r="O72" s="32">
        <f t="shared" si="9"/>
        <v>4565.33</v>
      </c>
      <c r="P72" s="20">
        <f t="shared" si="10"/>
        <v>1</v>
      </c>
      <c r="Q72" s="20" t="str" cm="1">
        <f t="array" ref="Q72">_xlfn.IFS(P72&lt;=3,"Q1",P72&lt;=6,"Q2",P72&lt;=9,"Q3",P72&lt;=12,"Q4")</f>
        <v>Q1</v>
      </c>
    </row>
    <row r="73" spans="1:17" x14ac:dyDescent="0.25">
      <c r="A73" s="14">
        <v>45679</v>
      </c>
      <c r="B73" s="15" t="s">
        <v>65</v>
      </c>
      <c r="C73" s="15" t="s">
        <v>66</v>
      </c>
      <c r="D73" s="15" t="s">
        <v>67</v>
      </c>
      <c r="E73" s="16">
        <v>183.73</v>
      </c>
      <c r="F73" s="16">
        <v>183.9</v>
      </c>
      <c r="G73" s="16">
        <v>183.43</v>
      </c>
      <c r="H73" s="16">
        <v>183.84</v>
      </c>
      <c r="I73" s="17">
        <v>2491231</v>
      </c>
      <c r="J73" s="16">
        <v>45960000000</v>
      </c>
      <c r="K73" s="30">
        <f t="shared" si="6"/>
        <v>5.9870462091119389E-2</v>
      </c>
      <c r="L73" s="31">
        <f t="shared" si="7"/>
        <v>0.46999999999999886</v>
      </c>
      <c r="M73" s="30">
        <f t="shared" si="8"/>
        <v>2.5581015620747775E-3</v>
      </c>
      <c r="N73" s="20" t="str">
        <f t="shared" si="11"/>
        <v>High volume</v>
      </c>
      <c r="O73" s="32">
        <f t="shared" si="9"/>
        <v>45.96</v>
      </c>
      <c r="P73" s="20">
        <f t="shared" si="10"/>
        <v>1</v>
      </c>
      <c r="Q73" s="20" t="str" cm="1">
        <f t="array" ref="Q73">_xlfn.IFS(P73&lt;=3,"Q1",P73&lt;=6,"Q2",P73&lt;=9,"Q3",P73&lt;=12,"Q4")</f>
        <v>Q1</v>
      </c>
    </row>
    <row r="74" spans="1:17" x14ac:dyDescent="0.25">
      <c r="A74" s="8">
        <v>45679</v>
      </c>
      <c r="B74" s="9" t="s">
        <v>69</v>
      </c>
      <c r="C74" s="9" t="s">
        <v>70</v>
      </c>
      <c r="D74" s="9" t="s">
        <v>71</v>
      </c>
      <c r="E74" s="10">
        <v>578.73</v>
      </c>
      <c r="F74" s="10">
        <v>589.41999999999996</v>
      </c>
      <c r="G74" s="10">
        <v>578.51</v>
      </c>
      <c r="H74" s="10">
        <v>583.25</v>
      </c>
      <c r="I74" s="11">
        <v>2931316</v>
      </c>
      <c r="J74" s="10">
        <v>466600000000</v>
      </c>
      <c r="K74" s="30">
        <f t="shared" si="6"/>
        <v>0.78102051042800302</v>
      </c>
      <c r="L74" s="31">
        <f t="shared" si="7"/>
        <v>10.909999999999968</v>
      </c>
      <c r="M74" s="30">
        <f t="shared" si="8"/>
        <v>1.8851623382233455E-2</v>
      </c>
      <c r="N74" s="20" t="str">
        <f t="shared" si="11"/>
        <v>High volume</v>
      </c>
      <c r="O74" s="32">
        <f t="shared" si="9"/>
        <v>466.6</v>
      </c>
      <c r="P74" s="20">
        <f t="shared" si="10"/>
        <v>1</v>
      </c>
      <c r="Q74" s="20" t="str" cm="1">
        <f t="array" ref="Q74">_xlfn.IFS(P74&lt;=3,"Q1",P74&lt;=6,"Q2",P74&lt;=9,"Q3",P74&lt;=12,"Q4")</f>
        <v>Q1</v>
      </c>
    </row>
    <row r="75" spans="1:17" x14ac:dyDescent="0.25">
      <c r="A75" s="14">
        <v>45679</v>
      </c>
      <c r="B75" s="15" t="s">
        <v>73</v>
      </c>
      <c r="C75" s="15" t="s">
        <v>74</v>
      </c>
      <c r="D75" s="15" t="s">
        <v>75</v>
      </c>
      <c r="E75" s="16">
        <v>116.99</v>
      </c>
      <c r="F75" s="16">
        <v>119.47</v>
      </c>
      <c r="G75" s="16">
        <v>115.94</v>
      </c>
      <c r="H75" s="16">
        <v>116.35</v>
      </c>
      <c r="I75" s="17">
        <v>1894496</v>
      </c>
      <c r="J75" s="16">
        <v>25597000000</v>
      </c>
      <c r="K75" s="30">
        <f t="shared" si="6"/>
        <v>-0.54705530387212631</v>
      </c>
      <c r="L75" s="31">
        <f t="shared" si="7"/>
        <v>3.5300000000000011</v>
      </c>
      <c r="M75" s="30">
        <f t="shared" si="8"/>
        <v>3.0173519104196952E-2</v>
      </c>
      <c r="N75" s="20" t="str">
        <f t="shared" si="11"/>
        <v>Normal</v>
      </c>
      <c r="O75" s="32">
        <f t="shared" si="9"/>
        <v>25.597000000000001</v>
      </c>
      <c r="P75" s="20">
        <f t="shared" si="10"/>
        <v>1</v>
      </c>
      <c r="Q75" s="20" t="str" cm="1">
        <f t="array" ref="Q75">_xlfn.IFS(P75&lt;=3,"Q1",P75&lt;=6,"Q2",P75&lt;=9,"Q3",P75&lt;=12,"Q4")</f>
        <v>Q1</v>
      </c>
    </row>
    <row r="76" spans="1:17" x14ac:dyDescent="0.25">
      <c r="A76" s="8">
        <v>45679</v>
      </c>
      <c r="B76" s="9" t="s">
        <v>76</v>
      </c>
      <c r="C76" s="9" t="s">
        <v>77</v>
      </c>
      <c r="D76" s="9" t="s">
        <v>75</v>
      </c>
      <c r="E76" s="10">
        <v>129.83000000000001</v>
      </c>
      <c r="F76" s="10">
        <v>131.46</v>
      </c>
      <c r="G76" s="10">
        <v>127.46</v>
      </c>
      <c r="H76" s="10">
        <v>129.61000000000001</v>
      </c>
      <c r="I76" s="11">
        <v>1952850</v>
      </c>
      <c r="J76" s="10">
        <v>25922000000</v>
      </c>
      <c r="K76" s="30">
        <f t="shared" si="6"/>
        <v>-0.16945236077947995</v>
      </c>
      <c r="L76" s="31">
        <f t="shared" si="7"/>
        <v>4.0000000000000142</v>
      </c>
      <c r="M76" s="30">
        <f t="shared" si="8"/>
        <v>3.08095201417239E-2</v>
      </c>
      <c r="N76" s="20" t="str">
        <f t="shared" si="11"/>
        <v>Normal</v>
      </c>
      <c r="O76" s="32">
        <f t="shared" si="9"/>
        <v>25.922000000000001</v>
      </c>
      <c r="P76" s="20">
        <f t="shared" si="10"/>
        <v>1</v>
      </c>
      <c r="Q76" s="20" t="str" cm="1">
        <f t="array" ref="Q76">_xlfn.IFS(P76&lt;=3,"Q1",P76&lt;=6,"Q2",P76&lt;=9,"Q3",P76&lt;=12,"Q4")</f>
        <v>Q1</v>
      </c>
    </row>
    <row r="77" spans="1:17" x14ac:dyDescent="0.25">
      <c r="A77" s="14">
        <v>45680</v>
      </c>
      <c r="B77" s="15" t="s">
        <v>60</v>
      </c>
      <c r="C77" s="15" t="s">
        <v>61</v>
      </c>
      <c r="D77" s="15" t="s">
        <v>62</v>
      </c>
      <c r="E77" s="16">
        <v>3262.79</v>
      </c>
      <c r="F77" s="16">
        <v>3269.33</v>
      </c>
      <c r="G77" s="16">
        <v>3255.3</v>
      </c>
      <c r="H77" s="16">
        <v>3264.62</v>
      </c>
      <c r="I77" s="17">
        <v>3069918</v>
      </c>
      <c r="J77" s="16">
        <v>4570468000000</v>
      </c>
      <c r="K77" s="30">
        <f t="shared" si="6"/>
        <v>5.608696851467386E-2</v>
      </c>
      <c r="L77" s="31">
        <f t="shared" si="7"/>
        <v>14.029999999999745</v>
      </c>
      <c r="M77" s="30">
        <f t="shared" si="8"/>
        <v>4.3000009194584226E-3</v>
      </c>
      <c r="N77" s="20" t="str">
        <f t="shared" si="11"/>
        <v>High volume</v>
      </c>
      <c r="O77" s="32">
        <f t="shared" si="9"/>
        <v>4570.4679999999998</v>
      </c>
      <c r="P77" s="20">
        <f t="shared" si="10"/>
        <v>1</v>
      </c>
      <c r="Q77" s="20" t="str" cm="1">
        <f t="array" ref="Q77">_xlfn.IFS(P77&lt;=3,"Q1",P77&lt;=6,"Q2",P77&lt;=9,"Q3",P77&lt;=12,"Q4")</f>
        <v>Q1</v>
      </c>
    </row>
    <row r="78" spans="1:17" x14ac:dyDescent="0.25">
      <c r="A78" s="8">
        <v>45680</v>
      </c>
      <c r="B78" s="9" t="s">
        <v>65</v>
      </c>
      <c r="C78" s="9" t="s">
        <v>66</v>
      </c>
      <c r="D78" s="9" t="s">
        <v>67</v>
      </c>
      <c r="E78" s="10">
        <v>180.97</v>
      </c>
      <c r="F78" s="10">
        <v>182.46</v>
      </c>
      <c r="G78" s="10">
        <v>178.77</v>
      </c>
      <c r="H78" s="10">
        <v>180.64</v>
      </c>
      <c r="I78" s="11">
        <v>3725848</v>
      </c>
      <c r="J78" s="10">
        <v>45160000000</v>
      </c>
      <c r="K78" s="30">
        <f t="shared" si="6"/>
        <v>-0.18235066585622617</v>
      </c>
      <c r="L78" s="31">
        <f t="shared" si="7"/>
        <v>3.6899999999999977</v>
      </c>
      <c r="M78" s="30">
        <f t="shared" si="8"/>
        <v>2.0390119909377231E-2</v>
      </c>
      <c r="N78" s="20" t="str">
        <f t="shared" si="11"/>
        <v>High volume</v>
      </c>
      <c r="O78" s="32">
        <f t="shared" si="9"/>
        <v>45.16</v>
      </c>
      <c r="P78" s="20">
        <f t="shared" si="10"/>
        <v>1</v>
      </c>
      <c r="Q78" s="20" t="str" cm="1">
        <f t="array" ref="Q78">_xlfn.IFS(P78&lt;=3,"Q1",P78&lt;=6,"Q2",P78&lt;=9,"Q3",P78&lt;=12,"Q4")</f>
        <v>Q1</v>
      </c>
    </row>
    <row r="79" spans="1:17" x14ac:dyDescent="0.25">
      <c r="A79" s="14">
        <v>45680</v>
      </c>
      <c r="B79" s="15" t="s">
        <v>69</v>
      </c>
      <c r="C79" s="15" t="s">
        <v>70</v>
      </c>
      <c r="D79" s="15" t="s">
        <v>71</v>
      </c>
      <c r="E79" s="16">
        <v>596.61</v>
      </c>
      <c r="F79" s="16">
        <v>600.01</v>
      </c>
      <c r="G79" s="16">
        <v>590.05999999999995</v>
      </c>
      <c r="H79" s="16">
        <v>595.58000000000004</v>
      </c>
      <c r="I79" s="17">
        <v>1909271</v>
      </c>
      <c r="J79" s="16">
        <v>476464000000</v>
      </c>
      <c r="K79" s="30">
        <f t="shared" si="6"/>
        <v>-0.17264209450059045</v>
      </c>
      <c r="L79" s="31">
        <f t="shared" si="7"/>
        <v>9.9500000000000455</v>
      </c>
      <c r="M79" s="30">
        <f t="shared" si="8"/>
        <v>1.6677561556125518E-2</v>
      </c>
      <c r="N79" s="20" t="str">
        <f t="shared" si="11"/>
        <v>Normal</v>
      </c>
      <c r="O79" s="32">
        <f t="shared" si="9"/>
        <v>476.464</v>
      </c>
      <c r="P79" s="20">
        <f t="shared" si="10"/>
        <v>1</v>
      </c>
      <c r="Q79" s="20" t="str" cm="1">
        <f t="array" ref="Q79">_xlfn.IFS(P79&lt;=3,"Q1",P79&lt;=6,"Q2",P79&lt;=9,"Q3",P79&lt;=12,"Q4")</f>
        <v>Q1</v>
      </c>
    </row>
    <row r="80" spans="1:17" x14ac:dyDescent="0.25">
      <c r="A80" s="8">
        <v>45680</v>
      </c>
      <c r="B80" s="9" t="s">
        <v>73</v>
      </c>
      <c r="C80" s="9" t="s">
        <v>74</v>
      </c>
      <c r="D80" s="9" t="s">
        <v>75</v>
      </c>
      <c r="E80" s="10">
        <v>112.74</v>
      </c>
      <c r="F80" s="10">
        <v>113.77</v>
      </c>
      <c r="G80" s="10">
        <v>111.88</v>
      </c>
      <c r="H80" s="10">
        <v>113.04</v>
      </c>
      <c r="I80" s="11">
        <v>2824550</v>
      </c>
      <c r="J80" s="10">
        <v>24868800000</v>
      </c>
      <c r="K80" s="30">
        <f t="shared" si="6"/>
        <v>0.26609898882385258</v>
      </c>
      <c r="L80" s="31">
        <f t="shared" si="7"/>
        <v>1.8900000000000006</v>
      </c>
      <c r="M80" s="30">
        <f t="shared" si="8"/>
        <v>1.6764236295902082E-2</v>
      </c>
      <c r="N80" s="20" t="str">
        <f t="shared" si="11"/>
        <v>High volume</v>
      </c>
      <c r="O80" s="32">
        <f t="shared" si="9"/>
        <v>24.8688</v>
      </c>
      <c r="P80" s="20">
        <f t="shared" si="10"/>
        <v>1</v>
      </c>
      <c r="Q80" s="20" t="str" cm="1">
        <f t="array" ref="Q80">_xlfn.IFS(P80&lt;=3,"Q1",P80&lt;=6,"Q2",P80&lt;=9,"Q3",P80&lt;=12,"Q4")</f>
        <v>Q1</v>
      </c>
    </row>
    <row r="81" spans="1:17" x14ac:dyDescent="0.25">
      <c r="A81" s="14">
        <v>45680</v>
      </c>
      <c r="B81" s="15" t="s">
        <v>76</v>
      </c>
      <c r="C81" s="15" t="s">
        <v>77</v>
      </c>
      <c r="D81" s="15" t="s">
        <v>75</v>
      </c>
      <c r="E81" s="16">
        <v>125.87</v>
      </c>
      <c r="F81" s="16">
        <v>127.45</v>
      </c>
      <c r="G81" s="16">
        <v>124.81</v>
      </c>
      <c r="H81" s="16">
        <v>125.61</v>
      </c>
      <c r="I81" s="17">
        <v>2063140</v>
      </c>
      <c r="J81" s="16">
        <v>25122000000</v>
      </c>
      <c r="K81" s="30">
        <f t="shared" si="6"/>
        <v>-0.20656232620958537</v>
      </c>
      <c r="L81" s="31">
        <f t="shared" si="7"/>
        <v>2.6400000000000006</v>
      </c>
      <c r="M81" s="30">
        <f t="shared" si="8"/>
        <v>2.0974020815126723E-2</v>
      </c>
      <c r="N81" s="20" t="str">
        <f t="shared" si="11"/>
        <v>High volume</v>
      </c>
      <c r="O81" s="32">
        <f t="shared" si="9"/>
        <v>25.122</v>
      </c>
      <c r="P81" s="20">
        <f t="shared" si="10"/>
        <v>1</v>
      </c>
      <c r="Q81" s="20" t="str" cm="1">
        <f t="array" ref="Q81">_xlfn.IFS(P81&lt;=3,"Q1",P81&lt;=6,"Q2",P81&lt;=9,"Q3",P81&lt;=12,"Q4")</f>
        <v>Q1</v>
      </c>
    </row>
    <row r="82" spans="1:17" x14ac:dyDescent="0.25">
      <c r="A82" s="8">
        <v>45681</v>
      </c>
      <c r="B82" s="9" t="s">
        <v>60</v>
      </c>
      <c r="C82" s="9" t="s">
        <v>61</v>
      </c>
      <c r="D82" s="9" t="s">
        <v>62</v>
      </c>
      <c r="E82" s="10">
        <v>3206.93</v>
      </c>
      <c r="F82" s="10">
        <v>3221.34</v>
      </c>
      <c r="G82" s="10">
        <v>3190.76</v>
      </c>
      <c r="H82" s="10">
        <v>3204.28</v>
      </c>
      <c r="I82" s="11">
        <v>2092657</v>
      </c>
      <c r="J82" s="10">
        <v>4485992000000</v>
      </c>
      <c r="K82" s="30">
        <f t="shared" si="6"/>
        <v>-8.2633546725361523E-2</v>
      </c>
      <c r="L82" s="31">
        <f t="shared" si="7"/>
        <v>30.579999999999927</v>
      </c>
      <c r="M82" s="30">
        <f t="shared" si="8"/>
        <v>9.5355994674033821E-3</v>
      </c>
      <c r="N82" s="20" t="str">
        <f t="shared" si="11"/>
        <v>High volume</v>
      </c>
      <c r="O82" s="32">
        <f t="shared" si="9"/>
        <v>4485.9920000000002</v>
      </c>
      <c r="P82" s="20">
        <f t="shared" si="10"/>
        <v>1</v>
      </c>
      <c r="Q82" s="20" t="str" cm="1">
        <f t="array" ref="Q82">_xlfn.IFS(P82&lt;=3,"Q1",P82&lt;=6,"Q2",P82&lt;=9,"Q3",P82&lt;=12,"Q4")</f>
        <v>Q1</v>
      </c>
    </row>
    <row r="83" spans="1:17" x14ac:dyDescent="0.25">
      <c r="A83" s="14">
        <v>45681</v>
      </c>
      <c r="B83" s="15" t="s">
        <v>65</v>
      </c>
      <c r="C83" s="15" t="s">
        <v>66</v>
      </c>
      <c r="D83" s="15" t="s">
        <v>67</v>
      </c>
      <c r="E83" s="16">
        <v>178.17</v>
      </c>
      <c r="F83" s="16">
        <v>180.7</v>
      </c>
      <c r="G83" s="16">
        <v>177.99</v>
      </c>
      <c r="H83" s="16">
        <v>180.59</v>
      </c>
      <c r="I83" s="17">
        <v>1723474</v>
      </c>
      <c r="J83" s="16">
        <v>45147500000</v>
      </c>
      <c r="K83" s="30">
        <f t="shared" si="6"/>
        <v>1.3582533535387642</v>
      </c>
      <c r="L83" s="31">
        <f t="shared" si="7"/>
        <v>2.7099999999999795</v>
      </c>
      <c r="M83" s="30">
        <f t="shared" si="8"/>
        <v>1.5210192512768591E-2</v>
      </c>
      <c r="N83" s="20" t="str">
        <f t="shared" si="11"/>
        <v>Normal</v>
      </c>
      <c r="O83" s="32">
        <f t="shared" si="9"/>
        <v>45.147500000000001</v>
      </c>
      <c r="P83" s="20">
        <f t="shared" si="10"/>
        <v>1</v>
      </c>
      <c r="Q83" s="20" t="str" cm="1">
        <f t="array" ref="Q83">_xlfn.IFS(P83&lt;=3,"Q1",P83&lt;=6,"Q2",P83&lt;=9,"Q3",P83&lt;=12,"Q4")</f>
        <v>Q1</v>
      </c>
    </row>
    <row r="84" spans="1:17" x14ac:dyDescent="0.25">
      <c r="A84" s="8">
        <v>45681</v>
      </c>
      <c r="B84" s="9" t="s">
        <v>69</v>
      </c>
      <c r="C84" s="9" t="s">
        <v>70</v>
      </c>
      <c r="D84" s="9" t="s">
        <v>71</v>
      </c>
      <c r="E84" s="10">
        <v>591.74</v>
      </c>
      <c r="F84" s="10">
        <v>594.99</v>
      </c>
      <c r="G84" s="10">
        <v>588.35</v>
      </c>
      <c r="H84" s="10">
        <v>588.97</v>
      </c>
      <c r="I84" s="11">
        <v>2270220</v>
      </c>
      <c r="J84" s="10">
        <v>471176000000</v>
      </c>
      <c r="K84" s="30">
        <f t="shared" si="6"/>
        <v>-0.46811099469361234</v>
      </c>
      <c r="L84" s="31">
        <f t="shared" si="7"/>
        <v>6.6399999999999864</v>
      </c>
      <c r="M84" s="30">
        <f t="shared" si="8"/>
        <v>1.1221144421536463E-2</v>
      </c>
      <c r="N84" s="20" t="str">
        <f t="shared" si="11"/>
        <v>High volume</v>
      </c>
      <c r="O84" s="32">
        <f t="shared" si="9"/>
        <v>471.17599999999999</v>
      </c>
      <c r="P84" s="20">
        <f t="shared" si="10"/>
        <v>1</v>
      </c>
      <c r="Q84" s="20" t="str" cm="1">
        <f t="array" ref="Q84">_xlfn.IFS(P84&lt;=3,"Q1",P84&lt;=6,"Q2",P84&lt;=9,"Q3",P84&lt;=12,"Q4")</f>
        <v>Q1</v>
      </c>
    </row>
    <row r="85" spans="1:17" x14ac:dyDescent="0.25">
      <c r="A85" s="14">
        <v>45681</v>
      </c>
      <c r="B85" s="15" t="s">
        <v>73</v>
      </c>
      <c r="C85" s="15" t="s">
        <v>74</v>
      </c>
      <c r="D85" s="15" t="s">
        <v>75</v>
      </c>
      <c r="E85" s="16">
        <v>111.04</v>
      </c>
      <c r="F85" s="16">
        <v>111.34</v>
      </c>
      <c r="G85" s="16">
        <v>110.48</v>
      </c>
      <c r="H85" s="16">
        <v>110.65</v>
      </c>
      <c r="I85" s="17">
        <v>504895</v>
      </c>
      <c r="J85" s="16">
        <v>24343000000</v>
      </c>
      <c r="K85" s="30">
        <f t="shared" si="6"/>
        <v>-0.35122478386167194</v>
      </c>
      <c r="L85" s="31">
        <f t="shared" si="7"/>
        <v>0.85999999999999943</v>
      </c>
      <c r="M85" s="30">
        <f t="shared" si="8"/>
        <v>7.7449567723342884E-3</v>
      </c>
      <c r="N85" s="20" t="str">
        <f t="shared" si="11"/>
        <v>Normal</v>
      </c>
      <c r="O85" s="32">
        <f t="shared" si="9"/>
        <v>24.343</v>
      </c>
      <c r="P85" s="20">
        <f t="shared" si="10"/>
        <v>1</v>
      </c>
      <c r="Q85" s="20" t="str" cm="1">
        <f t="array" ref="Q85">_xlfn.IFS(P85&lt;=3,"Q1",P85&lt;=6,"Q2",P85&lt;=9,"Q3",P85&lt;=12,"Q4")</f>
        <v>Q1</v>
      </c>
    </row>
    <row r="86" spans="1:17" x14ac:dyDescent="0.25">
      <c r="A86" s="8">
        <v>45681</v>
      </c>
      <c r="B86" s="9" t="s">
        <v>76</v>
      </c>
      <c r="C86" s="9" t="s">
        <v>77</v>
      </c>
      <c r="D86" s="9" t="s">
        <v>75</v>
      </c>
      <c r="E86" s="10">
        <v>130.82</v>
      </c>
      <c r="F86" s="10">
        <v>131.68</v>
      </c>
      <c r="G86" s="10">
        <v>129.44999999999999</v>
      </c>
      <c r="H86" s="10">
        <v>130.47</v>
      </c>
      <c r="I86" s="11">
        <v>1931040</v>
      </c>
      <c r="J86" s="10">
        <v>26094000000</v>
      </c>
      <c r="K86" s="30">
        <f t="shared" si="6"/>
        <v>-0.2675431891148099</v>
      </c>
      <c r="L86" s="31">
        <f t="shared" si="7"/>
        <v>2.2300000000000182</v>
      </c>
      <c r="M86" s="30">
        <f t="shared" si="8"/>
        <v>1.7046323192172589E-2</v>
      </c>
      <c r="N86" s="20" t="str">
        <f t="shared" si="11"/>
        <v>Normal</v>
      </c>
      <c r="O86" s="32">
        <f t="shared" si="9"/>
        <v>26.094000000000001</v>
      </c>
      <c r="P86" s="20">
        <f t="shared" si="10"/>
        <v>1</v>
      </c>
      <c r="Q86" s="20" t="str" cm="1">
        <f t="array" ref="Q86">_xlfn.IFS(P86&lt;=3,"Q1",P86&lt;=6,"Q2",P86&lt;=9,"Q3",P86&lt;=12,"Q4")</f>
        <v>Q1</v>
      </c>
    </row>
    <row r="87" spans="1:17" x14ac:dyDescent="0.25">
      <c r="A87" s="14">
        <v>45684</v>
      </c>
      <c r="B87" s="15" t="s">
        <v>60</v>
      </c>
      <c r="C87" s="15" t="s">
        <v>61</v>
      </c>
      <c r="D87" s="15" t="s">
        <v>62</v>
      </c>
      <c r="E87" s="16">
        <v>3152.01</v>
      </c>
      <c r="F87" s="16">
        <v>3156.91</v>
      </c>
      <c r="G87" s="16">
        <v>3127.68</v>
      </c>
      <c r="H87" s="16">
        <v>3139.36</v>
      </c>
      <c r="I87" s="17">
        <v>1537918</v>
      </c>
      <c r="J87" s="16">
        <v>4395104000000</v>
      </c>
      <c r="K87" s="30">
        <f t="shared" si="6"/>
        <v>-0.4013312140507197</v>
      </c>
      <c r="L87" s="31">
        <f t="shared" si="7"/>
        <v>29.230000000000018</v>
      </c>
      <c r="M87" s="30">
        <f t="shared" si="8"/>
        <v>9.273447736523683E-3</v>
      </c>
      <c r="N87" s="20" t="str">
        <f t="shared" si="11"/>
        <v>Normal</v>
      </c>
      <c r="O87" s="32">
        <f t="shared" si="9"/>
        <v>4395.1040000000003</v>
      </c>
      <c r="P87" s="20">
        <f t="shared" si="10"/>
        <v>1</v>
      </c>
      <c r="Q87" s="20" t="str" cm="1">
        <f t="array" ref="Q87">_xlfn.IFS(P87&lt;=3,"Q1",P87&lt;=6,"Q2",P87&lt;=9,"Q3",P87&lt;=12,"Q4")</f>
        <v>Q1</v>
      </c>
    </row>
    <row r="88" spans="1:17" x14ac:dyDescent="0.25">
      <c r="A88" s="8">
        <v>45684</v>
      </c>
      <c r="B88" s="9" t="s">
        <v>65</v>
      </c>
      <c r="C88" s="9" t="s">
        <v>66</v>
      </c>
      <c r="D88" s="9" t="s">
        <v>67</v>
      </c>
      <c r="E88" s="10">
        <v>180.47</v>
      </c>
      <c r="F88" s="10">
        <v>180.6</v>
      </c>
      <c r="G88" s="10">
        <v>180.45</v>
      </c>
      <c r="H88" s="10">
        <v>180.47</v>
      </c>
      <c r="I88" s="11">
        <v>3866384</v>
      </c>
      <c r="J88" s="10">
        <v>45117500000</v>
      </c>
      <c r="K88" s="30">
        <f t="shared" si="6"/>
        <v>0</v>
      </c>
      <c r="L88" s="31">
        <f t="shared" si="7"/>
        <v>0.15000000000000568</v>
      </c>
      <c r="M88" s="30">
        <f t="shared" si="8"/>
        <v>8.3116307419518862E-4</v>
      </c>
      <c r="N88" s="20" t="str">
        <f t="shared" si="11"/>
        <v>High volume</v>
      </c>
      <c r="O88" s="32">
        <f t="shared" si="9"/>
        <v>45.1175</v>
      </c>
      <c r="P88" s="20">
        <f t="shared" si="10"/>
        <v>1</v>
      </c>
      <c r="Q88" s="20" t="str" cm="1">
        <f t="array" ref="Q88">_xlfn.IFS(P88&lt;=3,"Q1",P88&lt;=6,"Q2",P88&lt;=9,"Q3",P88&lt;=12,"Q4")</f>
        <v>Q1</v>
      </c>
    </row>
    <row r="89" spans="1:17" x14ac:dyDescent="0.25">
      <c r="A89" s="14">
        <v>45684</v>
      </c>
      <c r="B89" s="15" t="s">
        <v>69</v>
      </c>
      <c r="C89" s="15" t="s">
        <v>70</v>
      </c>
      <c r="D89" s="15" t="s">
        <v>71</v>
      </c>
      <c r="E89" s="16">
        <v>573.94000000000005</v>
      </c>
      <c r="F89" s="16">
        <v>575.54999999999995</v>
      </c>
      <c r="G89" s="16">
        <v>565.80999999999995</v>
      </c>
      <c r="H89" s="16">
        <v>572.59</v>
      </c>
      <c r="I89" s="17">
        <v>4196926</v>
      </c>
      <c r="J89" s="16">
        <v>458072000000</v>
      </c>
      <c r="K89" s="30">
        <f t="shared" si="6"/>
        <v>-0.23521622469248049</v>
      </c>
      <c r="L89" s="31">
        <f t="shared" si="7"/>
        <v>9.7400000000000091</v>
      </c>
      <c r="M89" s="30">
        <f t="shared" si="8"/>
        <v>1.6970415025960917E-2</v>
      </c>
      <c r="N89" s="20" t="str">
        <f t="shared" si="11"/>
        <v>High volume</v>
      </c>
      <c r="O89" s="32">
        <f t="shared" si="9"/>
        <v>458.072</v>
      </c>
      <c r="P89" s="20">
        <f t="shared" si="10"/>
        <v>1</v>
      </c>
      <c r="Q89" s="20" t="str" cm="1">
        <f t="array" ref="Q89">_xlfn.IFS(P89&lt;=3,"Q1",P89&lt;=6,"Q2",P89&lt;=9,"Q3",P89&lt;=12,"Q4")</f>
        <v>Q1</v>
      </c>
    </row>
    <row r="90" spans="1:17" x14ac:dyDescent="0.25">
      <c r="A90" s="8">
        <v>45684</v>
      </c>
      <c r="B90" s="9" t="s">
        <v>73</v>
      </c>
      <c r="C90" s="9" t="s">
        <v>74</v>
      </c>
      <c r="D90" s="9" t="s">
        <v>75</v>
      </c>
      <c r="E90" s="10">
        <v>111.87</v>
      </c>
      <c r="F90" s="10">
        <v>112.08</v>
      </c>
      <c r="G90" s="10">
        <v>111.3</v>
      </c>
      <c r="H90" s="10">
        <v>111.93</v>
      </c>
      <c r="I90" s="11">
        <v>4755457</v>
      </c>
      <c r="J90" s="10">
        <v>24624600000</v>
      </c>
      <c r="K90" s="30">
        <f t="shared" si="6"/>
        <v>5.3633681952268052E-2</v>
      </c>
      <c r="L90" s="31">
        <f t="shared" si="7"/>
        <v>0.78000000000000114</v>
      </c>
      <c r="M90" s="30">
        <f t="shared" si="8"/>
        <v>6.9723786537945927E-3</v>
      </c>
      <c r="N90" s="20" t="str">
        <f t="shared" si="11"/>
        <v>High volume</v>
      </c>
      <c r="O90" s="32">
        <f t="shared" si="9"/>
        <v>24.624600000000001</v>
      </c>
      <c r="P90" s="20">
        <f t="shared" si="10"/>
        <v>1</v>
      </c>
      <c r="Q90" s="20" t="str" cm="1">
        <f t="array" ref="Q90">_xlfn.IFS(P90&lt;=3,"Q1",P90&lt;=6,"Q2",P90&lt;=9,"Q3",P90&lt;=12,"Q4")</f>
        <v>Q1</v>
      </c>
    </row>
    <row r="91" spans="1:17" x14ac:dyDescent="0.25">
      <c r="A91" s="14">
        <v>45684</v>
      </c>
      <c r="B91" s="15" t="s">
        <v>76</v>
      </c>
      <c r="C91" s="15" t="s">
        <v>77</v>
      </c>
      <c r="D91" s="15" t="s">
        <v>75</v>
      </c>
      <c r="E91" s="16">
        <v>128.72999999999999</v>
      </c>
      <c r="F91" s="16">
        <v>130.11000000000001</v>
      </c>
      <c r="G91" s="16">
        <v>128.62</v>
      </c>
      <c r="H91" s="16">
        <v>130.04</v>
      </c>
      <c r="I91" s="17">
        <v>4012574</v>
      </c>
      <c r="J91" s="16">
        <v>26008000000</v>
      </c>
      <c r="K91" s="30">
        <f t="shared" si="6"/>
        <v>1.0176338071933524</v>
      </c>
      <c r="L91" s="31">
        <f t="shared" si="7"/>
        <v>1.4900000000000091</v>
      </c>
      <c r="M91" s="30">
        <f t="shared" si="8"/>
        <v>1.1574613532199247E-2</v>
      </c>
      <c r="N91" s="20" t="str">
        <f t="shared" si="11"/>
        <v>High volume</v>
      </c>
      <c r="O91" s="32">
        <f t="shared" si="9"/>
        <v>26.007999999999999</v>
      </c>
      <c r="P91" s="20">
        <f t="shared" si="10"/>
        <v>1</v>
      </c>
      <c r="Q91" s="20" t="str" cm="1">
        <f t="array" ref="Q91">_xlfn.IFS(P91&lt;=3,"Q1",P91&lt;=6,"Q2",P91&lt;=9,"Q3",P91&lt;=12,"Q4")</f>
        <v>Q1</v>
      </c>
    </row>
    <row r="92" spans="1:17" x14ac:dyDescent="0.25">
      <c r="A92" s="8">
        <v>45685</v>
      </c>
      <c r="B92" s="9" t="s">
        <v>60</v>
      </c>
      <c r="C92" s="9" t="s">
        <v>61</v>
      </c>
      <c r="D92" s="9" t="s">
        <v>62</v>
      </c>
      <c r="E92" s="10">
        <v>3082.96</v>
      </c>
      <c r="F92" s="10">
        <v>3108.52</v>
      </c>
      <c r="G92" s="10">
        <v>3036.51</v>
      </c>
      <c r="H92" s="10">
        <v>3075.96</v>
      </c>
      <c r="I92" s="11">
        <v>1635113</v>
      </c>
      <c r="J92" s="10">
        <v>4306344000000</v>
      </c>
      <c r="K92" s="30">
        <f t="shared" si="6"/>
        <v>-0.22705451903365595</v>
      </c>
      <c r="L92" s="31">
        <f t="shared" si="7"/>
        <v>72.009999999999764</v>
      </c>
      <c r="M92" s="30">
        <f t="shared" si="8"/>
        <v>2.3357422736590732E-2</v>
      </c>
      <c r="N92" s="20" t="str">
        <f t="shared" si="11"/>
        <v>Normal</v>
      </c>
      <c r="O92" s="32">
        <f t="shared" si="9"/>
        <v>4306.3440000000001</v>
      </c>
      <c r="P92" s="20">
        <f t="shared" si="10"/>
        <v>1</v>
      </c>
      <c r="Q92" s="20" t="str" cm="1">
        <f t="array" ref="Q92">_xlfn.IFS(P92&lt;=3,"Q1",P92&lt;=6,"Q2",P92&lt;=9,"Q3",P92&lt;=12,"Q4")</f>
        <v>Q1</v>
      </c>
    </row>
    <row r="93" spans="1:17" x14ac:dyDescent="0.25">
      <c r="A93" s="14">
        <v>45685</v>
      </c>
      <c r="B93" s="15" t="s">
        <v>65</v>
      </c>
      <c r="C93" s="15" t="s">
        <v>66</v>
      </c>
      <c r="D93" s="15" t="s">
        <v>67</v>
      </c>
      <c r="E93" s="16">
        <v>180.35</v>
      </c>
      <c r="F93" s="16">
        <v>180.42</v>
      </c>
      <c r="G93" s="16">
        <v>178.71</v>
      </c>
      <c r="H93" s="16">
        <v>179.15</v>
      </c>
      <c r="I93" s="17">
        <v>2373997</v>
      </c>
      <c r="J93" s="16">
        <v>44787500000</v>
      </c>
      <c r="K93" s="30">
        <f t="shared" si="6"/>
        <v>-0.66537288605488698</v>
      </c>
      <c r="L93" s="31">
        <f t="shared" si="7"/>
        <v>1.7099999999999795</v>
      </c>
      <c r="M93" s="30">
        <f t="shared" si="8"/>
        <v>9.4815636262821166E-3</v>
      </c>
      <c r="N93" s="20" t="str">
        <f t="shared" si="11"/>
        <v>High volume</v>
      </c>
      <c r="O93" s="32">
        <f t="shared" si="9"/>
        <v>44.787500000000001</v>
      </c>
      <c r="P93" s="20">
        <f t="shared" si="10"/>
        <v>1</v>
      </c>
      <c r="Q93" s="20" t="str" cm="1">
        <f t="array" ref="Q93">_xlfn.IFS(P93&lt;=3,"Q1",P93&lt;=6,"Q2",P93&lt;=9,"Q3",P93&lt;=12,"Q4")</f>
        <v>Q1</v>
      </c>
    </row>
    <row r="94" spans="1:17" x14ac:dyDescent="0.25">
      <c r="A94" s="8">
        <v>45685</v>
      </c>
      <c r="B94" s="9" t="s">
        <v>69</v>
      </c>
      <c r="C94" s="9" t="s">
        <v>70</v>
      </c>
      <c r="D94" s="9" t="s">
        <v>71</v>
      </c>
      <c r="E94" s="10">
        <v>576.41</v>
      </c>
      <c r="F94" s="10">
        <v>579.54999999999995</v>
      </c>
      <c r="G94" s="10">
        <v>575.49</v>
      </c>
      <c r="H94" s="10">
        <v>576.46</v>
      </c>
      <c r="I94" s="11">
        <v>3989918</v>
      </c>
      <c r="J94" s="10">
        <v>461168000000</v>
      </c>
      <c r="K94" s="30">
        <f t="shared" si="6"/>
        <v>8.674381082921569E-3</v>
      </c>
      <c r="L94" s="31">
        <f t="shared" si="7"/>
        <v>4.0599999999999454</v>
      </c>
      <c r="M94" s="30">
        <f t="shared" si="8"/>
        <v>7.0435974393226099E-3</v>
      </c>
      <c r="N94" s="20" t="str">
        <f t="shared" si="11"/>
        <v>High volume</v>
      </c>
      <c r="O94" s="32">
        <f t="shared" si="9"/>
        <v>461.16800000000001</v>
      </c>
      <c r="P94" s="20">
        <f t="shared" si="10"/>
        <v>1</v>
      </c>
      <c r="Q94" s="20" t="str" cm="1">
        <f t="array" ref="Q94">_xlfn.IFS(P94&lt;=3,"Q1",P94&lt;=6,"Q2",P94&lt;=9,"Q3",P94&lt;=12,"Q4")</f>
        <v>Q1</v>
      </c>
    </row>
    <row r="95" spans="1:17" x14ac:dyDescent="0.25">
      <c r="A95" s="14">
        <v>45685</v>
      </c>
      <c r="B95" s="15" t="s">
        <v>73</v>
      </c>
      <c r="C95" s="15" t="s">
        <v>74</v>
      </c>
      <c r="D95" s="15" t="s">
        <v>75</v>
      </c>
      <c r="E95" s="16">
        <v>110.05</v>
      </c>
      <c r="F95" s="16">
        <v>110.69</v>
      </c>
      <c r="G95" s="16">
        <v>109.71</v>
      </c>
      <c r="H95" s="16">
        <v>109.98</v>
      </c>
      <c r="I95" s="17">
        <v>2981918</v>
      </c>
      <c r="J95" s="16">
        <v>24195600000</v>
      </c>
      <c r="K95" s="30">
        <f t="shared" si="6"/>
        <v>-6.3607451158558093E-2</v>
      </c>
      <c r="L95" s="31">
        <f t="shared" si="7"/>
        <v>0.98000000000000398</v>
      </c>
      <c r="M95" s="30">
        <f t="shared" si="8"/>
        <v>8.9050431621990368E-3</v>
      </c>
      <c r="N95" s="20" t="str">
        <f t="shared" si="11"/>
        <v>High volume</v>
      </c>
      <c r="O95" s="32">
        <f t="shared" si="9"/>
        <v>24.195599999999999</v>
      </c>
      <c r="P95" s="20">
        <f t="shared" si="10"/>
        <v>1</v>
      </c>
      <c r="Q95" s="20" t="str" cm="1">
        <f t="array" ref="Q95">_xlfn.IFS(P95&lt;=3,"Q1",P95&lt;=6,"Q2",P95&lt;=9,"Q3",P95&lt;=12,"Q4")</f>
        <v>Q1</v>
      </c>
    </row>
    <row r="96" spans="1:17" x14ac:dyDescent="0.25">
      <c r="A96" s="8">
        <v>45685</v>
      </c>
      <c r="B96" s="9" t="s">
        <v>76</v>
      </c>
      <c r="C96" s="9" t="s">
        <v>77</v>
      </c>
      <c r="D96" s="9" t="s">
        <v>75</v>
      </c>
      <c r="E96" s="10">
        <v>130.69</v>
      </c>
      <c r="F96" s="10">
        <v>130.96</v>
      </c>
      <c r="G96" s="10">
        <v>130.09</v>
      </c>
      <c r="H96" s="10">
        <v>130.22</v>
      </c>
      <c r="I96" s="11">
        <v>2094766</v>
      </c>
      <c r="J96" s="10">
        <v>26044000000</v>
      </c>
      <c r="K96" s="30">
        <f t="shared" si="6"/>
        <v>-0.35962965796923929</v>
      </c>
      <c r="L96" s="31">
        <f t="shared" si="7"/>
        <v>0.87000000000000455</v>
      </c>
      <c r="M96" s="30">
        <f t="shared" si="8"/>
        <v>6.6569745198561828E-3</v>
      </c>
      <c r="N96" s="20" t="str">
        <f t="shared" si="11"/>
        <v>High volume</v>
      </c>
      <c r="O96" s="32">
        <f t="shared" si="9"/>
        <v>26.044</v>
      </c>
      <c r="P96" s="20">
        <f t="shared" si="10"/>
        <v>1</v>
      </c>
      <c r="Q96" s="20" t="str" cm="1">
        <f t="array" ref="Q96">_xlfn.IFS(P96&lt;=3,"Q1",P96&lt;=6,"Q2",P96&lt;=9,"Q3",P96&lt;=12,"Q4")</f>
        <v>Q1</v>
      </c>
    </row>
    <row r="97" spans="1:17" x14ac:dyDescent="0.25">
      <c r="A97" s="14">
        <v>45686</v>
      </c>
      <c r="B97" s="15" t="s">
        <v>60</v>
      </c>
      <c r="C97" s="15" t="s">
        <v>61</v>
      </c>
      <c r="D97" s="15" t="s">
        <v>62</v>
      </c>
      <c r="E97" s="16">
        <v>3113.4</v>
      </c>
      <c r="F97" s="16">
        <v>3136.84</v>
      </c>
      <c r="G97" s="16">
        <v>3103.39</v>
      </c>
      <c r="H97" s="16">
        <v>3121.54</v>
      </c>
      <c r="I97" s="17">
        <v>3787767</v>
      </c>
      <c r="J97" s="16">
        <v>4370156000000</v>
      </c>
      <c r="K97" s="30">
        <f t="shared" si="6"/>
        <v>0.26145050427185307</v>
      </c>
      <c r="L97" s="31">
        <f t="shared" si="7"/>
        <v>33.450000000000273</v>
      </c>
      <c r="M97" s="30">
        <f t="shared" si="8"/>
        <v>1.0743881287338688E-2</v>
      </c>
      <c r="N97" s="20" t="str">
        <f t="shared" si="11"/>
        <v>High volume</v>
      </c>
      <c r="O97" s="32">
        <f t="shared" si="9"/>
        <v>4370.1559999999999</v>
      </c>
      <c r="P97" s="20">
        <f t="shared" si="10"/>
        <v>1</v>
      </c>
      <c r="Q97" s="20" t="str" cm="1">
        <f t="array" ref="Q97">_xlfn.IFS(P97&lt;=3,"Q1",P97&lt;=6,"Q2",P97&lt;=9,"Q3",P97&lt;=12,"Q4")</f>
        <v>Q1</v>
      </c>
    </row>
    <row r="98" spans="1:17" x14ac:dyDescent="0.25">
      <c r="A98" s="8">
        <v>45686</v>
      </c>
      <c r="B98" s="9" t="s">
        <v>65</v>
      </c>
      <c r="C98" s="9" t="s">
        <v>66</v>
      </c>
      <c r="D98" s="9" t="s">
        <v>67</v>
      </c>
      <c r="E98" s="10">
        <v>183.89</v>
      </c>
      <c r="F98" s="10">
        <v>184.95</v>
      </c>
      <c r="G98" s="10">
        <v>181.95</v>
      </c>
      <c r="H98" s="10">
        <v>184.79</v>
      </c>
      <c r="I98" s="11">
        <v>463845</v>
      </c>
      <c r="J98" s="10">
        <v>46197500000</v>
      </c>
      <c r="K98" s="30">
        <f t="shared" si="6"/>
        <v>0.48942302463429532</v>
      </c>
      <c r="L98" s="31">
        <f t="shared" si="7"/>
        <v>3</v>
      </c>
      <c r="M98" s="30">
        <f t="shared" si="8"/>
        <v>1.6314100821143075E-2</v>
      </c>
      <c r="N98" s="20" t="str">
        <f t="shared" si="11"/>
        <v>Normal</v>
      </c>
      <c r="O98" s="32">
        <f t="shared" si="9"/>
        <v>46.197499999999998</v>
      </c>
      <c r="P98" s="20">
        <f t="shared" si="10"/>
        <v>1</v>
      </c>
      <c r="Q98" s="20" t="str" cm="1">
        <f t="array" ref="Q98">_xlfn.IFS(P98&lt;=3,"Q1",P98&lt;=6,"Q2",P98&lt;=9,"Q3",P98&lt;=12,"Q4")</f>
        <v>Q1</v>
      </c>
    </row>
    <row r="99" spans="1:17" x14ac:dyDescent="0.25">
      <c r="A99" s="14">
        <v>45686</v>
      </c>
      <c r="B99" s="15" t="s">
        <v>69</v>
      </c>
      <c r="C99" s="15" t="s">
        <v>70</v>
      </c>
      <c r="D99" s="15" t="s">
        <v>71</v>
      </c>
      <c r="E99" s="16">
        <v>586.05999999999995</v>
      </c>
      <c r="F99" s="16">
        <v>591.02</v>
      </c>
      <c r="G99" s="16">
        <v>579.79999999999995</v>
      </c>
      <c r="H99" s="16">
        <v>584.07000000000005</v>
      </c>
      <c r="I99" s="17">
        <v>349459</v>
      </c>
      <c r="J99" s="16">
        <v>467256000000</v>
      </c>
      <c r="K99" s="30">
        <f t="shared" si="6"/>
        <v>-0.33955567689313304</v>
      </c>
      <c r="L99" s="31">
        <f t="shared" si="7"/>
        <v>11.220000000000027</v>
      </c>
      <c r="M99" s="30">
        <f t="shared" si="8"/>
        <v>1.9144797461010866E-2</v>
      </c>
      <c r="N99" s="20" t="str">
        <f t="shared" si="11"/>
        <v>Normal</v>
      </c>
      <c r="O99" s="32">
        <f t="shared" si="9"/>
        <v>467.25599999999997</v>
      </c>
      <c r="P99" s="20">
        <f t="shared" si="10"/>
        <v>1</v>
      </c>
      <c r="Q99" s="20" t="str" cm="1">
        <f t="array" ref="Q99">_xlfn.IFS(P99&lt;=3,"Q1",P99&lt;=6,"Q2",P99&lt;=9,"Q3",P99&lt;=12,"Q4")</f>
        <v>Q1</v>
      </c>
    </row>
    <row r="100" spans="1:17" x14ac:dyDescent="0.25">
      <c r="A100" s="8">
        <v>45686</v>
      </c>
      <c r="B100" s="9" t="s">
        <v>73</v>
      </c>
      <c r="C100" s="9" t="s">
        <v>74</v>
      </c>
      <c r="D100" s="9" t="s">
        <v>75</v>
      </c>
      <c r="E100" s="10">
        <v>111.3</v>
      </c>
      <c r="F100" s="10">
        <v>111.56</v>
      </c>
      <c r="G100" s="10">
        <v>109.85</v>
      </c>
      <c r="H100" s="10">
        <v>111.28</v>
      </c>
      <c r="I100" s="11">
        <v>4814921</v>
      </c>
      <c r="J100" s="10">
        <v>24481600000</v>
      </c>
      <c r="K100" s="30">
        <f t="shared" si="6"/>
        <v>-1.7969451931712507E-2</v>
      </c>
      <c r="L100" s="31">
        <f t="shared" si="7"/>
        <v>1.710000000000008</v>
      </c>
      <c r="M100" s="30">
        <f t="shared" si="8"/>
        <v>1.5363881401617322E-2</v>
      </c>
      <c r="N100" s="20" t="str">
        <f t="shared" si="11"/>
        <v>High volume</v>
      </c>
      <c r="O100" s="32">
        <f t="shared" si="9"/>
        <v>24.4816</v>
      </c>
      <c r="P100" s="20">
        <f t="shared" si="10"/>
        <v>1</v>
      </c>
      <c r="Q100" s="20" t="str" cm="1">
        <f t="array" ref="Q100">_xlfn.IFS(P100&lt;=3,"Q1",P100&lt;=6,"Q2",P100&lt;=9,"Q3",P100&lt;=12,"Q4")</f>
        <v>Q1</v>
      </c>
    </row>
    <row r="101" spans="1:17" x14ac:dyDescent="0.25">
      <c r="A101" s="14">
        <v>45686</v>
      </c>
      <c r="B101" s="15" t="s">
        <v>76</v>
      </c>
      <c r="C101" s="15" t="s">
        <v>77</v>
      </c>
      <c r="D101" s="15" t="s">
        <v>75</v>
      </c>
      <c r="E101" s="16">
        <v>132.87</v>
      </c>
      <c r="F101" s="16">
        <v>132.88999999999999</v>
      </c>
      <c r="G101" s="16">
        <v>131.53</v>
      </c>
      <c r="H101" s="16">
        <v>132.35</v>
      </c>
      <c r="I101" s="17">
        <v>2150012</v>
      </c>
      <c r="J101" s="16">
        <v>26470000000</v>
      </c>
      <c r="K101" s="30">
        <f t="shared" si="6"/>
        <v>-0.39135997591631683</v>
      </c>
      <c r="L101" s="31">
        <f t="shared" si="7"/>
        <v>1.3599999999999852</v>
      </c>
      <c r="M101" s="30">
        <f t="shared" si="8"/>
        <v>1.0235568600887975E-2</v>
      </c>
      <c r="N101" s="20" t="str">
        <f t="shared" si="11"/>
        <v>High volume</v>
      </c>
      <c r="O101" s="32">
        <f t="shared" si="9"/>
        <v>26.47</v>
      </c>
      <c r="P101" s="20">
        <f t="shared" si="10"/>
        <v>1</v>
      </c>
      <c r="Q101" s="20" t="str" cm="1">
        <f t="array" ref="Q101">_xlfn.IFS(P101&lt;=3,"Q1",P101&lt;=6,"Q2",P101&lt;=9,"Q3",P101&lt;=12,"Q4")</f>
        <v>Q1</v>
      </c>
    </row>
    <row r="102" spans="1:17" x14ac:dyDescent="0.25">
      <c r="A102" s="8">
        <v>45687</v>
      </c>
      <c r="B102" s="9" t="s">
        <v>60</v>
      </c>
      <c r="C102" s="9" t="s">
        <v>61</v>
      </c>
      <c r="D102" s="9" t="s">
        <v>62</v>
      </c>
      <c r="E102" s="10">
        <v>3084.88</v>
      </c>
      <c r="F102" s="10">
        <v>3086.34</v>
      </c>
      <c r="G102" s="10">
        <v>3060.49</v>
      </c>
      <c r="H102" s="10">
        <v>3077.78</v>
      </c>
      <c r="I102" s="11">
        <v>3691654</v>
      </c>
      <c r="J102" s="10">
        <v>4308892000000</v>
      </c>
      <c r="K102" s="30">
        <f t="shared" si="6"/>
        <v>-0.23015481963641729</v>
      </c>
      <c r="L102" s="31">
        <f t="shared" si="7"/>
        <v>25.850000000000364</v>
      </c>
      <c r="M102" s="30">
        <f t="shared" si="8"/>
        <v>8.3795804050725998E-3</v>
      </c>
      <c r="N102" s="20" t="str">
        <f t="shared" si="11"/>
        <v>High volume</v>
      </c>
      <c r="O102" s="32">
        <f t="shared" si="9"/>
        <v>4308.8919999999998</v>
      </c>
      <c r="P102" s="20">
        <f t="shared" si="10"/>
        <v>1</v>
      </c>
      <c r="Q102" s="20" t="str" cm="1">
        <f t="array" ref="Q102">_xlfn.IFS(P102&lt;=3,"Q1",P102&lt;=6,"Q2",P102&lt;=9,"Q3",P102&lt;=12,"Q4")</f>
        <v>Q1</v>
      </c>
    </row>
    <row r="103" spans="1:17" x14ac:dyDescent="0.25">
      <c r="A103" s="14">
        <v>45687</v>
      </c>
      <c r="B103" s="15" t="s">
        <v>65</v>
      </c>
      <c r="C103" s="15" t="s">
        <v>66</v>
      </c>
      <c r="D103" s="15" t="s">
        <v>67</v>
      </c>
      <c r="E103" s="16">
        <v>185.07</v>
      </c>
      <c r="F103" s="16">
        <v>185.53</v>
      </c>
      <c r="G103" s="16">
        <v>182.27</v>
      </c>
      <c r="H103" s="16">
        <v>185.27</v>
      </c>
      <c r="I103" s="17">
        <v>4780553</v>
      </c>
      <c r="J103" s="16">
        <v>46317500000</v>
      </c>
      <c r="K103" s="30">
        <f t="shared" si="6"/>
        <v>0.10806721780948672</v>
      </c>
      <c r="L103" s="31">
        <f t="shared" si="7"/>
        <v>3.2599999999999909</v>
      </c>
      <c r="M103" s="30">
        <f t="shared" si="8"/>
        <v>1.7614956502944784E-2</v>
      </c>
      <c r="N103" s="20" t="str">
        <f t="shared" si="11"/>
        <v>High volume</v>
      </c>
      <c r="O103" s="32">
        <f t="shared" si="9"/>
        <v>46.317500000000003</v>
      </c>
      <c r="P103" s="20">
        <f t="shared" si="10"/>
        <v>1</v>
      </c>
      <c r="Q103" s="20" t="str" cm="1">
        <f t="array" ref="Q103">_xlfn.IFS(P103&lt;=3,"Q1",P103&lt;=6,"Q2",P103&lt;=9,"Q3",P103&lt;=12,"Q4")</f>
        <v>Q1</v>
      </c>
    </row>
    <row r="104" spans="1:17" x14ac:dyDescent="0.25">
      <c r="A104" s="8">
        <v>45687</v>
      </c>
      <c r="B104" s="9" t="s">
        <v>69</v>
      </c>
      <c r="C104" s="9" t="s">
        <v>70</v>
      </c>
      <c r="D104" s="9" t="s">
        <v>71</v>
      </c>
      <c r="E104" s="10">
        <v>592.83000000000004</v>
      </c>
      <c r="F104" s="10">
        <v>593.63</v>
      </c>
      <c r="G104" s="10">
        <v>591.80999999999995</v>
      </c>
      <c r="H104" s="10">
        <v>592.98</v>
      </c>
      <c r="I104" s="11">
        <v>1438329</v>
      </c>
      <c r="J104" s="10">
        <v>474384000000</v>
      </c>
      <c r="K104" s="30">
        <f t="shared" si="6"/>
        <v>2.5302363240722849E-2</v>
      </c>
      <c r="L104" s="31">
        <f t="shared" si="7"/>
        <v>1.82000000000005</v>
      </c>
      <c r="M104" s="30">
        <f t="shared" si="8"/>
        <v>3.0700200732082551E-3</v>
      </c>
      <c r="N104" s="20" t="str">
        <f t="shared" si="11"/>
        <v>Normal</v>
      </c>
      <c r="O104" s="32">
        <f t="shared" si="9"/>
        <v>474.38400000000001</v>
      </c>
      <c r="P104" s="20">
        <f t="shared" si="10"/>
        <v>1</v>
      </c>
      <c r="Q104" s="20" t="str" cm="1">
        <f t="array" ref="Q104">_xlfn.IFS(P104&lt;=3,"Q1",P104&lt;=6,"Q2",P104&lt;=9,"Q3",P104&lt;=12,"Q4")</f>
        <v>Q1</v>
      </c>
    </row>
    <row r="105" spans="1:17" x14ac:dyDescent="0.25">
      <c r="A105" s="14">
        <v>45687</v>
      </c>
      <c r="B105" s="15" t="s">
        <v>73</v>
      </c>
      <c r="C105" s="15" t="s">
        <v>74</v>
      </c>
      <c r="D105" s="15" t="s">
        <v>75</v>
      </c>
      <c r="E105" s="16">
        <v>111.15</v>
      </c>
      <c r="F105" s="16">
        <v>111.53</v>
      </c>
      <c r="G105" s="16">
        <v>110.73</v>
      </c>
      <c r="H105" s="16">
        <v>110.94</v>
      </c>
      <c r="I105" s="17">
        <v>3046033</v>
      </c>
      <c r="J105" s="16">
        <v>24406800000</v>
      </c>
      <c r="K105" s="30">
        <f t="shared" si="6"/>
        <v>-0.1889338731444066</v>
      </c>
      <c r="L105" s="31">
        <f t="shared" si="7"/>
        <v>0.79999999999999716</v>
      </c>
      <c r="M105" s="30">
        <f t="shared" si="8"/>
        <v>7.1974808816913823E-3</v>
      </c>
      <c r="N105" s="20" t="str">
        <f t="shared" si="11"/>
        <v>High volume</v>
      </c>
      <c r="O105" s="32">
        <f t="shared" si="9"/>
        <v>24.4068</v>
      </c>
      <c r="P105" s="20">
        <f t="shared" si="10"/>
        <v>1</v>
      </c>
      <c r="Q105" s="20" t="str" cm="1">
        <f t="array" ref="Q105">_xlfn.IFS(P105&lt;=3,"Q1",P105&lt;=6,"Q2",P105&lt;=9,"Q3",P105&lt;=12,"Q4")</f>
        <v>Q1</v>
      </c>
    </row>
    <row r="106" spans="1:17" x14ac:dyDescent="0.25">
      <c r="A106" s="8">
        <v>45687</v>
      </c>
      <c r="B106" s="9" t="s">
        <v>76</v>
      </c>
      <c r="C106" s="9" t="s">
        <v>77</v>
      </c>
      <c r="D106" s="9" t="s">
        <v>75</v>
      </c>
      <c r="E106" s="10">
        <v>132.80000000000001</v>
      </c>
      <c r="F106" s="10">
        <v>133.72</v>
      </c>
      <c r="G106" s="10">
        <v>132.72999999999999</v>
      </c>
      <c r="H106" s="10">
        <v>133.47</v>
      </c>
      <c r="I106" s="11">
        <v>3836342</v>
      </c>
      <c r="J106" s="10">
        <v>26694000000</v>
      </c>
      <c r="K106" s="30">
        <f t="shared" si="6"/>
        <v>0.50451807228914713</v>
      </c>
      <c r="L106" s="31">
        <f t="shared" si="7"/>
        <v>0.99000000000000909</v>
      </c>
      <c r="M106" s="30">
        <f t="shared" si="8"/>
        <v>7.4548192771085016E-3</v>
      </c>
      <c r="N106" s="20" t="str">
        <f t="shared" si="11"/>
        <v>High volume</v>
      </c>
      <c r="O106" s="32">
        <f t="shared" si="9"/>
        <v>26.693999999999999</v>
      </c>
      <c r="P106" s="20">
        <f t="shared" si="10"/>
        <v>1</v>
      </c>
      <c r="Q106" s="20" t="str" cm="1">
        <f t="array" ref="Q106">_xlfn.IFS(P106&lt;=3,"Q1",P106&lt;=6,"Q2",P106&lt;=9,"Q3",P106&lt;=12,"Q4")</f>
        <v>Q1</v>
      </c>
    </row>
    <row r="107" spans="1:17" x14ac:dyDescent="0.25">
      <c r="A107" s="14">
        <v>45688</v>
      </c>
      <c r="B107" s="15" t="s">
        <v>60</v>
      </c>
      <c r="C107" s="15" t="s">
        <v>61</v>
      </c>
      <c r="D107" s="15" t="s">
        <v>62</v>
      </c>
      <c r="E107" s="16">
        <v>3033.43</v>
      </c>
      <c r="F107" s="16">
        <v>3033.57</v>
      </c>
      <c r="G107" s="16">
        <v>3023.4</v>
      </c>
      <c r="H107" s="16">
        <v>3023.6</v>
      </c>
      <c r="I107" s="17">
        <v>4824974</v>
      </c>
      <c r="J107" s="16">
        <v>4233040000000</v>
      </c>
      <c r="K107" s="30">
        <f t="shared" si="6"/>
        <v>-0.32405560701911457</v>
      </c>
      <c r="L107" s="31">
        <f t="shared" si="7"/>
        <v>10.170000000000073</v>
      </c>
      <c r="M107" s="30">
        <f t="shared" si="8"/>
        <v>3.3526404103605733E-3</v>
      </c>
      <c r="N107" s="20" t="str">
        <f t="shared" si="11"/>
        <v>High volume</v>
      </c>
      <c r="O107" s="32">
        <f t="shared" si="9"/>
        <v>4233.04</v>
      </c>
      <c r="P107" s="20">
        <f t="shared" si="10"/>
        <v>1</v>
      </c>
      <c r="Q107" s="20" t="str" cm="1">
        <f t="array" ref="Q107">_xlfn.IFS(P107&lt;=3,"Q1",P107&lt;=6,"Q2",P107&lt;=9,"Q3",P107&lt;=12,"Q4")</f>
        <v>Q1</v>
      </c>
    </row>
    <row r="108" spans="1:17" x14ac:dyDescent="0.25">
      <c r="A108" s="8">
        <v>45688</v>
      </c>
      <c r="B108" s="9" t="s">
        <v>65</v>
      </c>
      <c r="C108" s="9" t="s">
        <v>66</v>
      </c>
      <c r="D108" s="9" t="s">
        <v>67</v>
      </c>
      <c r="E108" s="10">
        <v>191.79</v>
      </c>
      <c r="F108" s="10">
        <v>193.01</v>
      </c>
      <c r="G108" s="10">
        <v>191.7</v>
      </c>
      <c r="H108" s="10">
        <v>192.95</v>
      </c>
      <c r="I108" s="11">
        <v>637709</v>
      </c>
      <c r="J108" s="10">
        <v>48237500000</v>
      </c>
      <c r="K108" s="30">
        <f t="shared" si="6"/>
        <v>0.60482819750768901</v>
      </c>
      <c r="L108" s="31">
        <f t="shared" si="7"/>
        <v>1.3100000000000023</v>
      </c>
      <c r="M108" s="30">
        <f t="shared" si="8"/>
        <v>6.8303874028885882E-3</v>
      </c>
      <c r="N108" s="20" t="str">
        <f t="shared" si="11"/>
        <v>Normal</v>
      </c>
      <c r="O108" s="32">
        <f t="shared" si="9"/>
        <v>48.237499999999997</v>
      </c>
      <c r="P108" s="20">
        <f t="shared" si="10"/>
        <v>1</v>
      </c>
      <c r="Q108" s="20" t="str" cm="1">
        <f t="array" ref="Q108">_xlfn.IFS(P108&lt;=3,"Q1",P108&lt;=6,"Q2",P108&lt;=9,"Q3",P108&lt;=12,"Q4")</f>
        <v>Q1</v>
      </c>
    </row>
    <row r="109" spans="1:17" x14ac:dyDescent="0.25">
      <c r="A109" s="14">
        <v>45688</v>
      </c>
      <c r="B109" s="15" t="s">
        <v>69</v>
      </c>
      <c r="C109" s="15" t="s">
        <v>70</v>
      </c>
      <c r="D109" s="15" t="s">
        <v>71</v>
      </c>
      <c r="E109" s="16">
        <v>596.41</v>
      </c>
      <c r="F109" s="16">
        <v>596.72</v>
      </c>
      <c r="G109" s="16">
        <v>584.75</v>
      </c>
      <c r="H109" s="16">
        <v>587.14</v>
      </c>
      <c r="I109" s="17">
        <v>470959</v>
      </c>
      <c r="J109" s="16">
        <v>469712000000</v>
      </c>
      <c r="K109" s="30">
        <f t="shared" si="6"/>
        <v>-1.5542998943679653</v>
      </c>
      <c r="L109" s="31">
        <f t="shared" si="7"/>
        <v>11.970000000000027</v>
      </c>
      <c r="M109" s="30">
        <f t="shared" si="8"/>
        <v>2.0070086014654397E-2</v>
      </c>
      <c r="N109" s="20" t="str">
        <f t="shared" si="11"/>
        <v>Normal</v>
      </c>
      <c r="O109" s="32">
        <f t="shared" si="9"/>
        <v>469.71199999999999</v>
      </c>
      <c r="P109" s="20">
        <f t="shared" si="10"/>
        <v>1</v>
      </c>
      <c r="Q109" s="20" t="str" cm="1">
        <f t="array" ref="Q109">_xlfn.IFS(P109&lt;=3,"Q1",P109&lt;=6,"Q2",P109&lt;=9,"Q3",P109&lt;=12,"Q4")</f>
        <v>Q1</v>
      </c>
    </row>
    <row r="110" spans="1:17" x14ac:dyDescent="0.25">
      <c r="A110" s="8">
        <v>45688</v>
      </c>
      <c r="B110" s="9" t="s">
        <v>73</v>
      </c>
      <c r="C110" s="9" t="s">
        <v>74</v>
      </c>
      <c r="D110" s="9" t="s">
        <v>75</v>
      </c>
      <c r="E110" s="10">
        <v>110.07</v>
      </c>
      <c r="F110" s="10">
        <v>110.52</v>
      </c>
      <c r="G110" s="10">
        <v>109.64</v>
      </c>
      <c r="H110" s="10">
        <v>110.47</v>
      </c>
      <c r="I110" s="11">
        <v>4200987</v>
      </c>
      <c r="J110" s="10">
        <v>24303400000</v>
      </c>
      <c r="K110" s="30">
        <f t="shared" si="6"/>
        <v>0.36340510584174224</v>
      </c>
      <c r="L110" s="31">
        <f t="shared" si="7"/>
        <v>0.87999999999999545</v>
      </c>
      <c r="M110" s="30">
        <f t="shared" si="8"/>
        <v>7.9949123285181743E-3</v>
      </c>
      <c r="N110" s="20" t="str">
        <f t="shared" si="11"/>
        <v>High volume</v>
      </c>
      <c r="O110" s="32">
        <f t="shared" si="9"/>
        <v>24.3034</v>
      </c>
      <c r="P110" s="20">
        <f t="shared" si="10"/>
        <v>1</v>
      </c>
      <c r="Q110" s="20" t="str" cm="1">
        <f t="array" ref="Q110">_xlfn.IFS(P110&lt;=3,"Q1",P110&lt;=6,"Q2",P110&lt;=9,"Q3",P110&lt;=12,"Q4")</f>
        <v>Q1</v>
      </c>
    </row>
    <row r="111" spans="1:17" x14ac:dyDescent="0.25">
      <c r="A111" s="14">
        <v>45688</v>
      </c>
      <c r="B111" s="15" t="s">
        <v>76</v>
      </c>
      <c r="C111" s="15" t="s">
        <v>77</v>
      </c>
      <c r="D111" s="15" t="s">
        <v>75</v>
      </c>
      <c r="E111" s="16">
        <v>133.66</v>
      </c>
      <c r="F111" s="16">
        <v>134.22999999999999</v>
      </c>
      <c r="G111" s="16">
        <v>131.93</v>
      </c>
      <c r="H111" s="16">
        <v>132.32</v>
      </c>
      <c r="I111" s="17">
        <v>1260771</v>
      </c>
      <c r="J111" s="16">
        <v>26464000000</v>
      </c>
      <c r="K111" s="30">
        <f t="shared" si="6"/>
        <v>-1.0025437677689686</v>
      </c>
      <c r="L111" s="31">
        <f t="shared" si="7"/>
        <v>2.2999999999999829</v>
      </c>
      <c r="M111" s="30">
        <f t="shared" si="8"/>
        <v>1.7207840790064214E-2</v>
      </c>
      <c r="N111" s="20" t="str">
        <f t="shared" si="11"/>
        <v>Normal</v>
      </c>
      <c r="O111" s="32">
        <f t="shared" si="9"/>
        <v>26.463999999999999</v>
      </c>
      <c r="P111" s="20">
        <f t="shared" si="10"/>
        <v>1</v>
      </c>
      <c r="Q111" s="20" t="str" cm="1">
        <f t="array" ref="Q111">_xlfn.IFS(P111&lt;=3,"Q1",P111&lt;=6,"Q2",P111&lt;=9,"Q3",P111&lt;=12,"Q4")</f>
        <v>Q1</v>
      </c>
    </row>
    <row r="112" spans="1:17" x14ac:dyDescent="0.25">
      <c r="A112" s="8">
        <v>45691</v>
      </c>
      <c r="B112" s="9" t="s">
        <v>60</v>
      </c>
      <c r="C112" s="9" t="s">
        <v>61</v>
      </c>
      <c r="D112" s="9" t="s">
        <v>62</v>
      </c>
      <c r="E112" s="10">
        <v>3028.92</v>
      </c>
      <c r="F112" s="10">
        <v>3043.19</v>
      </c>
      <c r="G112" s="10">
        <v>3017</v>
      </c>
      <c r="H112" s="10">
        <v>3041.33</v>
      </c>
      <c r="I112" s="11">
        <v>3448302</v>
      </c>
      <c r="J112" s="10">
        <v>4257862000000</v>
      </c>
      <c r="K112" s="30">
        <f t="shared" si="6"/>
        <v>0.40971699483643859</v>
      </c>
      <c r="L112" s="31">
        <f t="shared" si="7"/>
        <v>26.190000000000055</v>
      </c>
      <c r="M112" s="30">
        <f t="shared" si="8"/>
        <v>8.6466463293847495E-3</v>
      </c>
      <c r="N112" s="20" t="str">
        <f t="shared" si="11"/>
        <v>High volume</v>
      </c>
      <c r="O112" s="32">
        <f t="shared" si="9"/>
        <v>4257.8620000000001</v>
      </c>
      <c r="P112" s="20">
        <f t="shared" si="10"/>
        <v>2</v>
      </c>
      <c r="Q112" s="20" t="str" cm="1">
        <f t="array" ref="Q112">_xlfn.IFS(P112&lt;=3,"Q1",P112&lt;=6,"Q2",P112&lt;=9,"Q3",P112&lt;=12,"Q4")</f>
        <v>Q1</v>
      </c>
    </row>
    <row r="113" spans="1:17" x14ac:dyDescent="0.25">
      <c r="A113" s="14">
        <v>45691</v>
      </c>
      <c r="B113" s="15" t="s">
        <v>65</v>
      </c>
      <c r="C113" s="15" t="s">
        <v>66</v>
      </c>
      <c r="D113" s="15" t="s">
        <v>67</v>
      </c>
      <c r="E113" s="16">
        <v>196.52</v>
      </c>
      <c r="F113" s="16">
        <v>198.5</v>
      </c>
      <c r="G113" s="16">
        <v>195.01</v>
      </c>
      <c r="H113" s="16">
        <v>195.28</v>
      </c>
      <c r="I113" s="17">
        <v>2337168</v>
      </c>
      <c r="J113" s="16">
        <v>48820000000</v>
      </c>
      <c r="K113" s="30">
        <f t="shared" si="6"/>
        <v>-0.6309790352127056</v>
      </c>
      <c r="L113" s="31">
        <f t="shared" si="7"/>
        <v>3.4900000000000091</v>
      </c>
      <c r="M113" s="30">
        <f t="shared" si="8"/>
        <v>1.7759006716873645E-2</v>
      </c>
      <c r="N113" s="20" t="str">
        <f t="shared" si="11"/>
        <v>High volume</v>
      </c>
      <c r="O113" s="32">
        <f t="shared" si="9"/>
        <v>48.82</v>
      </c>
      <c r="P113" s="20">
        <f t="shared" si="10"/>
        <v>2</v>
      </c>
      <c r="Q113" s="20" t="str" cm="1">
        <f t="array" ref="Q113">_xlfn.IFS(P113&lt;=3,"Q1",P113&lt;=6,"Q2",P113&lt;=9,"Q3",P113&lt;=12,"Q4")</f>
        <v>Q1</v>
      </c>
    </row>
    <row r="114" spans="1:17" x14ac:dyDescent="0.25">
      <c r="A114" s="8">
        <v>45691</v>
      </c>
      <c r="B114" s="9" t="s">
        <v>69</v>
      </c>
      <c r="C114" s="9" t="s">
        <v>70</v>
      </c>
      <c r="D114" s="9" t="s">
        <v>71</v>
      </c>
      <c r="E114" s="10">
        <v>599.41</v>
      </c>
      <c r="F114" s="10">
        <v>604.34</v>
      </c>
      <c r="G114" s="10">
        <v>595.58000000000004</v>
      </c>
      <c r="H114" s="10">
        <v>596.64</v>
      </c>
      <c r="I114" s="11">
        <v>644512</v>
      </c>
      <c r="J114" s="10">
        <v>477312000000</v>
      </c>
      <c r="K114" s="30">
        <f t="shared" si="6"/>
        <v>-0.46212108573430233</v>
      </c>
      <c r="L114" s="31">
        <f t="shared" si="7"/>
        <v>8.7599999999999909</v>
      </c>
      <c r="M114" s="30">
        <f t="shared" si="8"/>
        <v>1.4614370797951304E-2</v>
      </c>
      <c r="N114" s="20" t="str">
        <f t="shared" si="11"/>
        <v>Normal</v>
      </c>
      <c r="O114" s="32">
        <f t="shared" si="9"/>
        <v>477.31200000000001</v>
      </c>
      <c r="P114" s="20">
        <f t="shared" si="10"/>
        <v>2</v>
      </c>
      <c r="Q114" s="20" t="str" cm="1">
        <f t="array" ref="Q114">_xlfn.IFS(P114&lt;=3,"Q1",P114&lt;=6,"Q2",P114&lt;=9,"Q3",P114&lt;=12,"Q4")</f>
        <v>Q1</v>
      </c>
    </row>
    <row r="115" spans="1:17" x14ac:dyDescent="0.25">
      <c r="A115" s="14">
        <v>45691</v>
      </c>
      <c r="B115" s="15" t="s">
        <v>73</v>
      </c>
      <c r="C115" s="15" t="s">
        <v>74</v>
      </c>
      <c r="D115" s="15" t="s">
        <v>75</v>
      </c>
      <c r="E115" s="16">
        <v>108.68</v>
      </c>
      <c r="F115" s="16">
        <v>109.21</v>
      </c>
      <c r="G115" s="16">
        <v>107.93</v>
      </c>
      <c r="H115" s="16">
        <v>108.4</v>
      </c>
      <c r="I115" s="17">
        <v>4544306</v>
      </c>
      <c r="J115" s="16">
        <v>23848000000</v>
      </c>
      <c r="K115" s="30">
        <f t="shared" si="6"/>
        <v>-0.25763709974236393</v>
      </c>
      <c r="L115" s="31">
        <f t="shared" si="7"/>
        <v>1.2799999999999869</v>
      </c>
      <c r="M115" s="30">
        <f t="shared" si="8"/>
        <v>1.1777695988222182E-2</v>
      </c>
      <c r="N115" s="20" t="str">
        <f t="shared" si="11"/>
        <v>High volume</v>
      </c>
      <c r="O115" s="32">
        <f t="shared" si="9"/>
        <v>23.847999999999999</v>
      </c>
      <c r="P115" s="20">
        <f t="shared" si="10"/>
        <v>2</v>
      </c>
      <c r="Q115" s="20" t="str" cm="1">
        <f t="array" ref="Q115">_xlfn.IFS(P115&lt;=3,"Q1",P115&lt;=6,"Q2",P115&lt;=9,"Q3",P115&lt;=12,"Q4")</f>
        <v>Q1</v>
      </c>
    </row>
    <row r="116" spans="1:17" x14ac:dyDescent="0.25">
      <c r="A116" s="8">
        <v>45691</v>
      </c>
      <c r="B116" s="9" t="s">
        <v>76</v>
      </c>
      <c r="C116" s="9" t="s">
        <v>77</v>
      </c>
      <c r="D116" s="9" t="s">
        <v>75</v>
      </c>
      <c r="E116" s="10">
        <v>132.16</v>
      </c>
      <c r="F116" s="10">
        <v>132.29</v>
      </c>
      <c r="G116" s="10">
        <v>131.08000000000001</v>
      </c>
      <c r="H116" s="10">
        <v>131.6</v>
      </c>
      <c r="I116" s="11">
        <v>3338253</v>
      </c>
      <c r="J116" s="10">
        <v>26320000000</v>
      </c>
      <c r="K116" s="30">
        <f t="shared" si="6"/>
        <v>-0.42372881355932379</v>
      </c>
      <c r="L116" s="31">
        <f t="shared" si="7"/>
        <v>1.2099999999999795</v>
      </c>
      <c r="M116" s="30">
        <f t="shared" si="8"/>
        <v>9.1555690072637683E-3</v>
      </c>
      <c r="N116" s="20" t="str">
        <f t="shared" si="11"/>
        <v>High volume</v>
      </c>
      <c r="O116" s="32">
        <f t="shared" si="9"/>
        <v>26.32</v>
      </c>
      <c r="P116" s="20">
        <f t="shared" si="10"/>
        <v>2</v>
      </c>
      <c r="Q116" s="20" t="str" cm="1">
        <f t="array" ref="Q116">_xlfn.IFS(P116&lt;=3,"Q1",P116&lt;=6,"Q2",P116&lt;=9,"Q3",P116&lt;=12,"Q4")</f>
        <v>Q1</v>
      </c>
    </row>
    <row r="117" spans="1:17" x14ac:dyDescent="0.25">
      <c r="A117" s="14">
        <v>45692</v>
      </c>
      <c r="B117" s="15" t="s">
        <v>60</v>
      </c>
      <c r="C117" s="15" t="s">
        <v>61</v>
      </c>
      <c r="D117" s="15" t="s">
        <v>62</v>
      </c>
      <c r="E117" s="16">
        <v>3067.43</v>
      </c>
      <c r="F117" s="16">
        <v>3097.79</v>
      </c>
      <c r="G117" s="16">
        <v>3032.74</v>
      </c>
      <c r="H117" s="16">
        <v>3078.75</v>
      </c>
      <c r="I117" s="17">
        <v>3953130</v>
      </c>
      <c r="J117" s="16">
        <v>4310250000000</v>
      </c>
      <c r="K117" s="30">
        <f t="shared" si="6"/>
        <v>0.36903857626743442</v>
      </c>
      <c r="L117" s="31">
        <f t="shared" si="7"/>
        <v>65.050000000000182</v>
      </c>
      <c r="M117" s="30">
        <f t="shared" si="8"/>
        <v>2.1206677903000293E-2</v>
      </c>
      <c r="N117" s="20" t="str">
        <f t="shared" si="11"/>
        <v>High volume</v>
      </c>
      <c r="O117" s="32">
        <f t="shared" si="9"/>
        <v>4310.25</v>
      </c>
      <c r="P117" s="20">
        <f t="shared" si="10"/>
        <v>2</v>
      </c>
      <c r="Q117" s="20" t="str" cm="1">
        <f t="array" ref="Q117">_xlfn.IFS(P117&lt;=3,"Q1",P117&lt;=6,"Q2",P117&lt;=9,"Q3",P117&lt;=12,"Q4")</f>
        <v>Q1</v>
      </c>
    </row>
    <row r="118" spans="1:17" x14ac:dyDescent="0.25">
      <c r="A118" s="8">
        <v>45692</v>
      </c>
      <c r="B118" s="9" t="s">
        <v>65</v>
      </c>
      <c r="C118" s="9" t="s">
        <v>66</v>
      </c>
      <c r="D118" s="9" t="s">
        <v>67</v>
      </c>
      <c r="E118" s="10">
        <v>196.91</v>
      </c>
      <c r="F118" s="10">
        <v>198.62</v>
      </c>
      <c r="G118" s="10">
        <v>195.63</v>
      </c>
      <c r="H118" s="10">
        <v>198.38</v>
      </c>
      <c r="I118" s="11">
        <v>4355871</v>
      </c>
      <c r="J118" s="10">
        <v>49595000000</v>
      </c>
      <c r="K118" s="30">
        <f t="shared" si="6"/>
        <v>0.74653394952008478</v>
      </c>
      <c r="L118" s="31">
        <f t="shared" si="7"/>
        <v>2.9900000000000091</v>
      </c>
      <c r="M118" s="30">
        <f t="shared" si="8"/>
        <v>1.5184602102483414E-2</v>
      </c>
      <c r="N118" s="20" t="str">
        <f t="shared" si="11"/>
        <v>High volume</v>
      </c>
      <c r="O118" s="32">
        <f t="shared" si="9"/>
        <v>49.594999999999999</v>
      </c>
      <c r="P118" s="20">
        <f t="shared" si="10"/>
        <v>2</v>
      </c>
      <c r="Q118" s="20" t="str" cm="1">
        <f t="array" ref="Q118">_xlfn.IFS(P118&lt;=3,"Q1",P118&lt;=6,"Q2",P118&lt;=9,"Q3",P118&lt;=12,"Q4")</f>
        <v>Q1</v>
      </c>
    </row>
    <row r="119" spans="1:17" x14ac:dyDescent="0.25">
      <c r="A119" s="14">
        <v>45692</v>
      </c>
      <c r="B119" s="15" t="s">
        <v>69</v>
      </c>
      <c r="C119" s="15" t="s">
        <v>70</v>
      </c>
      <c r="D119" s="15" t="s">
        <v>71</v>
      </c>
      <c r="E119" s="16">
        <v>586.72</v>
      </c>
      <c r="F119" s="16">
        <v>595.28</v>
      </c>
      <c r="G119" s="16">
        <v>584.79999999999995</v>
      </c>
      <c r="H119" s="16">
        <v>591.01</v>
      </c>
      <c r="I119" s="17">
        <v>3003686</v>
      </c>
      <c r="J119" s="16">
        <v>472808000000</v>
      </c>
      <c r="K119" s="30">
        <f t="shared" si="6"/>
        <v>0.73118352877010562</v>
      </c>
      <c r="L119" s="31">
        <f t="shared" si="7"/>
        <v>10.480000000000018</v>
      </c>
      <c r="M119" s="30">
        <f t="shared" si="8"/>
        <v>1.7862012544314184E-2</v>
      </c>
      <c r="N119" s="20" t="str">
        <f t="shared" si="11"/>
        <v>High volume</v>
      </c>
      <c r="O119" s="32">
        <f t="shared" si="9"/>
        <v>472.80799999999999</v>
      </c>
      <c r="P119" s="20">
        <f t="shared" si="10"/>
        <v>2</v>
      </c>
      <c r="Q119" s="20" t="str" cm="1">
        <f t="array" ref="Q119">_xlfn.IFS(P119&lt;=3,"Q1",P119&lt;=6,"Q2",P119&lt;=9,"Q3",P119&lt;=12,"Q4")</f>
        <v>Q1</v>
      </c>
    </row>
    <row r="120" spans="1:17" x14ac:dyDescent="0.25">
      <c r="A120" s="8">
        <v>45692</v>
      </c>
      <c r="B120" s="9" t="s">
        <v>73</v>
      </c>
      <c r="C120" s="9" t="s">
        <v>74</v>
      </c>
      <c r="D120" s="9" t="s">
        <v>75</v>
      </c>
      <c r="E120" s="10">
        <v>110.25</v>
      </c>
      <c r="F120" s="10">
        <v>111.58</v>
      </c>
      <c r="G120" s="10">
        <v>108.69</v>
      </c>
      <c r="H120" s="10">
        <v>109.39</v>
      </c>
      <c r="I120" s="11">
        <v>4198257</v>
      </c>
      <c r="J120" s="10">
        <v>24065800000</v>
      </c>
      <c r="K120" s="30">
        <f t="shared" si="6"/>
        <v>-0.7800453514739224</v>
      </c>
      <c r="L120" s="31">
        <f t="shared" si="7"/>
        <v>2.8900000000000006</v>
      </c>
      <c r="M120" s="30">
        <f t="shared" si="8"/>
        <v>2.6213151927437648E-2</v>
      </c>
      <c r="N120" s="20" t="str">
        <f t="shared" si="11"/>
        <v>High volume</v>
      </c>
      <c r="O120" s="32">
        <f t="shared" si="9"/>
        <v>24.065799999999999</v>
      </c>
      <c r="P120" s="20">
        <f t="shared" si="10"/>
        <v>2</v>
      </c>
      <c r="Q120" s="20" t="str" cm="1">
        <f t="array" ref="Q120">_xlfn.IFS(P120&lt;=3,"Q1",P120&lt;=6,"Q2",P120&lt;=9,"Q3",P120&lt;=12,"Q4")</f>
        <v>Q1</v>
      </c>
    </row>
    <row r="121" spans="1:17" x14ac:dyDescent="0.25">
      <c r="A121" s="14">
        <v>45692</v>
      </c>
      <c r="B121" s="15" t="s">
        <v>76</v>
      </c>
      <c r="C121" s="15" t="s">
        <v>77</v>
      </c>
      <c r="D121" s="15" t="s">
        <v>75</v>
      </c>
      <c r="E121" s="16">
        <v>133.74</v>
      </c>
      <c r="F121" s="16">
        <v>135.18</v>
      </c>
      <c r="G121" s="16">
        <v>133.06</v>
      </c>
      <c r="H121" s="16">
        <v>133.77000000000001</v>
      </c>
      <c r="I121" s="17">
        <v>4446543</v>
      </c>
      <c r="J121" s="16">
        <v>26754000000</v>
      </c>
      <c r="K121" s="30">
        <f t="shared" si="6"/>
        <v>2.2431583669807936E-2</v>
      </c>
      <c r="L121" s="31">
        <f t="shared" si="7"/>
        <v>2.1200000000000045</v>
      </c>
      <c r="M121" s="30">
        <f t="shared" si="8"/>
        <v>1.5851652459997041E-2</v>
      </c>
      <c r="N121" s="20" t="str">
        <f t="shared" si="11"/>
        <v>High volume</v>
      </c>
      <c r="O121" s="32">
        <f t="shared" si="9"/>
        <v>26.754000000000001</v>
      </c>
      <c r="P121" s="20">
        <f t="shared" si="10"/>
        <v>2</v>
      </c>
      <c r="Q121" s="20" t="str" cm="1">
        <f t="array" ref="Q121">_xlfn.IFS(P121&lt;=3,"Q1",P121&lt;=6,"Q2",P121&lt;=9,"Q3",P121&lt;=12,"Q4")</f>
        <v>Q1</v>
      </c>
    </row>
    <row r="122" spans="1:17" x14ac:dyDescent="0.25">
      <c r="A122" s="8">
        <v>45693</v>
      </c>
      <c r="B122" s="9" t="s">
        <v>60</v>
      </c>
      <c r="C122" s="9" t="s">
        <v>61</v>
      </c>
      <c r="D122" s="9" t="s">
        <v>62</v>
      </c>
      <c r="E122" s="10">
        <v>3096.7</v>
      </c>
      <c r="F122" s="10">
        <v>3109.34</v>
      </c>
      <c r="G122" s="10">
        <v>3086.26</v>
      </c>
      <c r="H122" s="10">
        <v>3094.12</v>
      </c>
      <c r="I122" s="11">
        <v>2617508</v>
      </c>
      <c r="J122" s="10">
        <v>4331768000000</v>
      </c>
      <c r="K122" s="30">
        <f t="shared" si="6"/>
        <v>-8.3314496076466155E-2</v>
      </c>
      <c r="L122" s="31">
        <f t="shared" si="7"/>
        <v>23.079999999999927</v>
      </c>
      <c r="M122" s="30">
        <f t="shared" si="8"/>
        <v>7.4530952304065392E-3</v>
      </c>
      <c r="N122" s="20" t="str">
        <f t="shared" si="11"/>
        <v>High volume</v>
      </c>
      <c r="O122" s="32">
        <f t="shared" si="9"/>
        <v>4331.768</v>
      </c>
      <c r="P122" s="20">
        <f t="shared" si="10"/>
        <v>2</v>
      </c>
      <c r="Q122" s="20" t="str" cm="1">
        <f t="array" ref="Q122">_xlfn.IFS(P122&lt;=3,"Q1",P122&lt;=6,"Q2",P122&lt;=9,"Q3",P122&lt;=12,"Q4")</f>
        <v>Q1</v>
      </c>
    </row>
    <row r="123" spans="1:17" x14ac:dyDescent="0.25">
      <c r="A123" s="14">
        <v>45693</v>
      </c>
      <c r="B123" s="15" t="s">
        <v>65</v>
      </c>
      <c r="C123" s="15" t="s">
        <v>66</v>
      </c>
      <c r="D123" s="15" t="s">
        <v>67</v>
      </c>
      <c r="E123" s="16">
        <v>203.59</v>
      </c>
      <c r="F123" s="16">
        <v>205.43</v>
      </c>
      <c r="G123" s="16">
        <v>202.92</v>
      </c>
      <c r="H123" s="16">
        <v>203.4</v>
      </c>
      <c r="I123" s="17">
        <v>2324641</v>
      </c>
      <c r="J123" s="16">
        <v>50850000000</v>
      </c>
      <c r="K123" s="30">
        <f t="shared" si="6"/>
        <v>-9.3324819490150646E-2</v>
      </c>
      <c r="L123" s="31">
        <f t="shared" si="7"/>
        <v>2.5100000000000193</v>
      </c>
      <c r="M123" s="30">
        <f t="shared" si="8"/>
        <v>1.2328699837909619E-2</v>
      </c>
      <c r="N123" s="20" t="str">
        <f t="shared" si="11"/>
        <v>High volume</v>
      </c>
      <c r="O123" s="32">
        <f t="shared" si="9"/>
        <v>50.85</v>
      </c>
      <c r="P123" s="20">
        <f t="shared" si="10"/>
        <v>2</v>
      </c>
      <c r="Q123" s="20" t="str" cm="1">
        <f t="array" ref="Q123">_xlfn.IFS(P123&lt;=3,"Q1",P123&lt;=6,"Q2",P123&lt;=9,"Q3",P123&lt;=12,"Q4")</f>
        <v>Q1</v>
      </c>
    </row>
    <row r="124" spans="1:17" x14ac:dyDescent="0.25">
      <c r="A124" s="8">
        <v>45693</v>
      </c>
      <c r="B124" s="9" t="s">
        <v>69</v>
      </c>
      <c r="C124" s="9" t="s">
        <v>70</v>
      </c>
      <c r="D124" s="9" t="s">
        <v>71</v>
      </c>
      <c r="E124" s="10">
        <v>589.21</v>
      </c>
      <c r="F124" s="10">
        <v>594.57000000000005</v>
      </c>
      <c r="G124" s="10">
        <v>588.84</v>
      </c>
      <c r="H124" s="10">
        <v>592.54</v>
      </c>
      <c r="I124" s="11">
        <v>4417307</v>
      </c>
      <c r="J124" s="10">
        <v>474032000000</v>
      </c>
      <c r="K124" s="30">
        <f t="shared" si="6"/>
        <v>0.56516352404065218</v>
      </c>
      <c r="L124" s="31">
        <f t="shared" si="7"/>
        <v>5.7300000000000182</v>
      </c>
      <c r="M124" s="30">
        <f t="shared" si="8"/>
        <v>9.7248858641231783E-3</v>
      </c>
      <c r="N124" s="20" t="str">
        <f t="shared" si="11"/>
        <v>High volume</v>
      </c>
      <c r="O124" s="32">
        <f t="shared" si="9"/>
        <v>474.03199999999998</v>
      </c>
      <c r="P124" s="20">
        <f t="shared" si="10"/>
        <v>2</v>
      </c>
      <c r="Q124" s="20" t="str" cm="1">
        <f t="array" ref="Q124">_xlfn.IFS(P124&lt;=3,"Q1",P124&lt;=6,"Q2",P124&lt;=9,"Q3",P124&lt;=12,"Q4")</f>
        <v>Q1</v>
      </c>
    </row>
    <row r="125" spans="1:17" x14ac:dyDescent="0.25">
      <c r="A125" s="14">
        <v>45693</v>
      </c>
      <c r="B125" s="15" t="s">
        <v>73</v>
      </c>
      <c r="C125" s="15" t="s">
        <v>74</v>
      </c>
      <c r="D125" s="15" t="s">
        <v>75</v>
      </c>
      <c r="E125" s="16">
        <v>106.9</v>
      </c>
      <c r="F125" s="16">
        <v>107.05</v>
      </c>
      <c r="G125" s="16">
        <v>106.85</v>
      </c>
      <c r="H125" s="16">
        <v>106.91</v>
      </c>
      <c r="I125" s="17">
        <v>3692362</v>
      </c>
      <c r="J125" s="16">
        <v>23520200000</v>
      </c>
      <c r="K125" s="30">
        <f t="shared" si="6"/>
        <v>9.354536950412445E-3</v>
      </c>
      <c r="L125" s="31">
        <f t="shared" si="7"/>
        <v>0.20000000000000284</v>
      </c>
      <c r="M125" s="30">
        <f t="shared" si="8"/>
        <v>1.8709073900842173E-3</v>
      </c>
      <c r="N125" s="20" t="str">
        <f t="shared" si="11"/>
        <v>High volume</v>
      </c>
      <c r="O125" s="32">
        <f t="shared" si="9"/>
        <v>23.520199999999999</v>
      </c>
      <c r="P125" s="20">
        <f t="shared" si="10"/>
        <v>2</v>
      </c>
      <c r="Q125" s="20" t="str" cm="1">
        <f t="array" ref="Q125">_xlfn.IFS(P125&lt;=3,"Q1",P125&lt;=6,"Q2",P125&lt;=9,"Q3",P125&lt;=12,"Q4")</f>
        <v>Q1</v>
      </c>
    </row>
    <row r="126" spans="1:17" x14ac:dyDescent="0.25">
      <c r="A126" s="8">
        <v>45693</v>
      </c>
      <c r="B126" s="9" t="s">
        <v>76</v>
      </c>
      <c r="C126" s="9" t="s">
        <v>77</v>
      </c>
      <c r="D126" s="9" t="s">
        <v>75</v>
      </c>
      <c r="E126" s="10">
        <v>133.18</v>
      </c>
      <c r="F126" s="10">
        <v>134.03</v>
      </c>
      <c r="G126" s="10">
        <v>132.13</v>
      </c>
      <c r="H126" s="10">
        <v>133.13999999999999</v>
      </c>
      <c r="I126" s="11">
        <v>3869384</v>
      </c>
      <c r="J126" s="10">
        <v>26628000000</v>
      </c>
      <c r="K126" s="30">
        <f t="shared" si="6"/>
        <v>-3.0034539720694142E-2</v>
      </c>
      <c r="L126" s="31">
        <f t="shared" si="7"/>
        <v>1.9000000000000057</v>
      </c>
      <c r="M126" s="30">
        <f t="shared" si="8"/>
        <v>1.4266406367322463E-2</v>
      </c>
      <c r="N126" s="20" t="str">
        <f t="shared" si="11"/>
        <v>High volume</v>
      </c>
      <c r="O126" s="32">
        <f t="shared" si="9"/>
        <v>26.628</v>
      </c>
      <c r="P126" s="20">
        <f t="shared" si="10"/>
        <v>2</v>
      </c>
      <c r="Q126" s="20" t="str" cm="1">
        <f t="array" ref="Q126">_xlfn.IFS(P126&lt;=3,"Q1",P126&lt;=6,"Q2",P126&lt;=9,"Q3",P126&lt;=12,"Q4")</f>
        <v>Q1</v>
      </c>
    </row>
    <row r="127" spans="1:17" x14ac:dyDescent="0.25">
      <c r="A127" s="14">
        <v>45694</v>
      </c>
      <c r="B127" s="15" t="s">
        <v>60</v>
      </c>
      <c r="C127" s="15" t="s">
        <v>61</v>
      </c>
      <c r="D127" s="15" t="s">
        <v>62</v>
      </c>
      <c r="E127" s="16">
        <v>3068.97</v>
      </c>
      <c r="F127" s="16">
        <v>3100.01</v>
      </c>
      <c r="G127" s="16">
        <v>3068.31</v>
      </c>
      <c r="H127" s="16">
        <v>3079.46</v>
      </c>
      <c r="I127" s="17">
        <v>4106291</v>
      </c>
      <c r="J127" s="16">
        <v>4311244000000</v>
      </c>
      <c r="K127" s="30">
        <f t="shared" si="6"/>
        <v>0.34180848949322534</v>
      </c>
      <c r="L127" s="31">
        <f t="shared" si="7"/>
        <v>31.700000000000273</v>
      </c>
      <c r="M127" s="30">
        <f t="shared" si="8"/>
        <v>1.0329198395552994E-2</v>
      </c>
      <c r="N127" s="20" t="str">
        <f t="shared" si="11"/>
        <v>High volume</v>
      </c>
      <c r="O127" s="32">
        <f t="shared" si="9"/>
        <v>4311.2439999999997</v>
      </c>
      <c r="P127" s="20">
        <f t="shared" si="10"/>
        <v>2</v>
      </c>
      <c r="Q127" s="20" t="str" cm="1">
        <f t="array" ref="Q127">_xlfn.IFS(P127&lt;=3,"Q1",P127&lt;=6,"Q2",P127&lt;=9,"Q3",P127&lt;=12,"Q4")</f>
        <v>Q1</v>
      </c>
    </row>
    <row r="128" spans="1:17" x14ac:dyDescent="0.25">
      <c r="A128" s="8">
        <v>45694</v>
      </c>
      <c r="B128" s="9" t="s">
        <v>65</v>
      </c>
      <c r="C128" s="9" t="s">
        <v>66</v>
      </c>
      <c r="D128" s="9" t="s">
        <v>67</v>
      </c>
      <c r="E128" s="10">
        <v>203.14</v>
      </c>
      <c r="F128" s="10">
        <v>204.37</v>
      </c>
      <c r="G128" s="10">
        <v>202.37</v>
      </c>
      <c r="H128" s="10">
        <v>202.61</v>
      </c>
      <c r="I128" s="11">
        <v>4795152</v>
      </c>
      <c r="J128" s="10">
        <v>50652500000</v>
      </c>
      <c r="K128" s="30">
        <f t="shared" si="6"/>
        <v>-0.2609038101801579</v>
      </c>
      <c r="L128" s="31">
        <f t="shared" si="7"/>
        <v>2</v>
      </c>
      <c r="M128" s="30">
        <f t="shared" si="8"/>
        <v>9.845426799251749E-3</v>
      </c>
      <c r="N128" s="20" t="str">
        <f t="shared" si="11"/>
        <v>High volume</v>
      </c>
      <c r="O128" s="32">
        <f t="shared" si="9"/>
        <v>50.652500000000003</v>
      </c>
      <c r="P128" s="20">
        <f t="shared" si="10"/>
        <v>2</v>
      </c>
      <c r="Q128" s="20" t="str" cm="1">
        <f t="array" ref="Q128">_xlfn.IFS(P128&lt;=3,"Q1",P128&lt;=6,"Q2",P128&lt;=9,"Q3",P128&lt;=12,"Q4")</f>
        <v>Q1</v>
      </c>
    </row>
    <row r="129" spans="1:17" x14ac:dyDescent="0.25">
      <c r="A129" s="14">
        <v>45694</v>
      </c>
      <c r="B129" s="15" t="s">
        <v>69</v>
      </c>
      <c r="C129" s="15" t="s">
        <v>70</v>
      </c>
      <c r="D129" s="15" t="s">
        <v>71</v>
      </c>
      <c r="E129" s="16">
        <v>596.66</v>
      </c>
      <c r="F129" s="16">
        <v>603.62</v>
      </c>
      <c r="G129" s="16">
        <v>594.44000000000005</v>
      </c>
      <c r="H129" s="16">
        <v>596.20000000000005</v>
      </c>
      <c r="I129" s="17">
        <v>4361752</v>
      </c>
      <c r="J129" s="16">
        <v>476960000000</v>
      </c>
      <c r="K129" s="30">
        <f t="shared" si="6"/>
        <v>-7.7095833472986749E-2</v>
      </c>
      <c r="L129" s="31">
        <f t="shared" si="7"/>
        <v>9.17999999999995</v>
      </c>
      <c r="M129" s="30">
        <f t="shared" si="8"/>
        <v>1.53856467670029E-2</v>
      </c>
      <c r="N129" s="20" t="str">
        <f t="shared" si="11"/>
        <v>High volume</v>
      </c>
      <c r="O129" s="32">
        <f t="shared" si="9"/>
        <v>476.96</v>
      </c>
      <c r="P129" s="20">
        <f t="shared" si="10"/>
        <v>2</v>
      </c>
      <c r="Q129" s="20" t="str" cm="1">
        <f t="array" ref="Q129">_xlfn.IFS(P129&lt;=3,"Q1",P129&lt;=6,"Q2",P129&lt;=9,"Q3",P129&lt;=12,"Q4")</f>
        <v>Q1</v>
      </c>
    </row>
    <row r="130" spans="1:17" x14ac:dyDescent="0.25">
      <c r="A130" s="8">
        <v>45694</v>
      </c>
      <c r="B130" s="9" t="s">
        <v>73</v>
      </c>
      <c r="C130" s="9" t="s">
        <v>74</v>
      </c>
      <c r="D130" s="9" t="s">
        <v>75</v>
      </c>
      <c r="E130" s="10">
        <v>106.58</v>
      </c>
      <c r="F130" s="10">
        <v>107.7</v>
      </c>
      <c r="G130" s="10">
        <v>106.51</v>
      </c>
      <c r="H130" s="10">
        <v>107.68</v>
      </c>
      <c r="I130" s="11">
        <v>1928376</v>
      </c>
      <c r="J130" s="10">
        <v>23689600000</v>
      </c>
      <c r="K130" s="30">
        <f t="shared" si="6"/>
        <v>1.0320885719647293</v>
      </c>
      <c r="L130" s="31">
        <f t="shared" si="7"/>
        <v>1.1899999999999977</v>
      </c>
      <c r="M130" s="30">
        <f t="shared" si="8"/>
        <v>1.1165321823981965E-2</v>
      </c>
      <c r="N130" s="20" t="str">
        <f t="shared" si="11"/>
        <v>Normal</v>
      </c>
      <c r="O130" s="32">
        <f t="shared" si="9"/>
        <v>23.689599999999999</v>
      </c>
      <c r="P130" s="20">
        <f t="shared" si="10"/>
        <v>2</v>
      </c>
      <c r="Q130" s="20" t="str" cm="1">
        <f t="array" ref="Q130">_xlfn.IFS(P130&lt;=3,"Q1",P130&lt;=6,"Q2",P130&lt;=9,"Q3",P130&lt;=12,"Q4")</f>
        <v>Q1</v>
      </c>
    </row>
    <row r="131" spans="1:17" x14ac:dyDescent="0.25">
      <c r="A131" s="14">
        <v>45694</v>
      </c>
      <c r="B131" s="15" t="s">
        <v>76</v>
      </c>
      <c r="C131" s="15" t="s">
        <v>77</v>
      </c>
      <c r="D131" s="15" t="s">
        <v>75</v>
      </c>
      <c r="E131" s="16">
        <v>130.47999999999999</v>
      </c>
      <c r="F131" s="16">
        <v>130.76</v>
      </c>
      <c r="G131" s="16">
        <v>129.53</v>
      </c>
      <c r="H131" s="16">
        <v>129.9</v>
      </c>
      <c r="I131" s="17">
        <v>4780649</v>
      </c>
      <c r="J131" s="16">
        <v>25980000000</v>
      </c>
      <c r="K131" s="30">
        <f t="shared" ref="K131:K194" si="12">((H131-E131)/E131)*100</f>
        <v>-0.44451256897607611</v>
      </c>
      <c r="L131" s="31">
        <f t="shared" ref="L131:L194" si="13">F131-G131</f>
        <v>1.2299999999999898</v>
      </c>
      <c r="M131" s="30">
        <f t="shared" ref="M131:M194" si="14">L131/E131</f>
        <v>9.4267320662169678E-3</v>
      </c>
      <c r="N131" s="20" t="str">
        <f t="shared" si="11"/>
        <v>High volume</v>
      </c>
      <c r="O131" s="32">
        <f t="shared" ref="O131:O194" si="15">J131/1000000000</f>
        <v>25.98</v>
      </c>
      <c r="P131" s="20">
        <f t="shared" ref="P131:P194" si="16">MONTH(A131)</f>
        <v>2</v>
      </c>
      <c r="Q131" s="20" t="str" cm="1">
        <f t="array" ref="Q131">_xlfn.IFS(P131&lt;=3,"Q1",P131&lt;=6,"Q2",P131&lt;=9,"Q3",P131&lt;=12,"Q4")</f>
        <v>Q1</v>
      </c>
    </row>
    <row r="132" spans="1:17" x14ac:dyDescent="0.25">
      <c r="A132" s="8">
        <v>45695</v>
      </c>
      <c r="B132" s="9" t="s">
        <v>60</v>
      </c>
      <c r="C132" s="9" t="s">
        <v>61</v>
      </c>
      <c r="D132" s="9" t="s">
        <v>62</v>
      </c>
      <c r="E132" s="10">
        <v>3089.95</v>
      </c>
      <c r="F132" s="10">
        <v>3095.34</v>
      </c>
      <c r="G132" s="10">
        <v>3070.6</v>
      </c>
      <c r="H132" s="10">
        <v>3093.96</v>
      </c>
      <c r="I132" s="11">
        <v>4417788</v>
      </c>
      <c r="J132" s="10">
        <v>4331544000000</v>
      </c>
      <c r="K132" s="30">
        <f t="shared" si="12"/>
        <v>0.1297755627113778</v>
      </c>
      <c r="L132" s="31">
        <f t="shared" si="13"/>
        <v>24.740000000000236</v>
      </c>
      <c r="M132" s="30">
        <f t="shared" si="14"/>
        <v>8.0066020485769149E-3</v>
      </c>
      <c r="N132" s="20" t="str">
        <f t="shared" ref="N132:N195" si="17">IF(I132&gt;2000000,"High volume","Normal")</f>
        <v>High volume</v>
      </c>
      <c r="O132" s="32">
        <f t="shared" si="15"/>
        <v>4331.5439999999999</v>
      </c>
      <c r="P132" s="20">
        <f t="shared" si="16"/>
        <v>2</v>
      </c>
      <c r="Q132" s="20" t="str" cm="1">
        <f t="array" ref="Q132">_xlfn.IFS(P132&lt;=3,"Q1",P132&lt;=6,"Q2",P132&lt;=9,"Q3",P132&lt;=12,"Q4")</f>
        <v>Q1</v>
      </c>
    </row>
    <row r="133" spans="1:17" x14ac:dyDescent="0.25">
      <c r="A133" s="14">
        <v>45695</v>
      </c>
      <c r="B133" s="15" t="s">
        <v>65</v>
      </c>
      <c r="C133" s="15" t="s">
        <v>66</v>
      </c>
      <c r="D133" s="15" t="s">
        <v>67</v>
      </c>
      <c r="E133" s="16">
        <v>203.5</v>
      </c>
      <c r="F133" s="16">
        <v>203.7</v>
      </c>
      <c r="G133" s="16">
        <v>203.35</v>
      </c>
      <c r="H133" s="16">
        <v>203.45</v>
      </c>
      <c r="I133" s="17">
        <v>4315745</v>
      </c>
      <c r="J133" s="16">
        <v>50862500000</v>
      </c>
      <c r="K133" s="30">
        <f t="shared" si="12"/>
        <v>-2.4570024570030158E-2</v>
      </c>
      <c r="L133" s="31">
        <f t="shared" si="13"/>
        <v>0.34999999999999432</v>
      </c>
      <c r="M133" s="30">
        <f t="shared" si="14"/>
        <v>1.7199017199016919E-3</v>
      </c>
      <c r="N133" s="20" t="str">
        <f t="shared" si="17"/>
        <v>High volume</v>
      </c>
      <c r="O133" s="32">
        <f t="shared" si="15"/>
        <v>50.862499999999997</v>
      </c>
      <c r="P133" s="20">
        <f t="shared" si="16"/>
        <v>2</v>
      </c>
      <c r="Q133" s="20" t="str" cm="1">
        <f t="array" ref="Q133">_xlfn.IFS(P133&lt;=3,"Q1",P133&lt;=6,"Q2",P133&lt;=9,"Q3",P133&lt;=12,"Q4")</f>
        <v>Q1</v>
      </c>
    </row>
    <row r="134" spans="1:17" x14ac:dyDescent="0.25">
      <c r="A134" s="8">
        <v>45695</v>
      </c>
      <c r="B134" s="9" t="s">
        <v>69</v>
      </c>
      <c r="C134" s="9" t="s">
        <v>70</v>
      </c>
      <c r="D134" s="9" t="s">
        <v>71</v>
      </c>
      <c r="E134" s="10">
        <v>591</v>
      </c>
      <c r="F134" s="10">
        <v>592.1</v>
      </c>
      <c r="G134" s="10">
        <v>580.33000000000004</v>
      </c>
      <c r="H134" s="10">
        <v>585.95000000000005</v>
      </c>
      <c r="I134" s="11">
        <v>848140</v>
      </c>
      <c r="J134" s="10">
        <v>468760000000</v>
      </c>
      <c r="K134" s="30">
        <f t="shared" si="12"/>
        <v>-0.85448392554990771</v>
      </c>
      <c r="L134" s="31">
        <f t="shared" si="13"/>
        <v>11.769999999999982</v>
      </c>
      <c r="M134" s="30">
        <f t="shared" si="14"/>
        <v>1.991539763113364E-2</v>
      </c>
      <c r="N134" s="20" t="str">
        <f t="shared" si="17"/>
        <v>Normal</v>
      </c>
      <c r="O134" s="32">
        <f t="shared" si="15"/>
        <v>468.76</v>
      </c>
      <c r="P134" s="20">
        <f t="shared" si="16"/>
        <v>2</v>
      </c>
      <c r="Q134" s="20" t="str" cm="1">
        <f t="array" ref="Q134">_xlfn.IFS(P134&lt;=3,"Q1",P134&lt;=6,"Q2",P134&lt;=9,"Q3",P134&lt;=12,"Q4")</f>
        <v>Q1</v>
      </c>
    </row>
    <row r="135" spans="1:17" x14ac:dyDescent="0.25">
      <c r="A135" s="14">
        <v>45695</v>
      </c>
      <c r="B135" s="15" t="s">
        <v>73</v>
      </c>
      <c r="C135" s="15" t="s">
        <v>74</v>
      </c>
      <c r="D135" s="15" t="s">
        <v>75</v>
      </c>
      <c r="E135" s="16">
        <v>108.92</v>
      </c>
      <c r="F135" s="16">
        <v>109.2</v>
      </c>
      <c r="G135" s="16">
        <v>108.72</v>
      </c>
      <c r="H135" s="16">
        <v>109.02</v>
      </c>
      <c r="I135" s="17">
        <v>749705</v>
      </c>
      <c r="J135" s="16">
        <v>23984400000</v>
      </c>
      <c r="K135" s="30">
        <f t="shared" si="12"/>
        <v>9.1810503121551895E-2</v>
      </c>
      <c r="L135" s="31">
        <f t="shared" si="13"/>
        <v>0.48000000000000398</v>
      </c>
      <c r="M135" s="30">
        <f t="shared" si="14"/>
        <v>4.4069041498347779E-3</v>
      </c>
      <c r="N135" s="20" t="str">
        <f t="shared" si="17"/>
        <v>Normal</v>
      </c>
      <c r="O135" s="32">
        <f t="shared" si="15"/>
        <v>23.984400000000001</v>
      </c>
      <c r="P135" s="20">
        <f t="shared" si="16"/>
        <v>2</v>
      </c>
      <c r="Q135" s="20" t="str" cm="1">
        <f t="array" ref="Q135">_xlfn.IFS(P135&lt;=3,"Q1",P135&lt;=6,"Q2",P135&lt;=9,"Q3",P135&lt;=12,"Q4")</f>
        <v>Q1</v>
      </c>
    </row>
    <row r="136" spans="1:17" x14ac:dyDescent="0.25">
      <c r="A136" s="8">
        <v>45695</v>
      </c>
      <c r="B136" s="9" t="s">
        <v>76</v>
      </c>
      <c r="C136" s="9" t="s">
        <v>77</v>
      </c>
      <c r="D136" s="9" t="s">
        <v>75</v>
      </c>
      <c r="E136" s="10">
        <v>131.99</v>
      </c>
      <c r="F136" s="10">
        <v>133.56</v>
      </c>
      <c r="G136" s="10">
        <v>131.57</v>
      </c>
      <c r="H136" s="10">
        <v>132.06</v>
      </c>
      <c r="I136" s="11">
        <v>4981455</v>
      </c>
      <c r="J136" s="10">
        <v>26412000000</v>
      </c>
      <c r="K136" s="30">
        <f t="shared" si="12"/>
        <v>5.303432078187225E-2</v>
      </c>
      <c r="L136" s="31">
        <f t="shared" si="13"/>
        <v>1.9900000000000091</v>
      </c>
      <c r="M136" s="30">
        <f t="shared" si="14"/>
        <v>1.5076899765133791E-2</v>
      </c>
      <c r="N136" s="20" t="str">
        <f t="shared" si="17"/>
        <v>High volume</v>
      </c>
      <c r="O136" s="32">
        <f t="shared" si="15"/>
        <v>26.411999999999999</v>
      </c>
      <c r="P136" s="20">
        <f t="shared" si="16"/>
        <v>2</v>
      </c>
      <c r="Q136" s="20" t="str" cm="1">
        <f t="array" ref="Q136">_xlfn.IFS(P136&lt;=3,"Q1",P136&lt;=6,"Q2",P136&lt;=9,"Q3",P136&lt;=12,"Q4")</f>
        <v>Q1</v>
      </c>
    </row>
    <row r="137" spans="1:17" x14ac:dyDescent="0.25">
      <c r="A137" s="14">
        <v>45698</v>
      </c>
      <c r="B137" s="15" t="s">
        <v>60</v>
      </c>
      <c r="C137" s="15" t="s">
        <v>61</v>
      </c>
      <c r="D137" s="15" t="s">
        <v>62</v>
      </c>
      <c r="E137" s="16">
        <v>3088.42</v>
      </c>
      <c r="F137" s="16">
        <v>3091.48</v>
      </c>
      <c r="G137" s="16">
        <v>3054.82</v>
      </c>
      <c r="H137" s="16">
        <v>3083.81</v>
      </c>
      <c r="I137" s="17">
        <v>2193200</v>
      </c>
      <c r="J137" s="16">
        <v>4317334000000</v>
      </c>
      <c r="K137" s="30">
        <f t="shared" si="12"/>
        <v>-0.14926726287228187</v>
      </c>
      <c r="L137" s="31">
        <f t="shared" si="13"/>
        <v>36.659999999999854</v>
      </c>
      <c r="M137" s="30">
        <f t="shared" si="14"/>
        <v>1.1870147195005813E-2</v>
      </c>
      <c r="N137" s="20" t="str">
        <f t="shared" si="17"/>
        <v>High volume</v>
      </c>
      <c r="O137" s="32">
        <f t="shared" si="15"/>
        <v>4317.3339999999998</v>
      </c>
      <c r="P137" s="20">
        <f t="shared" si="16"/>
        <v>2</v>
      </c>
      <c r="Q137" s="20" t="str" cm="1">
        <f t="array" ref="Q137">_xlfn.IFS(P137&lt;=3,"Q1",P137&lt;=6,"Q2",P137&lt;=9,"Q3",P137&lt;=12,"Q4")</f>
        <v>Q1</v>
      </c>
    </row>
    <row r="138" spans="1:17" x14ac:dyDescent="0.25">
      <c r="A138" s="8">
        <v>45698</v>
      </c>
      <c r="B138" s="9" t="s">
        <v>65</v>
      </c>
      <c r="C138" s="9" t="s">
        <v>66</v>
      </c>
      <c r="D138" s="9" t="s">
        <v>67</v>
      </c>
      <c r="E138" s="10">
        <v>203.97</v>
      </c>
      <c r="F138" s="10">
        <v>205.55</v>
      </c>
      <c r="G138" s="10">
        <v>202.82</v>
      </c>
      <c r="H138" s="10">
        <v>204.43</v>
      </c>
      <c r="I138" s="11">
        <v>3897285</v>
      </c>
      <c r="J138" s="10">
        <v>51107500000</v>
      </c>
      <c r="K138" s="30">
        <f t="shared" si="12"/>
        <v>0.2255233612786233</v>
      </c>
      <c r="L138" s="31">
        <f t="shared" si="13"/>
        <v>2.7300000000000182</v>
      </c>
      <c r="M138" s="30">
        <f t="shared" si="14"/>
        <v>1.3384321223709458E-2</v>
      </c>
      <c r="N138" s="20" t="str">
        <f t="shared" si="17"/>
        <v>High volume</v>
      </c>
      <c r="O138" s="32">
        <f t="shared" si="15"/>
        <v>51.107500000000002</v>
      </c>
      <c r="P138" s="20">
        <f t="shared" si="16"/>
        <v>2</v>
      </c>
      <c r="Q138" s="20" t="str" cm="1">
        <f t="array" ref="Q138">_xlfn.IFS(P138&lt;=3,"Q1",P138&lt;=6,"Q2",P138&lt;=9,"Q3",P138&lt;=12,"Q4")</f>
        <v>Q1</v>
      </c>
    </row>
    <row r="139" spans="1:17" x14ac:dyDescent="0.25">
      <c r="A139" s="14">
        <v>45698</v>
      </c>
      <c r="B139" s="15" t="s">
        <v>69</v>
      </c>
      <c r="C139" s="15" t="s">
        <v>70</v>
      </c>
      <c r="D139" s="15" t="s">
        <v>71</v>
      </c>
      <c r="E139" s="16">
        <v>582.04999999999995</v>
      </c>
      <c r="F139" s="16">
        <v>584.26</v>
      </c>
      <c r="G139" s="16">
        <v>575.95000000000005</v>
      </c>
      <c r="H139" s="16">
        <v>581.02</v>
      </c>
      <c r="I139" s="17">
        <v>1132431</v>
      </c>
      <c r="J139" s="16">
        <v>464816000000</v>
      </c>
      <c r="K139" s="30">
        <f t="shared" si="12"/>
        <v>-0.1769607422042733</v>
      </c>
      <c r="L139" s="31">
        <f t="shared" si="13"/>
        <v>8.3099999999999454</v>
      </c>
      <c r="M139" s="30">
        <f t="shared" si="14"/>
        <v>1.4277123958422724E-2</v>
      </c>
      <c r="N139" s="20" t="str">
        <f t="shared" si="17"/>
        <v>Normal</v>
      </c>
      <c r="O139" s="32">
        <f t="shared" si="15"/>
        <v>464.81599999999997</v>
      </c>
      <c r="P139" s="20">
        <f t="shared" si="16"/>
        <v>2</v>
      </c>
      <c r="Q139" s="20" t="str" cm="1">
        <f t="array" ref="Q139">_xlfn.IFS(P139&lt;=3,"Q1",P139&lt;=6,"Q2",P139&lt;=9,"Q3",P139&lt;=12,"Q4")</f>
        <v>Q1</v>
      </c>
    </row>
    <row r="140" spans="1:17" x14ac:dyDescent="0.25">
      <c r="A140" s="8">
        <v>45698</v>
      </c>
      <c r="B140" s="9" t="s">
        <v>73</v>
      </c>
      <c r="C140" s="9" t="s">
        <v>74</v>
      </c>
      <c r="D140" s="9" t="s">
        <v>75</v>
      </c>
      <c r="E140" s="10">
        <v>110.1</v>
      </c>
      <c r="F140" s="10">
        <v>110.29</v>
      </c>
      <c r="G140" s="10">
        <v>109.79</v>
      </c>
      <c r="H140" s="10">
        <v>109.87</v>
      </c>
      <c r="I140" s="11">
        <v>1758053</v>
      </c>
      <c r="J140" s="10">
        <v>24171400000</v>
      </c>
      <c r="K140" s="30">
        <f t="shared" si="12"/>
        <v>-0.20890099909172552</v>
      </c>
      <c r="L140" s="31">
        <f t="shared" si="13"/>
        <v>0.5</v>
      </c>
      <c r="M140" s="30">
        <f t="shared" si="14"/>
        <v>4.5413260672116261E-3</v>
      </c>
      <c r="N140" s="20" t="str">
        <f t="shared" si="17"/>
        <v>Normal</v>
      </c>
      <c r="O140" s="32">
        <f t="shared" si="15"/>
        <v>24.171399999999998</v>
      </c>
      <c r="P140" s="20">
        <f t="shared" si="16"/>
        <v>2</v>
      </c>
      <c r="Q140" s="20" t="str" cm="1">
        <f t="array" ref="Q140">_xlfn.IFS(P140&lt;=3,"Q1",P140&lt;=6,"Q2",P140&lt;=9,"Q3",P140&lt;=12,"Q4")</f>
        <v>Q1</v>
      </c>
    </row>
    <row r="141" spans="1:17" x14ac:dyDescent="0.25">
      <c r="A141" s="14">
        <v>45698</v>
      </c>
      <c r="B141" s="15" t="s">
        <v>76</v>
      </c>
      <c r="C141" s="15" t="s">
        <v>77</v>
      </c>
      <c r="D141" s="15" t="s">
        <v>75</v>
      </c>
      <c r="E141" s="16">
        <v>134.91</v>
      </c>
      <c r="F141" s="16">
        <v>135.51</v>
      </c>
      <c r="G141" s="16">
        <v>134.71</v>
      </c>
      <c r="H141" s="16">
        <v>135.04</v>
      </c>
      <c r="I141" s="17">
        <v>4241911</v>
      </c>
      <c r="J141" s="16">
        <v>27008000000</v>
      </c>
      <c r="K141" s="30">
        <f t="shared" si="12"/>
        <v>9.6360536654062301E-2</v>
      </c>
      <c r="L141" s="31">
        <f t="shared" si="13"/>
        <v>0.79999999999998295</v>
      </c>
      <c r="M141" s="30">
        <f t="shared" si="14"/>
        <v>5.9298791787116079E-3</v>
      </c>
      <c r="N141" s="20" t="str">
        <f t="shared" si="17"/>
        <v>High volume</v>
      </c>
      <c r="O141" s="32">
        <f t="shared" si="15"/>
        <v>27.007999999999999</v>
      </c>
      <c r="P141" s="20">
        <f t="shared" si="16"/>
        <v>2</v>
      </c>
      <c r="Q141" s="20" t="str" cm="1">
        <f t="array" ref="Q141">_xlfn.IFS(P141&lt;=3,"Q1",P141&lt;=6,"Q2",P141&lt;=9,"Q3",P141&lt;=12,"Q4")</f>
        <v>Q1</v>
      </c>
    </row>
    <row r="142" spans="1:17" x14ac:dyDescent="0.25">
      <c r="A142" s="8">
        <v>45699</v>
      </c>
      <c r="B142" s="9" t="s">
        <v>60</v>
      </c>
      <c r="C142" s="9" t="s">
        <v>61</v>
      </c>
      <c r="D142" s="9" t="s">
        <v>62</v>
      </c>
      <c r="E142" s="10">
        <v>3075.82</v>
      </c>
      <c r="F142" s="10">
        <v>3093.08</v>
      </c>
      <c r="G142" s="10">
        <v>3065.58</v>
      </c>
      <c r="H142" s="10">
        <v>3078.07</v>
      </c>
      <c r="I142" s="11">
        <v>2258100</v>
      </c>
      <c r="J142" s="10">
        <v>4309298000000</v>
      </c>
      <c r="K142" s="30">
        <f t="shared" si="12"/>
        <v>7.3151224714059992E-2</v>
      </c>
      <c r="L142" s="31">
        <f t="shared" si="13"/>
        <v>27.5</v>
      </c>
      <c r="M142" s="30">
        <f t="shared" si="14"/>
        <v>8.9407052428295535E-3</v>
      </c>
      <c r="N142" s="20" t="str">
        <f t="shared" si="17"/>
        <v>High volume</v>
      </c>
      <c r="O142" s="32">
        <f t="shared" si="15"/>
        <v>4309.2979999999998</v>
      </c>
      <c r="P142" s="20">
        <f t="shared" si="16"/>
        <v>2</v>
      </c>
      <c r="Q142" s="20" t="str" cm="1">
        <f t="array" ref="Q142">_xlfn.IFS(P142&lt;=3,"Q1",P142&lt;=6,"Q2",P142&lt;=9,"Q3",P142&lt;=12,"Q4")</f>
        <v>Q1</v>
      </c>
    </row>
    <row r="143" spans="1:17" x14ac:dyDescent="0.25">
      <c r="A143" s="14">
        <v>45699</v>
      </c>
      <c r="B143" s="15" t="s">
        <v>65</v>
      </c>
      <c r="C143" s="15" t="s">
        <v>66</v>
      </c>
      <c r="D143" s="15" t="s">
        <v>67</v>
      </c>
      <c r="E143" s="16">
        <v>199.87</v>
      </c>
      <c r="F143" s="16">
        <v>202.37</v>
      </c>
      <c r="G143" s="16">
        <v>198.57</v>
      </c>
      <c r="H143" s="16">
        <v>200.95</v>
      </c>
      <c r="I143" s="17">
        <v>1959427</v>
      </c>
      <c r="J143" s="16">
        <v>50237500000</v>
      </c>
      <c r="K143" s="30">
        <f t="shared" si="12"/>
        <v>0.540351228298386</v>
      </c>
      <c r="L143" s="31">
        <f t="shared" si="13"/>
        <v>3.8000000000000114</v>
      </c>
      <c r="M143" s="30">
        <f t="shared" si="14"/>
        <v>1.9012358032721326E-2</v>
      </c>
      <c r="N143" s="20" t="str">
        <f t="shared" si="17"/>
        <v>Normal</v>
      </c>
      <c r="O143" s="32">
        <f t="shared" si="15"/>
        <v>50.237499999999997</v>
      </c>
      <c r="P143" s="20">
        <f t="shared" si="16"/>
        <v>2</v>
      </c>
      <c r="Q143" s="20" t="str" cm="1">
        <f t="array" ref="Q143">_xlfn.IFS(P143&lt;=3,"Q1",P143&lt;=6,"Q2",P143&lt;=9,"Q3",P143&lt;=12,"Q4")</f>
        <v>Q1</v>
      </c>
    </row>
    <row r="144" spans="1:17" x14ac:dyDescent="0.25">
      <c r="A144" s="8">
        <v>45699</v>
      </c>
      <c r="B144" s="9" t="s">
        <v>69</v>
      </c>
      <c r="C144" s="9" t="s">
        <v>70</v>
      </c>
      <c r="D144" s="9" t="s">
        <v>71</v>
      </c>
      <c r="E144" s="10">
        <v>571.39</v>
      </c>
      <c r="F144" s="10">
        <v>573.99</v>
      </c>
      <c r="G144" s="10">
        <v>565.4</v>
      </c>
      <c r="H144" s="10">
        <v>572.5</v>
      </c>
      <c r="I144" s="11">
        <v>899029</v>
      </c>
      <c r="J144" s="10">
        <v>458000000000</v>
      </c>
      <c r="K144" s="30">
        <f t="shared" si="12"/>
        <v>0.19426311276011368</v>
      </c>
      <c r="L144" s="31">
        <f t="shared" si="13"/>
        <v>8.5900000000000318</v>
      </c>
      <c r="M144" s="30">
        <f t="shared" si="14"/>
        <v>1.5033514762246509E-2</v>
      </c>
      <c r="N144" s="20" t="str">
        <f t="shared" si="17"/>
        <v>Normal</v>
      </c>
      <c r="O144" s="32">
        <f t="shared" si="15"/>
        <v>458</v>
      </c>
      <c r="P144" s="20">
        <f t="shared" si="16"/>
        <v>2</v>
      </c>
      <c r="Q144" s="20" t="str" cm="1">
        <f t="array" ref="Q144">_xlfn.IFS(P144&lt;=3,"Q1",P144&lt;=6,"Q2",P144&lt;=9,"Q3",P144&lt;=12,"Q4")</f>
        <v>Q1</v>
      </c>
    </row>
    <row r="145" spans="1:17" x14ac:dyDescent="0.25">
      <c r="A145" s="14">
        <v>45699</v>
      </c>
      <c r="B145" s="15" t="s">
        <v>73</v>
      </c>
      <c r="C145" s="15" t="s">
        <v>74</v>
      </c>
      <c r="D145" s="15" t="s">
        <v>75</v>
      </c>
      <c r="E145" s="16">
        <v>107.01</v>
      </c>
      <c r="F145" s="16">
        <v>108.42</v>
      </c>
      <c r="G145" s="16">
        <v>106.45</v>
      </c>
      <c r="H145" s="16">
        <v>107.62</v>
      </c>
      <c r="I145" s="17">
        <v>2721041</v>
      </c>
      <c r="J145" s="16">
        <v>23676400000</v>
      </c>
      <c r="K145" s="30">
        <f t="shared" si="12"/>
        <v>0.57004018316045169</v>
      </c>
      <c r="L145" s="31">
        <f t="shared" si="13"/>
        <v>1.9699999999999989</v>
      </c>
      <c r="M145" s="30">
        <f t="shared" si="14"/>
        <v>1.8409494439771971E-2</v>
      </c>
      <c r="N145" s="20" t="str">
        <f t="shared" si="17"/>
        <v>High volume</v>
      </c>
      <c r="O145" s="32">
        <f t="shared" si="15"/>
        <v>23.676400000000001</v>
      </c>
      <c r="P145" s="20">
        <f t="shared" si="16"/>
        <v>2</v>
      </c>
      <c r="Q145" s="20" t="str" cm="1">
        <f t="array" ref="Q145">_xlfn.IFS(P145&lt;=3,"Q1",P145&lt;=6,"Q2",P145&lt;=9,"Q3",P145&lt;=12,"Q4")</f>
        <v>Q1</v>
      </c>
    </row>
    <row r="146" spans="1:17" x14ac:dyDescent="0.25">
      <c r="A146" s="8">
        <v>45699</v>
      </c>
      <c r="B146" s="9" t="s">
        <v>76</v>
      </c>
      <c r="C146" s="9" t="s">
        <v>77</v>
      </c>
      <c r="D146" s="9" t="s">
        <v>75</v>
      </c>
      <c r="E146" s="10">
        <v>132.94999999999999</v>
      </c>
      <c r="F146" s="10">
        <v>133.4</v>
      </c>
      <c r="G146" s="10">
        <v>132.59</v>
      </c>
      <c r="H146" s="10">
        <v>132.81</v>
      </c>
      <c r="I146" s="11">
        <v>4829693</v>
      </c>
      <c r="J146" s="10">
        <v>26562000000</v>
      </c>
      <c r="K146" s="30">
        <f t="shared" si="12"/>
        <v>-0.10530274539299464</v>
      </c>
      <c r="L146" s="31">
        <f t="shared" si="13"/>
        <v>0.81000000000000227</v>
      </c>
      <c r="M146" s="30">
        <f t="shared" si="14"/>
        <v>6.0925159834524433E-3</v>
      </c>
      <c r="N146" s="20" t="str">
        <f t="shared" si="17"/>
        <v>High volume</v>
      </c>
      <c r="O146" s="32">
        <f t="shared" si="15"/>
        <v>26.562000000000001</v>
      </c>
      <c r="P146" s="20">
        <f t="shared" si="16"/>
        <v>2</v>
      </c>
      <c r="Q146" s="20" t="str" cm="1">
        <f t="array" ref="Q146">_xlfn.IFS(P146&lt;=3,"Q1",P146&lt;=6,"Q2",P146&lt;=9,"Q3",P146&lt;=12,"Q4")</f>
        <v>Q1</v>
      </c>
    </row>
    <row r="147" spans="1:17" x14ac:dyDescent="0.25">
      <c r="A147" s="14">
        <v>45700</v>
      </c>
      <c r="B147" s="15" t="s">
        <v>60</v>
      </c>
      <c r="C147" s="15" t="s">
        <v>61</v>
      </c>
      <c r="D147" s="15" t="s">
        <v>62</v>
      </c>
      <c r="E147" s="16">
        <v>3122.86</v>
      </c>
      <c r="F147" s="16">
        <v>3133.08</v>
      </c>
      <c r="G147" s="16">
        <v>3122.46</v>
      </c>
      <c r="H147" s="16">
        <v>3122.88</v>
      </c>
      <c r="I147" s="17">
        <v>3924119</v>
      </c>
      <c r="J147" s="16">
        <v>4372032000000</v>
      </c>
      <c r="K147" s="30">
        <f t="shared" si="12"/>
        <v>6.4043857233375202E-4</v>
      </c>
      <c r="L147" s="31">
        <f t="shared" si="13"/>
        <v>10.619999999999891</v>
      </c>
      <c r="M147" s="30">
        <f t="shared" si="14"/>
        <v>3.4007288190952812E-3</v>
      </c>
      <c r="N147" s="20" t="str">
        <f t="shared" si="17"/>
        <v>High volume</v>
      </c>
      <c r="O147" s="32">
        <f t="shared" si="15"/>
        <v>4372.0320000000002</v>
      </c>
      <c r="P147" s="20">
        <f t="shared" si="16"/>
        <v>2</v>
      </c>
      <c r="Q147" s="20" t="str" cm="1">
        <f t="array" ref="Q147">_xlfn.IFS(P147&lt;=3,"Q1",P147&lt;=6,"Q2",P147&lt;=9,"Q3",P147&lt;=12,"Q4")</f>
        <v>Q1</v>
      </c>
    </row>
    <row r="148" spans="1:17" x14ac:dyDescent="0.25">
      <c r="A148" s="8">
        <v>45700</v>
      </c>
      <c r="B148" s="9" t="s">
        <v>65</v>
      </c>
      <c r="C148" s="9" t="s">
        <v>66</v>
      </c>
      <c r="D148" s="9" t="s">
        <v>67</v>
      </c>
      <c r="E148" s="10">
        <v>200.59</v>
      </c>
      <c r="F148" s="10">
        <v>202.76</v>
      </c>
      <c r="G148" s="10">
        <v>199.45</v>
      </c>
      <c r="H148" s="10">
        <v>201.68</v>
      </c>
      <c r="I148" s="11">
        <v>474025</v>
      </c>
      <c r="J148" s="10">
        <v>50420000000</v>
      </c>
      <c r="K148" s="30">
        <f t="shared" si="12"/>
        <v>0.54339697891221062</v>
      </c>
      <c r="L148" s="31">
        <f t="shared" si="13"/>
        <v>3.3100000000000023</v>
      </c>
      <c r="M148" s="30">
        <f t="shared" si="14"/>
        <v>1.6501321102746908E-2</v>
      </c>
      <c r="N148" s="20" t="str">
        <f t="shared" si="17"/>
        <v>Normal</v>
      </c>
      <c r="O148" s="32">
        <f t="shared" si="15"/>
        <v>50.42</v>
      </c>
      <c r="P148" s="20">
        <f t="shared" si="16"/>
        <v>2</v>
      </c>
      <c r="Q148" s="20" t="str" cm="1">
        <f t="array" ref="Q148">_xlfn.IFS(P148&lt;=3,"Q1",P148&lt;=6,"Q2",P148&lt;=9,"Q3",P148&lt;=12,"Q4")</f>
        <v>Q1</v>
      </c>
    </row>
    <row r="149" spans="1:17" x14ac:dyDescent="0.25">
      <c r="A149" s="14">
        <v>45700</v>
      </c>
      <c r="B149" s="15" t="s">
        <v>69</v>
      </c>
      <c r="C149" s="15" t="s">
        <v>70</v>
      </c>
      <c r="D149" s="15" t="s">
        <v>71</v>
      </c>
      <c r="E149" s="16">
        <v>573.62</v>
      </c>
      <c r="F149" s="16">
        <v>580.47</v>
      </c>
      <c r="G149" s="16">
        <v>573.6</v>
      </c>
      <c r="H149" s="16">
        <v>575.45000000000005</v>
      </c>
      <c r="I149" s="17">
        <v>637487</v>
      </c>
      <c r="J149" s="16">
        <v>460360000000</v>
      </c>
      <c r="K149" s="30">
        <f t="shared" si="12"/>
        <v>0.31902653324501257</v>
      </c>
      <c r="L149" s="31">
        <f t="shared" si="13"/>
        <v>6.8700000000000045</v>
      </c>
      <c r="M149" s="30">
        <f t="shared" si="14"/>
        <v>1.1976569854607587E-2</v>
      </c>
      <c r="N149" s="20" t="str">
        <f t="shared" si="17"/>
        <v>Normal</v>
      </c>
      <c r="O149" s="32">
        <f t="shared" si="15"/>
        <v>460.36</v>
      </c>
      <c r="P149" s="20">
        <f t="shared" si="16"/>
        <v>2</v>
      </c>
      <c r="Q149" s="20" t="str" cm="1">
        <f t="array" ref="Q149">_xlfn.IFS(P149&lt;=3,"Q1",P149&lt;=6,"Q2",P149&lt;=9,"Q3",P149&lt;=12,"Q4")</f>
        <v>Q1</v>
      </c>
    </row>
    <row r="150" spans="1:17" x14ac:dyDescent="0.25">
      <c r="A150" s="8">
        <v>45700</v>
      </c>
      <c r="B150" s="9" t="s">
        <v>73</v>
      </c>
      <c r="C150" s="9" t="s">
        <v>74</v>
      </c>
      <c r="D150" s="9" t="s">
        <v>75</v>
      </c>
      <c r="E150" s="10">
        <v>107.72</v>
      </c>
      <c r="F150" s="10">
        <v>108.25</v>
      </c>
      <c r="G150" s="10">
        <v>106.8</v>
      </c>
      <c r="H150" s="10">
        <v>107.2</v>
      </c>
      <c r="I150" s="11">
        <v>3956468</v>
      </c>
      <c r="J150" s="10">
        <v>23584000000</v>
      </c>
      <c r="K150" s="30">
        <f t="shared" si="12"/>
        <v>-0.48273301151132197</v>
      </c>
      <c r="L150" s="31">
        <f t="shared" si="13"/>
        <v>1.4500000000000028</v>
      </c>
      <c r="M150" s="30">
        <f t="shared" si="14"/>
        <v>1.3460824359450453E-2</v>
      </c>
      <c r="N150" s="20" t="str">
        <f t="shared" si="17"/>
        <v>High volume</v>
      </c>
      <c r="O150" s="32">
        <f t="shared" si="15"/>
        <v>23.584</v>
      </c>
      <c r="P150" s="20">
        <f t="shared" si="16"/>
        <v>2</v>
      </c>
      <c r="Q150" s="20" t="str" cm="1">
        <f t="array" ref="Q150">_xlfn.IFS(P150&lt;=3,"Q1",P150&lt;=6,"Q2",P150&lt;=9,"Q3",P150&lt;=12,"Q4")</f>
        <v>Q1</v>
      </c>
    </row>
    <row r="151" spans="1:17" x14ac:dyDescent="0.25">
      <c r="A151" s="14">
        <v>45700</v>
      </c>
      <c r="B151" s="15" t="s">
        <v>76</v>
      </c>
      <c r="C151" s="15" t="s">
        <v>77</v>
      </c>
      <c r="D151" s="15" t="s">
        <v>75</v>
      </c>
      <c r="E151" s="16">
        <v>132.58000000000001</v>
      </c>
      <c r="F151" s="16">
        <v>133.4</v>
      </c>
      <c r="G151" s="16">
        <v>131.66</v>
      </c>
      <c r="H151" s="16">
        <v>131.82</v>
      </c>
      <c r="I151" s="17">
        <v>3218908</v>
      </c>
      <c r="J151" s="16">
        <v>26364000000</v>
      </c>
      <c r="K151" s="30">
        <f t="shared" si="12"/>
        <v>-0.57323879921558252</v>
      </c>
      <c r="L151" s="31">
        <f t="shared" si="13"/>
        <v>1.7400000000000091</v>
      </c>
      <c r="M151" s="30">
        <f t="shared" si="14"/>
        <v>1.3124151455724913E-2</v>
      </c>
      <c r="N151" s="20" t="str">
        <f t="shared" si="17"/>
        <v>High volume</v>
      </c>
      <c r="O151" s="32">
        <f t="shared" si="15"/>
        <v>26.364000000000001</v>
      </c>
      <c r="P151" s="20">
        <f t="shared" si="16"/>
        <v>2</v>
      </c>
      <c r="Q151" s="20" t="str" cm="1">
        <f t="array" ref="Q151">_xlfn.IFS(P151&lt;=3,"Q1",P151&lt;=6,"Q2",P151&lt;=9,"Q3",P151&lt;=12,"Q4")</f>
        <v>Q1</v>
      </c>
    </row>
    <row r="152" spans="1:17" x14ac:dyDescent="0.25">
      <c r="A152" s="8">
        <v>45701</v>
      </c>
      <c r="B152" s="9" t="s">
        <v>60</v>
      </c>
      <c r="C152" s="9" t="s">
        <v>61</v>
      </c>
      <c r="D152" s="9" t="s">
        <v>62</v>
      </c>
      <c r="E152" s="10">
        <v>3088.93</v>
      </c>
      <c r="F152" s="10">
        <v>3100.77</v>
      </c>
      <c r="G152" s="10">
        <v>3077.34</v>
      </c>
      <c r="H152" s="10">
        <v>3086.98</v>
      </c>
      <c r="I152" s="11">
        <v>4456295</v>
      </c>
      <c r="J152" s="10">
        <v>4321772000000</v>
      </c>
      <c r="K152" s="30">
        <f t="shared" si="12"/>
        <v>-6.3128656201332442E-2</v>
      </c>
      <c r="L152" s="31">
        <f t="shared" si="13"/>
        <v>23.429999999999836</v>
      </c>
      <c r="M152" s="30">
        <f t="shared" si="14"/>
        <v>7.5851508451145987E-3</v>
      </c>
      <c r="N152" s="20" t="str">
        <f t="shared" si="17"/>
        <v>High volume</v>
      </c>
      <c r="O152" s="32">
        <f t="shared" si="15"/>
        <v>4321.7719999999999</v>
      </c>
      <c r="P152" s="20">
        <f t="shared" si="16"/>
        <v>2</v>
      </c>
      <c r="Q152" s="20" t="str" cm="1">
        <f t="array" ref="Q152">_xlfn.IFS(P152&lt;=3,"Q1",P152&lt;=6,"Q2",P152&lt;=9,"Q3",P152&lt;=12,"Q4")</f>
        <v>Q1</v>
      </c>
    </row>
    <row r="153" spans="1:17" x14ac:dyDescent="0.25">
      <c r="A153" s="14">
        <v>45701</v>
      </c>
      <c r="B153" s="15" t="s">
        <v>65</v>
      </c>
      <c r="C153" s="15" t="s">
        <v>66</v>
      </c>
      <c r="D153" s="15" t="s">
        <v>67</v>
      </c>
      <c r="E153" s="16">
        <v>202.81</v>
      </c>
      <c r="F153" s="16">
        <v>203.74</v>
      </c>
      <c r="G153" s="16">
        <v>199.01</v>
      </c>
      <c r="H153" s="16">
        <v>202.86</v>
      </c>
      <c r="I153" s="17">
        <v>4914544</v>
      </c>
      <c r="J153" s="16">
        <v>50715000000</v>
      </c>
      <c r="K153" s="30">
        <f t="shared" si="12"/>
        <v>2.4653616685573376E-2</v>
      </c>
      <c r="L153" s="31">
        <f t="shared" si="13"/>
        <v>4.7300000000000182</v>
      </c>
      <c r="M153" s="30">
        <f t="shared" si="14"/>
        <v>2.3322321384547203E-2</v>
      </c>
      <c r="N153" s="20" t="str">
        <f t="shared" si="17"/>
        <v>High volume</v>
      </c>
      <c r="O153" s="32">
        <f t="shared" si="15"/>
        <v>50.715000000000003</v>
      </c>
      <c r="P153" s="20">
        <f t="shared" si="16"/>
        <v>2</v>
      </c>
      <c r="Q153" s="20" t="str" cm="1">
        <f t="array" ref="Q153">_xlfn.IFS(P153&lt;=3,"Q1",P153&lt;=6,"Q2",P153&lt;=9,"Q3",P153&lt;=12,"Q4")</f>
        <v>Q1</v>
      </c>
    </row>
    <row r="154" spans="1:17" x14ac:dyDescent="0.25">
      <c r="A154" s="8">
        <v>45701</v>
      </c>
      <c r="B154" s="9" t="s">
        <v>69</v>
      </c>
      <c r="C154" s="9" t="s">
        <v>70</v>
      </c>
      <c r="D154" s="9" t="s">
        <v>71</v>
      </c>
      <c r="E154" s="10">
        <v>579.16999999999996</v>
      </c>
      <c r="F154" s="10">
        <v>579.62</v>
      </c>
      <c r="G154" s="10">
        <v>579.14</v>
      </c>
      <c r="H154" s="10">
        <v>579.51</v>
      </c>
      <c r="I154" s="11">
        <v>4616746</v>
      </c>
      <c r="J154" s="10">
        <v>463608000000</v>
      </c>
      <c r="K154" s="30">
        <f t="shared" si="12"/>
        <v>5.8704698102462462E-2</v>
      </c>
      <c r="L154" s="31">
        <f t="shared" si="13"/>
        <v>0.48000000000001819</v>
      </c>
      <c r="M154" s="30">
        <f t="shared" si="14"/>
        <v>8.2877220850530631E-4</v>
      </c>
      <c r="N154" s="20" t="str">
        <f t="shared" si="17"/>
        <v>High volume</v>
      </c>
      <c r="O154" s="32">
        <f t="shared" si="15"/>
        <v>463.608</v>
      </c>
      <c r="P154" s="20">
        <f t="shared" si="16"/>
        <v>2</v>
      </c>
      <c r="Q154" s="20" t="str" cm="1">
        <f t="array" ref="Q154">_xlfn.IFS(P154&lt;=3,"Q1",P154&lt;=6,"Q2",P154&lt;=9,"Q3",P154&lt;=12,"Q4")</f>
        <v>Q1</v>
      </c>
    </row>
    <row r="155" spans="1:17" x14ac:dyDescent="0.25">
      <c r="A155" s="14">
        <v>45701</v>
      </c>
      <c r="B155" s="15" t="s">
        <v>73</v>
      </c>
      <c r="C155" s="15" t="s">
        <v>74</v>
      </c>
      <c r="D155" s="15" t="s">
        <v>75</v>
      </c>
      <c r="E155" s="16">
        <v>108.02</v>
      </c>
      <c r="F155" s="16">
        <v>108.04</v>
      </c>
      <c r="G155" s="16">
        <v>107.98</v>
      </c>
      <c r="H155" s="16">
        <v>108.03</v>
      </c>
      <c r="I155" s="17">
        <v>4175338</v>
      </c>
      <c r="J155" s="16">
        <v>23766600000</v>
      </c>
      <c r="K155" s="30">
        <f t="shared" si="12"/>
        <v>9.2575448990974973E-3</v>
      </c>
      <c r="L155" s="31">
        <f t="shared" si="13"/>
        <v>6.0000000000002274E-2</v>
      </c>
      <c r="M155" s="30">
        <f t="shared" si="14"/>
        <v>5.5545269394558666E-4</v>
      </c>
      <c r="N155" s="20" t="str">
        <f t="shared" si="17"/>
        <v>High volume</v>
      </c>
      <c r="O155" s="32">
        <f t="shared" si="15"/>
        <v>23.7666</v>
      </c>
      <c r="P155" s="20">
        <f t="shared" si="16"/>
        <v>2</v>
      </c>
      <c r="Q155" s="20" t="str" cm="1">
        <f t="array" ref="Q155">_xlfn.IFS(P155&lt;=3,"Q1",P155&lt;=6,"Q2",P155&lt;=9,"Q3",P155&lt;=12,"Q4")</f>
        <v>Q1</v>
      </c>
    </row>
    <row r="156" spans="1:17" x14ac:dyDescent="0.25">
      <c r="A156" s="8">
        <v>45701</v>
      </c>
      <c r="B156" s="9" t="s">
        <v>76</v>
      </c>
      <c r="C156" s="9" t="s">
        <v>77</v>
      </c>
      <c r="D156" s="9" t="s">
        <v>75</v>
      </c>
      <c r="E156" s="10">
        <v>130.76</v>
      </c>
      <c r="F156" s="10">
        <v>131.11000000000001</v>
      </c>
      <c r="G156" s="10">
        <v>129.62</v>
      </c>
      <c r="H156" s="10">
        <v>130.55000000000001</v>
      </c>
      <c r="I156" s="11">
        <v>732950</v>
      </c>
      <c r="J156" s="10">
        <v>26110000000</v>
      </c>
      <c r="K156" s="30">
        <f t="shared" si="12"/>
        <v>-0.16059957173445974</v>
      </c>
      <c r="L156" s="31">
        <f t="shared" si="13"/>
        <v>1.4900000000000091</v>
      </c>
      <c r="M156" s="30">
        <f t="shared" si="14"/>
        <v>1.1394921994493799E-2</v>
      </c>
      <c r="N156" s="20" t="str">
        <f t="shared" si="17"/>
        <v>Normal</v>
      </c>
      <c r="O156" s="32">
        <f t="shared" si="15"/>
        <v>26.11</v>
      </c>
      <c r="P156" s="20">
        <f t="shared" si="16"/>
        <v>2</v>
      </c>
      <c r="Q156" s="20" t="str" cm="1">
        <f t="array" ref="Q156">_xlfn.IFS(P156&lt;=3,"Q1",P156&lt;=6,"Q2",P156&lt;=9,"Q3",P156&lt;=12,"Q4")</f>
        <v>Q1</v>
      </c>
    </row>
    <row r="157" spans="1:17" x14ac:dyDescent="0.25">
      <c r="A157" s="14">
        <v>45702</v>
      </c>
      <c r="B157" s="15" t="s">
        <v>60</v>
      </c>
      <c r="C157" s="15" t="s">
        <v>61</v>
      </c>
      <c r="D157" s="15" t="s">
        <v>62</v>
      </c>
      <c r="E157" s="16">
        <v>3147</v>
      </c>
      <c r="F157" s="16">
        <v>3156.14</v>
      </c>
      <c r="G157" s="16">
        <v>3116.56</v>
      </c>
      <c r="H157" s="16">
        <v>3153.28</v>
      </c>
      <c r="I157" s="17">
        <v>3975184</v>
      </c>
      <c r="J157" s="16">
        <v>4414592000000</v>
      </c>
      <c r="K157" s="30">
        <f t="shared" si="12"/>
        <v>0.1995551318716301</v>
      </c>
      <c r="L157" s="31">
        <f t="shared" si="13"/>
        <v>39.579999999999927</v>
      </c>
      <c r="M157" s="30">
        <f t="shared" si="14"/>
        <v>1.2577057515093717E-2</v>
      </c>
      <c r="N157" s="20" t="str">
        <f t="shared" si="17"/>
        <v>High volume</v>
      </c>
      <c r="O157" s="32">
        <f t="shared" si="15"/>
        <v>4414.5919999999996</v>
      </c>
      <c r="P157" s="20">
        <f t="shared" si="16"/>
        <v>2</v>
      </c>
      <c r="Q157" s="20" t="str" cm="1">
        <f t="array" ref="Q157">_xlfn.IFS(P157&lt;=3,"Q1",P157&lt;=6,"Q2",P157&lt;=9,"Q3",P157&lt;=12,"Q4")</f>
        <v>Q1</v>
      </c>
    </row>
    <row r="158" spans="1:17" x14ac:dyDescent="0.25">
      <c r="A158" s="8">
        <v>45702</v>
      </c>
      <c r="B158" s="9" t="s">
        <v>65</v>
      </c>
      <c r="C158" s="9" t="s">
        <v>66</v>
      </c>
      <c r="D158" s="9" t="s">
        <v>67</v>
      </c>
      <c r="E158" s="10">
        <v>205.47</v>
      </c>
      <c r="F158" s="10">
        <v>206.76</v>
      </c>
      <c r="G158" s="10">
        <v>203.19</v>
      </c>
      <c r="H158" s="10">
        <v>206.04</v>
      </c>
      <c r="I158" s="11">
        <v>1628572</v>
      </c>
      <c r="J158" s="10">
        <v>51510000000</v>
      </c>
      <c r="K158" s="30">
        <f t="shared" si="12"/>
        <v>0.27741276098700207</v>
      </c>
      <c r="L158" s="31">
        <f t="shared" si="13"/>
        <v>3.5699999999999932</v>
      </c>
      <c r="M158" s="30">
        <f t="shared" si="14"/>
        <v>1.7374799240765043E-2</v>
      </c>
      <c r="N158" s="20" t="str">
        <f t="shared" si="17"/>
        <v>Normal</v>
      </c>
      <c r="O158" s="32">
        <f t="shared" si="15"/>
        <v>51.51</v>
      </c>
      <c r="P158" s="20">
        <f t="shared" si="16"/>
        <v>2</v>
      </c>
      <c r="Q158" s="20" t="str" cm="1">
        <f t="array" ref="Q158">_xlfn.IFS(P158&lt;=3,"Q1",P158&lt;=6,"Q2",P158&lt;=9,"Q3",P158&lt;=12,"Q4")</f>
        <v>Q1</v>
      </c>
    </row>
    <row r="159" spans="1:17" x14ac:dyDescent="0.25">
      <c r="A159" s="14">
        <v>45702</v>
      </c>
      <c r="B159" s="15" t="s">
        <v>69</v>
      </c>
      <c r="C159" s="15" t="s">
        <v>70</v>
      </c>
      <c r="D159" s="15" t="s">
        <v>71</v>
      </c>
      <c r="E159" s="16">
        <v>581.84</v>
      </c>
      <c r="F159" s="16">
        <v>582.13</v>
      </c>
      <c r="G159" s="16">
        <v>581.12</v>
      </c>
      <c r="H159" s="16">
        <v>581.53</v>
      </c>
      <c r="I159" s="17">
        <v>2184925</v>
      </c>
      <c r="J159" s="16">
        <v>465224000000</v>
      </c>
      <c r="K159" s="30">
        <f t="shared" si="12"/>
        <v>-5.327925202805911E-2</v>
      </c>
      <c r="L159" s="31">
        <f t="shared" si="13"/>
        <v>1.0099999999999909</v>
      </c>
      <c r="M159" s="30">
        <f t="shared" si="14"/>
        <v>1.7358724047848049E-3</v>
      </c>
      <c r="N159" s="20" t="str">
        <f t="shared" si="17"/>
        <v>High volume</v>
      </c>
      <c r="O159" s="32">
        <f t="shared" si="15"/>
        <v>465.22399999999999</v>
      </c>
      <c r="P159" s="20">
        <f t="shared" si="16"/>
        <v>2</v>
      </c>
      <c r="Q159" s="20" t="str" cm="1">
        <f t="array" ref="Q159">_xlfn.IFS(P159&lt;=3,"Q1",P159&lt;=6,"Q2",P159&lt;=9,"Q3",P159&lt;=12,"Q4")</f>
        <v>Q1</v>
      </c>
    </row>
    <row r="160" spans="1:17" x14ac:dyDescent="0.25">
      <c r="A160" s="8">
        <v>45702</v>
      </c>
      <c r="B160" s="9" t="s">
        <v>73</v>
      </c>
      <c r="C160" s="9" t="s">
        <v>74</v>
      </c>
      <c r="D160" s="9" t="s">
        <v>75</v>
      </c>
      <c r="E160" s="10">
        <v>111.63</v>
      </c>
      <c r="F160" s="10">
        <v>111.73</v>
      </c>
      <c r="G160" s="10">
        <v>111.2</v>
      </c>
      <c r="H160" s="10">
        <v>111.64</v>
      </c>
      <c r="I160" s="11">
        <v>4480676</v>
      </c>
      <c r="J160" s="10">
        <v>24560800000</v>
      </c>
      <c r="K160" s="30">
        <f t="shared" si="12"/>
        <v>8.9581653677372718E-3</v>
      </c>
      <c r="L160" s="31">
        <f t="shared" si="13"/>
        <v>0.53000000000000114</v>
      </c>
      <c r="M160" s="30">
        <f t="shared" si="14"/>
        <v>4.7478276448983349E-3</v>
      </c>
      <c r="N160" s="20" t="str">
        <f t="shared" si="17"/>
        <v>High volume</v>
      </c>
      <c r="O160" s="32">
        <f t="shared" si="15"/>
        <v>24.5608</v>
      </c>
      <c r="P160" s="20">
        <f t="shared" si="16"/>
        <v>2</v>
      </c>
      <c r="Q160" s="20" t="str" cm="1">
        <f t="array" ref="Q160">_xlfn.IFS(P160&lt;=3,"Q1",P160&lt;=6,"Q2",P160&lt;=9,"Q3",P160&lt;=12,"Q4")</f>
        <v>Q1</v>
      </c>
    </row>
    <row r="161" spans="1:17" x14ac:dyDescent="0.25">
      <c r="A161" s="14">
        <v>45702</v>
      </c>
      <c r="B161" s="15" t="s">
        <v>76</v>
      </c>
      <c r="C161" s="15" t="s">
        <v>77</v>
      </c>
      <c r="D161" s="15" t="s">
        <v>75</v>
      </c>
      <c r="E161" s="16">
        <v>130.81</v>
      </c>
      <c r="F161" s="16">
        <v>131.6</v>
      </c>
      <c r="G161" s="16">
        <v>130.44999999999999</v>
      </c>
      <c r="H161" s="16">
        <v>131.26</v>
      </c>
      <c r="I161" s="17">
        <v>3785385</v>
      </c>
      <c r="J161" s="16">
        <v>26252000000</v>
      </c>
      <c r="K161" s="30">
        <f t="shared" si="12"/>
        <v>0.34401039675864892</v>
      </c>
      <c r="L161" s="31">
        <f t="shared" si="13"/>
        <v>1.1500000000000057</v>
      </c>
      <c r="M161" s="30">
        <f t="shared" si="14"/>
        <v>8.7913768060546259E-3</v>
      </c>
      <c r="N161" s="20" t="str">
        <f t="shared" si="17"/>
        <v>High volume</v>
      </c>
      <c r="O161" s="32">
        <f t="shared" si="15"/>
        <v>26.251999999999999</v>
      </c>
      <c r="P161" s="20">
        <f t="shared" si="16"/>
        <v>2</v>
      </c>
      <c r="Q161" s="20" t="str" cm="1">
        <f t="array" ref="Q161">_xlfn.IFS(P161&lt;=3,"Q1",P161&lt;=6,"Q2",P161&lt;=9,"Q3",P161&lt;=12,"Q4")</f>
        <v>Q1</v>
      </c>
    </row>
    <row r="162" spans="1:17" x14ac:dyDescent="0.25">
      <c r="A162" s="8">
        <v>45705</v>
      </c>
      <c r="B162" s="9" t="s">
        <v>60</v>
      </c>
      <c r="C162" s="9" t="s">
        <v>61</v>
      </c>
      <c r="D162" s="9" t="s">
        <v>62</v>
      </c>
      <c r="E162" s="10">
        <v>3221.17</v>
      </c>
      <c r="F162" s="10">
        <v>3283.37</v>
      </c>
      <c r="G162" s="10">
        <v>3219.89</v>
      </c>
      <c r="H162" s="10">
        <v>3244.24</v>
      </c>
      <c r="I162" s="11">
        <v>4563433</v>
      </c>
      <c r="J162" s="10">
        <v>4541936000000</v>
      </c>
      <c r="K162" s="30">
        <f t="shared" si="12"/>
        <v>0.71619939338810767</v>
      </c>
      <c r="L162" s="31">
        <f t="shared" si="13"/>
        <v>63.480000000000018</v>
      </c>
      <c r="M162" s="30">
        <f t="shared" si="14"/>
        <v>1.9707125050835571E-2</v>
      </c>
      <c r="N162" s="20" t="str">
        <f t="shared" si="17"/>
        <v>High volume</v>
      </c>
      <c r="O162" s="32">
        <f t="shared" si="15"/>
        <v>4541.9359999999997</v>
      </c>
      <c r="P162" s="20">
        <f t="shared" si="16"/>
        <v>2</v>
      </c>
      <c r="Q162" s="20" t="str" cm="1">
        <f t="array" ref="Q162">_xlfn.IFS(P162&lt;=3,"Q1",P162&lt;=6,"Q2",P162&lt;=9,"Q3",P162&lt;=12,"Q4")</f>
        <v>Q1</v>
      </c>
    </row>
    <row r="163" spans="1:17" x14ac:dyDescent="0.25">
      <c r="A163" s="14">
        <v>45705</v>
      </c>
      <c r="B163" s="15" t="s">
        <v>65</v>
      </c>
      <c r="C163" s="15" t="s">
        <v>66</v>
      </c>
      <c r="D163" s="15" t="s">
        <v>67</v>
      </c>
      <c r="E163" s="16">
        <v>209.99</v>
      </c>
      <c r="F163" s="16">
        <v>210.01</v>
      </c>
      <c r="G163" s="16">
        <v>209.08</v>
      </c>
      <c r="H163" s="16">
        <v>209.14</v>
      </c>
      <c r="I163" s="17">
        <v>3780789</v>
      </c>
      <c r="J163" s="16">
        <v>52285000000</v>
      </c>
      <c r="K163" s="30">
        <f t="shared" si="12"/>
        <v>-0.40478118005620395</v>
      </c>
      <c r="L163" s="31">
        <f t="shared" si="13"/>
        <v>0.9299999999999784</v>
      </c>
      <c r="M163" s="30">
        <f t="shared" si="14"/>
        <v>4.428782322967657E-3</v>
      </c>
      <c r="N163" s="20" t="str">
        <f t="shared" si="17"/>
        <v>High volume</v>
      </c>
      <c r="O163" s="32">
        <f t="shared" si="15"/>
        <v>52.284999999999997</v>
      </c>
      <c r="P163" s="20">
        <f t="shared" si="16"/>
        <v>2</v>
      </c>
      <c r="Q163" s="20" t="str" cm="1">
        <f t="array" ref="Q163">_xlfn.IFS(P163&lt;=3,"Q1",P163&lt;=6,"Q2",P163&lt;=9,"Q3",P163&lt;=12,"Q4")</f>
        <v>Q1</v>
      </c>
    </row>
    <row r="164" spans="1:17" x14ac:dyDescent="0.25">
      <c r="A164" s="8">
        <v>45705</v>
      </c>
      <c r="B164" s="9" t="s">
        <v>69</v>
      </c>
      <c r="C164" s="9" t="s">
        <v>70</v>
      </c>
      <c r="D164" s="9" t="s">
        <v>71</v>
      </c>
      <c r="E164" s="10">
        <v>573.42999999999995</v>
      </c>
      <c r="F164" s="10">
        <v>580.25</v>
      </c>
      <c r="G164" s="10">
        <v>573.39</v>
      </c>
      <c r="H164" s="10">
        <v>578.37</v>
      </c>
      <c r="I164" s="11">
        <v>4407400</v>
      </c>
      <c r="J164" s="10">
        <v>462696000000</v>
      </c>
      <c r="K164" s="30">
        <f t="shared" si="12"/>
        <v>0.86148265699388848</v>
      </c>
      <c r="L164" s="31">
        <f t="shared" si="13"/>
        <v>6.8600000000000136</v>
      </c>
      <c r="M164" s="30">
        <f t="shared" si="14"/>
        <v>1.1963099244894781E-2</v>
      </c>
      <c r="N164" s="20" t="str">
        <f t="shared" si="17"/>
        <v>High volume</v>
      </c>
      <c r="O164" s="32">
        <f t="shared" si="15"/>
        <v>462.69600000000003</v>
      </c>
      <c r="P164" s="20">
        <f t="shared" si="16"/>
        <v>2</v>
      </c>
      <c r="Q164" s="20" t="str" cm="1">
        <f t="array" ref="Q164">_xlfn.IFS(P164&lt;=3,"Q1",P164&lt;=6,"Q2",P164&lt;=9,"Q3",P164&lt;=12,"Q4")</f>
        <v>Q1</v>
      </c>
    </row>
    <row r="165" spans="1:17" x14ac:dyDescent="0.25">
      <c r="A165" s="14">
        <v>45705</v>
      </c>
      <c r="B165" s="15" t="s">
        <v>73</v>
      </c>
      <c r="C165" s="15" t="s">
        <v>74</v>
      </c>
      <c r="D165" s="15" t="s">
        <v>75</v>
      </c>
      <c r="E165" s="16">
        <v>111.78</v>
      </c>
      <c r="F165" s="16">
        <v>112.42</v>
      </c>
      <c r="G165" s="16">
        <v>111.05</v>
      </c>
      <c r="H165" s="16">
        <v>111.71</v>
      </c>
      <c r="I165" s="17">
        <v>3088708</v>
      </c>
      <c r="J165" s="16">
        <v>24576200000</v>
      </c>
      <c r="K165" s="30">
        <f t="shared" si="12"/>
        <v>-6.2623009482919476E-2</v>
      </c>
      <c r="L165" s="31">
        <f t="shared" si="13"/>
        <v>1.3700000000000045</v>
      </c>
      <c r="M165" s="30">
        <f t="shared" si="14"/>
        <v>1.2256217570227273E-2</v>
      </c>
      <c r="N165" s="20" t="str">
        <f t="shared" si="17"/>
        <v>High volume</v>
      </c>
      <c r="O165" s="32">
        <f t="shared" si="15"/>
        <v>24.5762</v>
      </c>
      <c r="P165" s="20">
        <f t="shared" si="16"/>
        <v>2</v>
      </c>
      <c r="Q165" s="20" t="str" cm="1">
        <f t="array" ref="Q165">_xlfn.IFS(P165&lt;=3,"Q1",P165&lt;=6,"Q2",P165&lt;=9,"Q3",P165&lt;=12,"Q4")</f>
        <v>Q1</v>
      </c>
    </row>
    <row r="166" spans="1:17" x14ac:dyDescent="0.25">
      <c r="A166" s="8">
        <v>45705</v>
      </c>
      <c r="B166" s="9" t="s">
        <v>76</v>
      </c>
      <c r="C166" s="9" t="s">
        <v>77</v>
      </c>
      <c r="D166" s="9" t="s">
        <v>75</v>
      </c>
      <c r="E166" s="10">
        <v>128.94999999999999</v>
      </c>
      <c r="F166" s="10">
        <v>129.36000000000001</v>
      </c>
      <c r="G166" s="10">
        <v>128.08000000000001</v>
      </c>
      <c r="H166" s="10">
        <v>128.32</v>
      </c>
      <c r="I166" s="11">
        <v>2303246</v>
      </c>
      <c r="J166" s="10">
        <v>25664000000</v>
      </c>
      <c r="K166" s="30">
        <f t="shared" si="12"/>
        <v>-0.48856145792942651</v>
      </c>
      <c r="L166" s="31">
        <f t="shared" si="13"/>
        <v>1.2800000000000011</v>
      </c>
      <c r="M166" s="30">
        <f t="shared" si="14"/>
        <v>9.9263280341217626E-3</v>
      </c>
      <c r="N166" s="20" t="str">
        <f t="shared" si="17"/>
        <v>High volume</v>
      </c>
      <c r="O166" s="32">
        <f t="shared" si="15"/>
        <v>25.664000000000001</v>
      </c>
      <c r="P166" s="20">
        <f t="shared" si="16"/>
        <v>2</v>
      </c>
      <c r="Q166" s="20" t="str" cm="1">
        <f t="array" ref="Q166">_xlfn.IFS(P166&lt;=3,"Q1",P166&lt;=6,"Q2",P166&lt;=9,"Q3",P166&lt;=12,"Q4")</f>
        <v>Q1</v>
      </c>
    </row>
    <row r="167" spans="1:17" x14ac:dyDescent="0.25">
      <c r="A167" s="14">
        <v>45706</v>
      </c>
      <c r="B167" s="15" t="s">
        <v>60</v>
      </c>
      <c r="C167" s="15" t="s">
        <v>61</v>
      </c>
      <c r="D167" s="15" t="s">
        <v>62</v>
      </c>
      <c r="E167" s="16">
        <v>3256.76</v>
      </c>
      <c r="F167" s="16">
        <v>3273.86</v>
      </c>
      <c r="G167" s="16">
        <v>3248.48</v>
      </c>
      <c r="H167" s="16">
        <v>3268.16</v>
      </c>
      <c r="I167" s="17">
        <v>666140</v>
      </c>
      <c r="J167" s="16">
        <v>4575424000000</v>
      </c>
      <c r="K167" s="30">
        <f t="shared" si="12"/>
        <v>0.35004114518723012</v>
      </c>
      <c r="L167" s="31">
        <f t="shared" si="13"/>
        <v>25.380000000000109</v>
      </c>
      <c r="M167" s="30">
        <f t="shared" si="14"/>
        <v>7.793021284958089E-3</v>
      </c>
      <c r="N167" s="20" t="str">
        <f t="shared" si="17"/>
        <v>Normal</v>
      </c>
      <c r="O167" s="32">
        <f t="shared" si="15"/>
        <v>4575.424</v>
      </c>
      <c r="P167" s="20">
        <f t="shared" si="16"/>
        <v>2</v>
      </c>
      <c r="Q167" s="20" t="str" cm="1">
        <f t="array" ref="Q167">_xlfn.IFS(P167&lt;=3,"Q1",P167&lt;=6,"Q2",P167&lt;=9,"Q3",P167&lt;=12,"Q4")</f>
        <v>Q1</v>
      </c>
    </row>
    <row r="168" spans="1:17" x14ac:dyDescent="0.25">
      <c r="A168" s="8">
        <v>45706</v>
      </c>
      <c r="B168" s="9" t="s">
        <v>65</v>
      </c>
      <c r="C168" s="9" t="s">
        <v>66</v>
      </c>
      <c r="D168" s="9" t="s">
        <v>67</v>
      </c>
      <c r="E168" s="10">
        <v>207.71</v>
      </c>
      <c r="F168" s="10">
        <v>209.42</v>
      </c>
      <c r="G168" s="10">
        <v>206.32</v>
      </c>
      <c r="H168" s="10">
        <v>209.38</v>
      </c>
      <c r="I168" s="11">
        <v>1575951</v>
      </c>
      <c r="J168" s="10">
        <v>52345000000</v>
      </c>
      <c r="K168" s="30">
        <f t="shared" si="12"/>
        <v>0.80400558470944461</v>
      </c>
      <c r="L168" s="31">
        <f t="shared" si="13"/>
        <v>3.0999999999999943</v>
      </c>
      <c r="M168" s="30">
        <f t="shared" si="14"/>
        <v>1.4924654566462829E-2</v>
      </c>
      <c r="N168" s="20" t="str">
        <f t="shared" si="17"/>
        <v>Normal</v>
      </c>
      <c r="O168" s="32">
        <f t="shared" si="15"/>
        <v>52.344999999999999</v>
      </c>
      <c r="P168" s="20">
        <f t="shared" si="16"/>
        <v>2</v>
      </c>
      <c r="Q168" s="20" t="str" cm="1">
        <f t="array" ref="Q168">_xlfn.IFS(P168&lt;=3,"Q1",P168&lt;=6,"Q2",P168&lt;=9,"Q3",P168&lt;=12,"Q4")</f>
        <v>Q1</v>
      </c>
    </row>
    <row r="169" spans="1:17" x14ac:dyDescent="0.25">
      <c r="A169" s="14">
        <v>45706</v>
      </c>
      <c r="B169" s="15" t="s">
        <v>69</v>
      </c>
      <c r="C169" s="15" t="s">
        <v>70</v>
      </c>
      <c r="D169" s="15" t="s">
        <v>71</v>
      </c>
      <c r="E169" s="16">
        <v>574.09</v>
      </c>
      <c r="F169" s="16">
        <v>575.35</v>
      </c>
      <c r="G169" s="16">
        <v>574.04999999999995</v>
      </c>
      <c r="H169" s="16">
        <v>574.70000000000005</v>
      </c>
      <c r="I169" s="17">
        <v>3084973</v>
      </c>
      <c r="J169" s="16">
        <v>459760000000</v>
      </c>
      <c r="K169" s="30">
        <f t="shared" si="12"/>
        <v>0.1062551167935365</v>
      </c>
      <c r="L169" s="31">
        <f t="shared" si="13"/>
        <v>1.3000000000000682</v>
      </c>
      <c r="M169" s="30">
        <f t="shared" si="14"/>
        <v>2.2644533087147803E-3</v>
      </c>
      <c r="N169" s="20" t="str">
        <f t="shared" si="17"/>
        <v>High volume</v>
      </c>
      <c r="O169" s="32">
        <f t="shared" si="15"/>
        <v>459.76</v>
      </c>
      <c r="P169" s="20">
        <f t="shared" si="16"/>
        <v>2</v>
      </c>
      <c r="Q169" s="20" t="str" cm="1">
        <f t="array" ref="Q169">_xlfn.IFS(P169&lt;=3,"Q1",P169&lt;=6,"Q2",P169&lt;=9,"Q3",P169&lt;=12,"Q4")</f>
        <v>Q1</v>
      </c>
    </row>
    <row r="170" spans="1:17" x14ac:dyDescent="0.25">
      <c r="A170" s="8">
        <v>45706</v>
      </c>
      <c r="B170" s="9" t="s">
        <v>73</v>
      </c>
      <c r="C170" s="9" t="s">
        <v>74</v>
      </c>
      <c r="D170" s="9" t="s">
        <v>75</v>
      </c>
      <c r="E170" s="10">
        <v>114.06</v>
      </c>
      <c r="F170" s="10">
        <v>115.42</v>
      </c>
      <c r="G170" s="10">
        <v>113.02</v>
      </c>
      <c r="H170" s="10">
        <v>114.12</v>
      </c>
      <c r="I170" s="11">
        <v>1509263</v>
      </c>
      <c r="J170" s="10">
        <v>25106400000</v>
      </c>
      <c r="K170" s="30">
        <f t="shared" si="12"/>
        <v>5.2603892688060913E-2</v>
      </c>
      <c r="L170" s="31">
        <f t="shared" si="13"/>
        <v>2.4000000000000057</v>
      </c>
      <c r="M170" s="30">
        <f t="shared" si="14"/>
        <v>2.1041557075223614E-2</v>
      </c>
      <c r="N170" s="20" t="str">
        <f t="shared" si="17"/>
        <v>Normal</v>
      </c>
      <c r="O170" s="32">
        <f t="shared" si="15"/>
        <v>25.106400000000001</v>
      </c>
      <c r="P170" s="20">
        <f t="shared" si="16"/>
        <v>2</v>
      </c>
      <c r="Q170" s="20" t="str" cm="1">
        <f t="array" ref="Q170">_xlfn.IFS(P170&lt;=3,"Q1",P170&lt;=6,"Q2",P170&lt;=9,"Q3",P170&lt;=12,"Q4")</f>
        <v>Q1</v>
      </c>
    </row>
    <row r="171" spans="1:17" x14ac:dyDescent="0.25">
      <c r="A171" s="14">
        <v>45706</v>
      </c>
      <c r="B171" s="15" t="s">
        <v>76</v>
      </c>
      <c r="C171" s="15" t="s">
        <v>77</v>
      </c>
      <c r="D171" s="15" t="s">
        <v>75</v>
      </c>
      <c r="E171" s="16">
        <v>129.21</v>
      </c>
      <c r="F171" s="16">
        <v>130.47999999999999</v>
      </c>
      <c r="G171" s="16">
        <v>128.4</v>
      </c>
      <c r="H171" s="16">
        <v>128.72</v>
      </c>
      <c r="I171" s="17">
        <v>4238372</v>
      </c>
      <c r="J171" s="16">
        <v>25744000000</v>
      </c>
      <c r="K171" s="30">
        <f t="shared" si="12"/>
        <v>-0.37922761396177468</v>
      </c>
      <c r="L171" s="31">
        <f t="shared" si="13"/>
        <v>2.0799999999999841</v>
      </c>
      <c r="M171" s="30">
        <f t="shared" si="14"/>
        <v>1.6097825245723892E-2</v>
      </c>
      <c r="N171" s="20" t="str">
        <f t="shared" si="17"/>
        <v>High volume</v>
      </c>
      <c r="O171" s="32">
        <f t="shared" si="15"/>
        <v>25.744</v>
      </c>
      <c r="P171" s="20">
        <f t="shared" si="16"/>
        <v>2</v>
      </c>
      <c r="Q171" s="20" t="str" cm="1">
        <f t="array" ref="Q171">_xlfn.IFS(P171&lt;=3,"Q1",P171&lt;=6,"Q2",P171&lt;=9,"Q3",P171&lt;=12,"Q4")</f>
        <v>Q1</v>
      </c>
    </row>
    <row r="172" spans="1:17" x14ac:dyDescent="0.25">
      <c r="A172" s="8">
        <v>45707</v>
      </c>
      <c r="B172" s="9" t="s">
        <v>60</v>
      </c>
      <c r="C172" s="9" t="s">
        <v>61</v>
      </c>
      <c r="D172" s="9" t="s">
        <v>62</v>
      </c>
      <c r="E172" s="10">
        <v>3276.38</v>
      </c>
      <c r="F172" s="10">
        <v>3296.55</v>
      </c>
      <c r="G172" s="10">
        <v>3257.52</v>
      </c>
      <c r="H172" s="10">
        <v>3260.65</v>
      </c>
      <c r="I172" s="11">
        <v>3056207</v>
      </c>
      <c r="J172" s="10">
        <v>4564910000000</v>
      </c>
      <c r="K172" s="30">
        <f t="shared" si="12"/>
        <v>-0.4801030405508524</v>
      </c>
      <c r="L172" s="31">
        <f t="shared" si="13"/>
        <v>39.0300000000002</v>
      </c>
      <c r="M172" s="30">
        <f t="shared" si="14"/>
        <v>1.191253761773671E-2</v>
      </c>
      <c r="N172" s="20" t="str">
        <f t="shared" si="17"/>
        <v>High volume</v>
      </c>
      <c r="O172" s="32">
        <f t="shared" si="15"/>
        <v>4564.91</v>
      </c>
      <c r="P172" s="20">
        <f t="shared" si="16"/>
        <v>2</v>
      </c>
      <c r="Q172" s="20" t="str" cm="1">
        <f t="array" ref="Q172">_xlfn.IFS(P172&lt;=3,"Q1",P172&lt;=6,"Q2",P172&lt;=9,"Q3",P172&lt;=12,"Q4")</f>
        <v>Q1</v>
      </c>
    </row>
    <row r="173" spans="1:17" x14ac:dyDescent="0.25">
      <c r="A173" s="14">
        <v>45707</v>
      </c>
      <c r="B173" s="15" t="s">
        <v>65</v>
      </c>
      <c r="C173" s="15" t="s">
        <v>66</v>
      </c>
      <c r="D173" s="15" t="s">
        <v>67</v>
      </c>
      <c r="E173" s="16">
        <v>207.21</v>
      </c>
      <c r="F173" s="16">
        <v>209.18</v>
      </c>
      <c r="G173" s="16">
        <v>204.58</v>
      </c>
      <c r="H173" s="16">
        <v>206.33</v>
      </c>
      <c r="I173" s="17">
        <v>2956346</v>
      </c>
      <c r="J173" s="16">
        <v>51582500000</v>
      </c>
      <c r="K173" s="30">
        <f t="shared" si="12"/>
        <v>-0.4246899280922713</v>
      </c>
      <c r="L173" s="31">
        <f t="shared" si="13"/>
        <v>4.5999999999999943</v>
      </c>
      <c r="M173" s="30">
        <f t="shared" si="14"/>
        <v>2.2199700786641543E-2</v>
      </c>
      <c r="N173" s="20" t="str">
        <f t="shared" si="17"/>
        <v>High volume</v>
      </c>
      <c r="O173" s="32">
        <f t="shared" si="15"/>
        <v>51.582500000000003</v>
      </c>
      <c r="P173" s="20">
        <f t="shared" si="16"/>
        <v>2</v>
      </c>
      <c r="Q173" s="20" t="str" cm="1">
        <f t="array" ref="Q173">_xlfn.IFS(P173&lt;=3,"Q1",P173&lt;=6,"Q2",P173&lt;=9,"Q3",P173&lt;=12,"Q4")</f>
        <v>Q1</v>
      </c>
    </row>
    <row r="174" spans="1:17" x14ac:dyDescent="0.25">
      <c r="A174" s="8">
        <v>45707</v>
      </c>
      <c r="B174" s="9" t="s">
        <v>69</v>
      </c>
      <c r="C174" s="9" t="s">
        <v>70</v>
      </c>
      <c r="D174" s="9" t="s">
        <v>71</v>
      </c>
      <c r="E174" s="10">
        <v>562.22</v>
      </c>
      <c r="F174" s="10">
        <v>568.94000000000005</v>
      </c>
      <c r="G174" s="10">
        <v>556.62</v>
      </c>
      <c r="H174" s="10">
        <v>564.23</v>
      </c>
      <c r="I174" s="11">
        <v>2269395</v>
      </c>
      <c r="J174" s="10">
        <v>451384000000</v>
      </c>
      <c r="K174" s="30">
        <f t="shared" si="12"/>
        <v>0.35751129451104385</v>
      </c>
      <c r="L174" s="31">
        <f t="shared" si="13"/>
        <v>12.32000000000005</v>
      </c>
      <c r="M174" s="30">
        <f t="shared" si="14"/>
        <v>2.1913130091423375E-2</v>
      </c>
      <c r="N174" s="20" t="str">
        <f t="shared" si="17"/>
        <v>High volume</v>
      </c>
      <c r="O174" s="32">
        <f t="shared" si="15"/>
        <v>451.38400000000001</v>
      </c>
      <c r="P174" s="20">
        <f t="shared" si="16"/>
        <v>2</v>
      </c>
      <c r="Q174" s="20" t="str" cm="1">
        <f t="array" ref="Q174">_xlfn.IFS(P174&lt;=3,"Q1",P174&lt;=6,"Q2",P174&lt;=9,"Q3",P174&lt;=12,"Q4")</f>
        <v>Q1</v>
      </c>
    </row>
    <row r="175" spans="1:17" x14ac:dyDescent="0.25">
      <c r="A175" s="14">
        <v>45707</v>
      </c>
      <c r="B175" s="15" t="s">
        <v>73</v>
      </c>
      <c r="C175" s="15" t="s">
        <v>74</v>
      </c>
      <c r="D175" s="15" t="s">
        <v>75</v>
      </c>
      <c r="E175" s="16">
        <v>114.3</v>
      </c>
      <c r="F175" s="16">
        <v>115.7</v>
      </c>
      <c r="G175" s="16">
        <v>112.79</v>
      </c>
      <c r="H175" s="16">
        <v>115.69</v>
      </c>
      <c r="I175" s="17">
        <v>1058156</v>
      </c>
      <c r="J175" s="16">
        <v>25451800000</v>
      </c>
      <c r="K175" s="30">
        <f t="shared" si="12"/>
        <v>1.2160979877515317</v>
      </c>
      <c r="L175" s="31">
        <f t="shared" si="13"/>
        <v>2.9099999999999966</v>
      </c>
      <c r="M175" s="30">
        <f t="shared" si="14"/>
        <v>2.5459317585301809E-2</v>
      </c>
      <c r="N175" s="20" t="str">
        <f t="shared" si="17"/>
        <v>Normal</v>
      </c>
      <c r="O175" s="32">
        <f t="shared" si="15"/>
        <v>25.451799999999999</v>
      </c>
      <c r="P175" s="20">
        <f t="shared" si="16"/>
        <v>2</v>
      </c>
      <c r="Q175" s="20" t="str" cm="1">
        <f t="array" ref="Q175">_xlfn.IFS(P175&lt;=3,"Q1",P175&lt;=6,"Q2",P175&lt;=9,"Q3",P175&lt;=12,"Q4")</f>
        <v>Q1</v>
      </c>
    </row>
    <row r="176" spans="1:17" x14ac:dyDescent="0.25">
      <c r="A176" s="8">
        <v>45707</v>
      </c>
      <c r="B176" s="9" t="s">
        <v>76</v>
      </c>
      <c r="C176" s="9" t="s">
        <v>77</v>
      </c>
      <c r="D176" s="9" t="s">
        <v>75</v>
      </c>
      <c r="E176" s="10">
        <v>127.94</v>
      </c>
      <c r="F176" s="10">
        <v>128.13</v>
      </c>
      <c r="G176" s="10">
        <v>126.55</v>
      </c>
      <c r="H176" s="10">
        <v>127.25</v>
      </c>
      <c r="I176" s="11">
        <v>2812103</v>
      </c>
      <c r="J176" s="10">
        <v>25450000000</v>
      </c>
      <c r="K176" s="30">
        <f t="shared" si="12"/>
        <v>-0.53931530404877104</v>
      </c>
      <c r="L176" s="31">
        <f t="shared" si="13"/>
        <v>1.5799999999999983</v>
      </c>
      <c r="M176" s="30">
        <f t="shared" si="14"/>
        <v>1.2349538846334206E-2</v>
      </c>
      <c r="N176" s="20" t="str">
        <f t="shared" si="17"/>
        <v>High volume</v>
      </c>
      <c r="O176" s="32">
        <f t="shared" si="15"/>
        <v>25.45</v>
      </c>
      <c r="P176" s="20">
        <f t="shared" si="16"/>
        <v>2</v>
      </c>
      <c r="Q176" s="20" t="str" cm="1">
        <f t="array" ref="Q176">_xlfn.IFS(P176&lt;=3,"Q1",P176&lt;=6,"Q2",P176&lt;=9,"Q3",P176&lt;=12,"Q4")</f>
        <v>Q1</v>
      </c>
    </row>
    <row r="177" spans="1:17" x14ac:dyDescent="0.25">
      <c r="A177" s="14">
        <v>45708</v>
      </c>
      <c r="B177" s="15" t="s">
        <v>60</v>
      </c>
      <c r="C177" s="15" t="s">
        <v>61</v>
      </c>
      <c r="D177" s="15" t="s">
        <v>62</v>
      </c>
      <c r="E177" s="16">
        <v>3187.35</v>
      </c>
      <c r="F177" s="16">
        <v>3193.78</v>
      </c>
      <c r="G177" s="16">
        <v>3182.89</v>
      </c>
      <c r="H177" s="16">
        <v>3191.56</v>
      </c>
      <c r="I177" s="17">
        <v>2760947</v>
      </c>
      <c r="J177" s="16">
        <v>4468184000000</v>
      </c>
      <c r="K177" s="30">
        <f t="shared" si="12"/>
        <v>0.13208464712064996</v>
      </c>
      <c r="L177" s="31">
        <f t="shared" si="13"/>
        <v>10.890000000000327</v>
      </c>
      <c r="M177" s="30">
        <f t="shared" si="14"/>
        <v>3.4166313708881447E-3</v>
      </c>
      <c r="N177" s="20" t="str">
        <f t="shared" si="17"/>
        <v>High volume</v>
      </c>
      <c r="O177" s="32">
        <f t="shared" si="15"/>
        <v>4468.1840000000002</v>
      </c>
      <c r="P177" s="20">
        <f t="shared" si="16"/>
        <v>2</v>
      </c>
      <c r="Q177" s="20" t="str" cm="1">
        <f t="array" ref="Q177">_xlfn.IFS(P177&lt;=3,"Q1",P177&lt;=6,"Q2",P177&lt;=9,"Q3",P177&lt;=12,"Q4")</f>
        <v>Q1</v>
      </c>
    </row>
    <row r="178" spans="1:17" x14ac:dyDescent="0.25">
      <c r="A178" s="8">
        <v>45708</v>
      </c>
      <c r="B178" s="9" t="s">
        <v>65</v>
      </c>
      <c r="C178" s="9" t="s">
        <v>66</v>
      </c>
      <c r="D178" s="9" t="s">
        <v>67</v>
      </c>
      <c r="E178" s="10">
        <v>204.3</v>
      </c>
      <c r="F178" s="10">
        <v>205.65</v>
      </c>
      <c r="G178" s="10">
        <v>204.24</v>
      </c>
      <c r="H178" s="10">
        <v>205.2</v>
      </c>
      <c r="I178" s="11">
        <v>1810426</v>
      </c>
      <c r="J178" s="10">
        <v>51300000000</v>
      </c>
      <c r="K178" s="30">
        <f t="shared" si="12"/>
        <v>0.44052863436122236</v>
      </c>
      <c r="L178" s="31">
        <f t="shared" si="13"/>
        <v>1.4099999999999966</v>
      </c>
      <c r="M178" s="30">
        <f t="shared" si="14"/>
        <v>6.9016152716593077E-3</v>
      </c>
      <c r="N178" s="20" t="str">
        <f t="shared" si="17"/>
        <v>Normal</v>
      </c>
      <c r="O178" s="32">
        <f t="shared" si="15"/>
        <v>51.3</v>
      </c>
      <c r="P178" s="20">
        <f t="shared" si="16"/>
        <v>2</v>
      </c>
      <c r="Q178" s="20" t="str" cm="1">
        <f t="array" ref="Q178">_xlfn.IFS(P178&lt;=3,"Q1",P178&lt;=6,"Q2",P178&lt;=9,"Q3",P178&lt;=12,"Q4")</f>
        <v>Q1</v>
      </c>
    </row>
    <row r="179" spans="1:17" x14ac:dyDescent="0.25">
      <c r="A179" s="14">
        <v>45708</v>
      </c>
      <c r="B179" s="15" t="s">
        <v>69</v>
      </c>
      <c r="C179" s="15" t="s">
        <v>70</v>
      </c>
      <c r="D179" s="15" t="s">
        <v>71</v>
      </c>
      <c r="E179" s="16">
        <v>573.05999999999995</v>
      </c>
      <c r="F179" s="16">
        <v>573.96</v>
      </c>
      <c r="G179" s="16">
        <v>571.42999999999995</v>
      </c>
      <c r="H179" s="16">
        <v>573.63</v>
      </c>
      <c r="I179" s="17">
        <v>2320226</v>
      </c>
      <c r="J179" s="16">
        <v>458904000000</v>
      </c>
      <c r="K179" s="30">
        <f t="shared" si="12"/>
        <v>9.9466024500061076E-2</v>
      </c>
      <c r="L179" s="31">
        <f t="shared" si="13"/>
        <v>2.5300000000000864</v>
      </c>
      <c r="M179" s="30">
        <f t="shared" si="14"/>
        <v>4.4148954734235272E-3</v>
      </c>
      <c r="N179" s="20" t="str">
        <f t="shared" si="17"/>
        <v>High volume</v>
      </c>
      <c r="O179" s="32">
        <f t="shared" si="15"/>
        <v>458.904</v>
      </c>
      <c r="P179" s="20">
        <f t="shared" si="16"/>
        <v>2</v>
      </c>
      <c r="Q179" s="20" t="str" cm="1">
        <f t="array" ref="Q179">_xlfn.IFS(P179&lt;=3,"Q1",P179&lt;=6,"Q2",P179&lt;=9,"Q3",P179&lt;=12,"Q4")</f>
        <v>Q1</v>
      </c>
    </row>
    <row r="180" spans="1:17" x14ac:dyDescent="0.25">
      <c r="A180" s="8">
        <v>45708</v>
      </c>
      <c r="B180" s="9" t="s">
        <v>73</v>
      </c>
      <c r="C180" s="9" t="s">
        <v>74</v>
      </c>
      <c r="D180" s="9" t="s">
        <v>75</v>
      </c>
      <c r="E180" s="10">
        <v>113.42</v>
      </c>
      <c r="F180" s="10">
        <v>113.44</v>
      </c>
      <c r="G180" s="10">
        <v>113.28</v>
      </c>
      <c r="H180" s="10">
        <v>113.35</v>
      </c>
      <c r="I180" s="11">
        <v>378831</v>
      </c>
      <c r="J180" s="10">
        <v>24937000000</v>
      </c>
      <c r="K180" s="30">
        <f t="shared" si="12"/>
        <v>-6.1717510139311753E-2</v>
      </c>
      <c r="L180" s="31">
        <f t="shared" si="13"/>
        <v>0.15999999999999659</v>
      </c>
      <c r="M180" s="30">
        <f t="shared" si="14"/>
        <v>1.4106859460412324E-3</v>
      </c>
      <c r="N180" s="20" t="str">
        <f t="shared" si="17"/>
        <v>Normal</v>
      </c>
      <c r="O180" s="32">
        <f t="shared" si="15"/>
        <v>24.937000000000001</v>
      </c>
      <c r="P180" s="20">
        <f t="shared" si="16"/>
        <v>2</v>
      </c>
      <c r="Q180" s="20" t="str" cm="1">
        <f t="array" ref="Q180">_xlfn.IFS(P180&lt;=3,"Q1",P180&lt;=6,"Q2",P180&lt;=9,"Q3",P180&lt;=12,"Q4")</f>
        <v>Q1</v>
      </c>
    </row>
    <row r="181" spans="1:17" x14ac:dyDescent="0.25">
      <c r="A181" s="14">
        <v>45708</v>
      </c>
      <c r="B181" s="15" t="s">
        <v>76</v>
      </c>
      <c r="C181" s="15" t="s">
        <v>77</v>
      </c>
      <c r="D181" s="15" t="s">
        <v>75</v>
      </c>
      <c r="E181" s="16">
        <v>129.97999999999999</v>
      </c>
      <c r="F181" s="16">
        <v>130.91999999999999</v>
      </c>
      <c r="G181" s="16">
        <v>129.29</v>
      </c>
      <c r="H181" s="16">
        <v>129.76</v>
      </c>
      <c r="I181" s="17">
        <v>4885197</v>
      </c>
      <c r="J181" s="16">
        <v>25952000000</v>
      </c>
      <c r="K181" s="30">
        <f t="shared" si="12"/>
        <v>-0.16925680873980525</v>
      </c>
      <c r="L181" s="31">
        <f t="shared" si="13"/>
        <v>1.6299999999999955</v>
      </c>
      <c r="M181" s="30">
        <f t="shared" si="14"/>
        <v>1.2540390829358329E-2</v>
      </c>
      <c r="N181" s="20" t="str">
        <f t="shared" si="17"/>
        <v>High volume</v>
      </c>
      <c r="O181" s="32">
        <f t="shared" si="15"/>
        <v>25.952000000000002</v>
      </c>
      <c r="P181" s="20">
        <f t="shared" si="16"/>
        <v>2</v>
      </c>
      <c r="Q181" s="20" t="str" cm="1">
        <f t="array" ref="Q181">_xlfn.IFS(P181&lt;=3,"Q1",P181&lt;=6,"Q2",P181&lt;=9,"Q3",P181&lt;=12,"Q4")</f>
        <v>Q1</v>
      </c>
    </row>
    <row r="182" spans="1:17" x14ac:dyDescent="0.25">
      <c r="A182" s="8">
        <v>45709</v>
      </c>
      <c r="B182" s="9" t="s">
        <v>60</v>
      </c>
      <c r="C182" s="9" t="s">
        <v>61</v>
      </c>
      <c r="D182" s="9" t="s">
        <v>62</v>
      </c>
      <c r="E182" s="10">
        <v>3220.45</v>
      </c>
      <c r="F182" s="10">
        <v>3243.75</v>
      </c>
      <c r="G182" s="10">
        <v>3201.08</v>
      </c>
      <c r="H182" s="10">
        <v>3228.34</v>
      </c>
      <c r="I182" s="11">
        <v>3859361</v>
      </c>
      <c r="J182" s="10">
        <v>4519676000000</v>
      </c>
      <c r="K182" s="30">
        <f t="shared" si="12"/>
        <v>0.24499681721499564</v>
      </c>
      <c r="L182" s="31">
        <f t="shared" si="13"/>
        <v>42.670000000000073</v>
      </c>
      <c r="M182" s="30">
        <f t="shared" si="14"/>
        <v>1.324970112872427E-2</v>
      </c>
      <c r="N182" s="20" t="str">
        <f t="shared" si="17"/>
        <v>High volume</v>
      </c>
      <c r="O182" s="32">
        <f t="shared" si="15"/>
        <v>4519.6760000000004</v>
      </c>
      <c r="P182" s="20">
        <f t="shared" si="16"/>
        <v>2</v>
      </c>
      <c r="Q182" s="20" t="str" cm="1">
        <f t="array" ref="Q182">_xlfn.IFS(P182&lt;=3,"Q1",P182&lt;=6,"Q2",P182&lt;=9,"Q3",P182&lt;=12,"Q4")</f>
        <v>Q1</v>
      </c>
    </row>
    <row r="183" spans="1:17" x14ac:dyDescent="0.25">
      <c r="A183" s="14">
        <v>45709</v>
      </c>
      <c r="B183" s="15" t="s">
        <v>65</v>
      </c>
      <c r="C183" s="15" t="s">
        <v>66</v>
      </c>
      <c r="D183" s="15" t="s">
        <v>67</v>
      </c>
      <c r="E183" s="16">
        <v>208.62</v>
      </c>
      <c r="F183" s="16">
        <v>209.3</v>
      </c>
      <c r="G183" s="16">
        <v>206.9</v>
      </c>
      <c r="H183" s="16">
        <v>207.63</v>
      </c>
      <c r="I183" s="17">
        <v>3527040</v>
      </c>
      <c r="J183" s="16">
        <v>51907500000</v>
      </c>
      <c r="K183" s="30">
        <f t="shared" si="12"/>
        <v>-0.47454702329594911</v>
      </c>
      <c r="L183" s="31">
        <f t="shared" si="13"/>
        <v>2.4000000000000057</v>
      </c>
      <c r="M183" s="30">
        <f t="shared" si="14"/>
        <v>1.15041702617199E-2</v>
      </c>
      <c r="N183" s="20" t="str">
        <f t="shared" si="17"/>
        <v>High volume</v>
      </c>
      <c r="O183" s="32">
        <f t="shared" si="15"/>
        <v>51.907499999999999</v>
      </c>
      <c r="P183" s="20">
        <f t="shared" si="16"/>
        <v>2</v>
      </c>
      <c r="Q183" s="20" t="str" cm="1">
        <f t="array" ref="Q183">_xlfn.IFS(P183&lt;=3,"Q1",P183&lt;=6,"Q2",P183&lt;=9,"Q3",P183&lt;=12,"Q4")</f>
        <v>Q1</v>
      </c>
    </row>
    <row r="184" spans="1:17" x14ac:dyDescent="0.25">
      <c r="A184" s="8">
        <v>45709</v>
      </c>
      <c r="B184" s="9" t="s">
        <v>69</v>
      </c>
      <c r="C184" s="9" t="s">
        <v>70</v>
      </c>
      <c r="D184" s="9" t="s">
        <v>71</v>
      </c>
      <c r="E184" s="10">
        <v>576.22</v>
      </c>
      <c r="F184" s="10">
        <v>577.96</v>
      </c>
      <c r="G184" s="10">
        <v>573.03</v>
      </c>
      <c r="H184" s="10">
        <v>574.49</v>
      </c>
      <c r="I184" s="11">
        <v>2776575</v>
      </c>
      <c r="J184" s="10">
        <v>459592000000</v>
      </c>
      <c r="K184" s="30">
        <f t="shared" si="12"/>
        <v>-0.30023255006768562</v>
      </c>
      <c r="L184" s="31">
        <f t="shared" si="13"/>
        <v>4.9300000000000637</v>
      </c>
      <c r="M184" s="30">
        <f t="shared" si="14"/>
        <v>8.5557599527959164E-3</v>
      </c>
      <c r="N184" s="20" t="str">
        <f t="shared" si="17"/>
        <v>High volume</v>
      </c>
      <c r="O184" s="32">
        <f t="shared" si="15"/>
        <v>459.59199999999998</v>
      </c>
      <c r="P184" s="20">
        <f t="shared" si="16"/>
        <v>2</v>
      </c>
      <c r="Q184" s="20" t="str" cm="1">
        <f t="array" ref="Q184">_xlfn.IFS(P184&lt;=3,"Q1",P184&lt;=6,"Q2",P184&lt;=9,"Q3",P184&lt;=12,"Q4")</f>
        <v>Q1</v>
      </c>
    </row>
    <row r="185" spans="1:17" x14ac:dyDescent="0.25">
      <c r="A185" s="14">
        <v>45709</v>
      </c>
      <c r="B185" s="15" t="s">
        <v>73</v>
      </c>
      <c r="C185" s="15" t="s">
        <v>74</v>
      </c>
      <c r="D185" s="15" t="s">
        <v>75</v>
      </c>
      <c r="E185" s="16">
        <v>114.46</v>
      </c>
      <c r="F185" s="16">
        <v>116.17</v>
      </c>
      <c r="G185" s="16">
        <v>114.22</v>
      </c>
      <c r="H185" s="16">
        <v>114.99</v>
      </c>
      <c r="I185" s="17">
        <v>367930</v>
      </c>
      <c r="J185" s="16">
        <v>25297800000</v>
      </c>
      <c r="K185" s="30">
        <f t="shared" si="12"/>
        <v>0.46304385811637361</v>
      </c>
      <c r="L185" s="31">
        <f t="shared" si="13"/>
        <v>1.9500000000000028</v>
      </c>
      <c r="M185" s="30">
        <f t="shared" si="14"/>
        <v>1.7036519308055241E-2</v>
      </c>
      <c r="N185" s="20" t="str">
        <f t="shared" si="17"/>
        <v>Normal</v>
      </c>
      <c r="O185" s="32">
        <f t="shared" si="15"/>
        <v>25.297799999999999</v>
      </c>
      <c r="P185" s="20">
        <f t="shared" si="16"/>
        <v>2</v>
      </c>
      <c r="Q185" s="20" t="str" cm="1">
        <f t="array" ref="Q185">_xlfn.IFS(P185&lt;=3,"Q1",P185&lt;=6,"Q2",P185&lt;=9,"Q3",P185&lt;=12,"Q4")</f>
        <v>Q1</v>
      </c>
    </row>
    <row r="186" spans="1:17" x14ac:dyDescent="0.25">
      <c r="A186" s="8">
        <v>45709</v>
      </c>
      <c r="B186" s="9" t="s">
        <v>76</v>
      </c>
      <c r="C186" s="9" t="s">
        <v>77</v>
      </c>
      <c r="D186" s="9" t="s">
        <v>75</v>
      </c>
      <c r="E186" s="10">
        <v>127.07</v>
      </c>
      <c r="F186" s="10">
        <v>127.69</v>
      </c>
      <c r="G186" s="10">
        <v>127.06</v>
      </c>
      <c r="H186" s="10">
        <v>127.44</v>
      </c>
      <c r="I186" s="11">
        <v>4466850</v>
      </c>
      <c r="J186" s="10">
        <v>25488000000</v>
      </c>
      <c r="K186" s="30">
        <f t="shared" si="12"/>
        <v>0.2911780908160892</v>
      </c>
      <c r="L186" s="31">
        <f t="shared" si="13"/>
        <v>0.62999999999999545</v>
      </c>
      <c r="M186" s="30">
        <f t="shared" si="14"/>
        <v>4.957897222003585E-3</v>
      </c>
      <c r="N186" s="20" t="str">
        <f t="shared" si="17"/>
        <v>High volume</v>
      </c>
      <c r="O186" s="32">
        <f t="shared" si="15"/>
        <v>25.488</v>
      </c>
      <c r="P186" s="20">
        <f t="shared" si="16"/>
        <v>2</v>
      </c>
      <c r="Q186" s="20" t="str" cm="1">
        <f t="array" ref="Q186">_xlfn.IFS(P186&lt;=3,"Q1",P186&lt;=6,"Q2",P186&lt;=9,"Q3",P186&lt;=12,"Q4")</f>
        <v>Q1</v>
      </c>
    </row>
    <row r="187" spans="1:17" x14ac:dyDescent="0.25">
      <c r="A187" s="14">
        <v>45712</v>
      </c>
      <c r="B187" s="15" t="s">
        <v>60</v>
      </c>
      <c r="C187" s="15" t="s">
        <v>61</v>
      </c>
      <c r="D187" s="15" t="s">
        <v>62</v>
      </c>
      <c r="E187" s="16">
        <v>3213.64</v>
      </c>
      <c r="F187" s="16">
        <v>3241.25</v>
      </c>
      <c r="G187" s="16">
        <v>3165.47</v>
      </c>
      <c r="H187" s="16">
        <v>3224.26</v>
      </c>
      <c r="I187" s="17">
        <v>2230372</v>
      </c>
      <c r="J187" s="16">
        <v>4513964000000</v>
      </c>
      <c r="K187" s="30">
        <f t="shared" si="12"/>
        <v>0.33046638702531539</v>
      </c>
      <c r="L187" s="31">
        <f t="shared" si="13"/>
        <v>75.7800000000002</v>
      </c>
      <c r="M187" s="30">
        <f t="shared" si="14"/>
        <v>2.3580737108076885E-2</v>
      </c>
      <c r="N187" s="20" t="str">
        <f t="shared" si="17"/>
        <v>High volume</v>
      </c>
      <c r="O187" s="32">
        <f t="shared" si="15"/>
        <v>4513.9639999999999</v>
      </c>
      <c r="P187" s="20">
        <f t="shared" si="16"/>
        <v>2</v>
      </c>
      <c r="Q187" s="20" t="str" cm="1">
        <f t="array" ref="Q187">_xlfn.IFS(P187&lt;=3,"Q1",P187&lt;=6,"Q2",P187&lt;=9,"Q3",P187&lt;=12,"Q4")</f>
        <v>Q1</v>
      </c>
    </row>
    <row r="188" spans="1:17" x14ac:dyDescent="0.25">
      <c r="A188" s="8">
        <v>45712</v>
      </c>
      <c r="B188" s="9" t="s">
        <v>65</v>
      </c>
      <c r="C188" s="9" t="s">
        <v>66</v>
      </c>
      <c r="D188" s="9" t="s">
        <v>67</v>
      </c>
      <c r="E188" s="10">
        <v>205.4</v>
      </c>
      <c r="F188" s="10">
        <v>206.35</v>
      </c>
      <c r="G188" s="10">
        <v>203.9</v>
      </c>
      <c r="H188" s="10">
        <v>205.56</v>
      </c>
      <c r="I188" s="11">
        <v>1447387</v>
      </c>
      <c r="J188" s="10">
        <v>51390000000</v>
      </c>
      <c r="K188" s="30">
        <f t="shared" si="12"/>
        <v>7.7896786757544592E-2</v>
      </c>
      <c r="L188" s="31">
        <f t="shared" si="13"/>
        <v>2.4499999999999886</v>
      </c>
      <c r="M188" s="30">
        <f t="shared" si="14"/>
        <v>1.1927945472249214E-2</v>
      </c>
      <c r="N188" s="20" t="str">
        <f t="shared" si="17"/>
        <v>Normal</v>
      </c>
      <c r="O188" s="32">
        <f t="shared" si="15"/>
        <v>51.39</v>
      </c>
      <c r="P188" s="20">
        <f t="shared" si="16"/>
        <v>2</v>
      </c>
      <c r="Q188" s="20" t="str" cm="1">
        <f t="array" ref="Q188">_xlfn.IFS(P188&lt;=3,"Q1",P188&lt;=6,"Q2",P188&lt;=9,"Q3",P188&lt;=12,"Q4")</f>
        <v>Q1</v>
      </c>
    </row>
    <row r="189" spans="1:17" x14ac:dyDescent="0.25">
      <c r="A189" s="14">
        <v>45712</v>
      </c>
      <c r="B189" s="15" t="s">
        <v>69</v>
      </c>
      <c r="C189" s="15" t="s">
        <v>70</v>
      </c>
      <c r="D189" s="15" t="s">
        <v>71</v>
      </c>
      <c r="E189" s="16">
        <v>565.52</v>
      </c>
      <c r="F189" s="16">
        <v>572.29</v>
      </c>
      <c r="G189" s="16">
        <v>558.46</v>
      </c>
      <c r="H189" s="16">
        <v>567.4</v>
      </c>
      <c r="I189" s="17">
        <v>2891516</v>
      </c>
      <c r="J189" s="16">
        <v>453920000000</v>
      </c>
      <c r="K189" s="30">
        <f t="shared" si="12"/>
        <v>0.33243740274437605</v>
      </c>
      <c r="L189" s="31">
        <f t="shared" si="13"/>
        <v>13.829999999999927</v>
      </c>
      <c r="M189" s="30">
        <f t="shared" si="14"/>
        <v>2.4455368510397382E-2</v>
      </c>
      <c r="N189" s="20" t="str">
        <f t="shared" si="17"/>
        <v>High volume</v>
      </c>
      <c r="O189" s="32">
        <f t="shared" si="15"/>
        <v>453.92</v>
      </c>
      <c r="P189" s="20">
        <f t="shared" si="16"/>
        <v>2</v>
      </c>
      <c r="Q189" s="20" t="str" cm="1">
        <f t="array" ref="Q189">_xlfn.IFS(P189&lt;=3,"Q1",P189&lt;=6,"Q2",P189&lt;=9,"Q3",P189&lt;=12,"Q4")</f>
        <v>Q1</v>
      </c>
    </row>
    <row r="190" spans="1:17" x14ac:dyDescent="0.25">
      <c r="A190" s="8">
        <v>45712</v>
      </c>
      <c r="B190" s="9" t="s">
        <v>73</v>
      </c>
      <c r="C190" s="9" t="s">
        <v>74</v>
      </c>
      <c r="D190" s="9" t="s">
        <v>75</v>
      </c>
      <c r="E190" s="10">
        <v>115.12</v>
      </c>
      <c r="F190" s="10">
        <v>115.35</v>
      </c>
      <c r="G190" s="10">
        <v>114.8</v>
      </c>
      <c r="H190" s="10">
        <v>115.3</v>
      </c>
      <c r="I190" s="11">
        <v>3040718</v>
      </c>
      <c r="J190" s="10">
        <v>25366000000</v>
      </c>
      <c r="K190" s="30">
        <f t="shared" si="12"/>
        <v>0.15635858234884695</v>
      </c>
      <c r="L190" s="31">
        <f t="shared" si="13"/>
        <v>0.54999999999999716</v>
      </c>
      <c r="M190" s="30">
        <f t="shared" si="14"/>
        <v>4.7776233495482722E-3</v>
      </c>
      <c r="N190" s="20" t="str">
        <f t="shared" si="17"/>
        <v>High volume</v>
      </c>
      <c r="O190" s="32">
        <f t="shared" si="15"/>
        <v>25.366</v>
      </c>
      <c r="P190" s="20">
        <f t="shared" si="16"/>
        <v>2</v>
      </c>
      <c r="Q190" s="20" t="str" cm="1">
        <f t="array" ref="Q190">_xlfn.IFS(P190&lt;=3,"Q1",P190&lt;=6,"Q2",P190&lt;=9,"Q3",P190&lt;=12,"Q4")</f>
        <v>Q1</v>
      </c>
    </row>
    <row r="191" spans="1:17" x14ac:dyDescent="0.25">
      <c r="A191" s="14">
        <v>45712</v>
      </c>
      <c r="B191" s="15" t="s">
        <v>76</v>
      </c>
      <c r="C191" s="15" t="s">
        <v>77</v>
      </c>
      <c r="D191" s="15" t="s">
        <v>75</v>
      </c>
      <c r="E191" s="16">
        <v>128.22999999999999</v>
      </c>
      <c r="F191" s="16">
        <v>128.24</v>
      </c>
      <c r="G191" s="16">
        <v>127.59</v>
      </c>
      <c r="H191" s="16">
        <v>127.68</v>
      </c>
      <c r="I191" s="17">
        <v>4824880</v>
      </c>
      <c r="J191" s="16">
        <v>25536000000</v>
      </c>
      <c r="K191" s="30">
        <f t="shared" si="12"/>
        <v>-0.42891679014269901</v>
      </c>
      <c r="L191" s="31">
        <f t="shared" si="13"/>
        <v>0.65000000000000568</v>
      </c>
      <c r="M191" s="30">
        <f t="shared" si="14"/>
        <v>5.0690166107775535E-3</v>
      </c>
      <c r="N191" s="20" t="str">
        <f t="shared" si="17"/>
        <v>High volume</v>
      </c>
      <c r="O191" s="32">
        <f t="shared" si="15"/>
        <v>25.536000000000001</v>
      </c>
      <c r="P191" s="20">
        <f t="shared" si="16"/>
        <v>2</v>
      </c>
      <c r="Q191" s="20" t="str" cm="1">
        <f t="array" ref="Q191">_xlfn.IFS(P191&lt;=3,"Q1",P191&lt;=6,"Q2",P191&lt;=9,"Q3",P191&lt;=12,"Q4")</f>
        <v>Q1</v>
      </c>
    </row>
    <row r="192" spans="1:17" x14ac:dyDescent="0.25">
      <c r="A192" s="8">
        <v>45713</v>
      </c>
      <c r="B192" s="9" t="s">
        <v>60</v>
      </c>
      <c r="C192" s="9" t="s">
        <v>61</v>
      </c>
      <c r="D192" s="9" t="s">
        <v>62</v>
      </c>
      <c r="E192" s="10">
        <v>3257.84</v>
      </c>
      <c r="F192" s="10">
        <v>3275.27</v>
      </c>
      <c r="G192" s="10">
        <v>3237.05</v>
      </c>
      <c r="H192" s="10">
        <v>3243.34</v>
      </c>
      <c r="I192" s="11">
        <v>4342032</v>
      </c>
      <c r="J192" s="10">
        <v>4540676000000</v>
      </c>
      <c r="K192" s="30">
        <f t="shared" si="12"/>
        <v>-0.44508017582201703</v>
      </c>
      <c r="L192" s="31">
        <f t="shared" si="13"/>
        <v>38.2199999999998</v>
      </c>
      <c r="M192" s="30">
        <f t="shared" si="14"/>
        <v>1.1731699530977519E-2</v>
      </c>
      <c r="N192" s="20" t="str">
        <f t="shared" si="17"/>
        <v>High volume</v>
      </c>
      <c r="O192" s="32">
        <f t="shared" si="15"/>
        <v>4540.6760000000004</v>
      </c>
      <c r="P192" s="20">
        <f t="shared" si="16"/>
        <v>2</v>
      </c>
      <c r="Q192" s="20" t="str" cm="1">
        <f t="array" ref="Q192">_xlfn.IFS(P192&lt;=3,"Q1",P192&lt;=6,"Q2",P192&lt;=9,"Q3",P192&lt;=12,"Q4")</f>
        <v>Q1</v>
      </c>
    </row>
    <row r="193" spans="1:17" x14ac:dyDescent="0.25">
      <c r="A193" s="14">
        <v>45713</v>
      </c>
      <c r="B193" s="15" t="s">
        <v>65</v>
      </c>
      <c r="C193" s="15" t="s">
        <v>66</v>
      </c>
      <c r="D193" s="15" t="s">
        <v>67</v>
      </c>
      <c r="E193" s="16">
        <v>205.57</v>
      </c>
      <c r="F193" s="16">
        <v>206.92</v>
      </c>
      <c r="G193" s="16">
        <v>205.29</v>
      </c>
      <c r="H193" s="16">
        <v>206.71</v>
      </c>
      <c r="I193" s="17">
        <v>1266113</v>
      </c>
      <c r="J193" s="16">
        <v>51677500000</v>
      </c>
      <c r="K193" s="30">
        <f t="shared" si="12"/>
        <v>0.55455562582089546</v>
      </c>
      <c r="L193" s="31">
        <f t="shared" si="13"/>
        <v>1.6299999999999955</v>
      </c>
      <c r="M193" s="30">
        <f t="shared" si="14"/>
        <v>7.9291725446319766E-3</v>
      </c>
      <c r="N193" s="20" t="str">
        <f t="shared" si="17"/>
        <v>Normal</v>
      </c>
      <c r="O193" s="32">
        <f t="shared" si="15"/>
        <v>51.677500000000002</v>
      </c>
      <c r="P193" s="20">
        <f t="shared" si="16"/>
        <v>2</v>
      </c>
      <c r="Q193" s="20" t="str" cm="1">
        <f t="array" ref="Q193">_xlfn.IFS(P193&lt;=3,"Q1",P193&lt;=6,"Q2",P193&lt;=9,"Q3",P193&lt;=12,"Q4")</f>
        <v>Q1</v>
      </c>
    </row>
    <row r="194" spans="1:17" x14ac:dyDescent="0.25">
      <c r="A194" s="8">
        <v>45713</v>
      </c>
      <c r="B194" s="9" t="s">
        <v>69</v>
      </c>
      <c r="C194" s="9" t="s">
        <v>70</v>
      </c>
      <c r="D194" s="9" t="s">
        <v>71</v>
      </c>
      <c r="E194" s="10">
        <v>564.21</v>
      </c>
      <c r="F194" s="10">
        <v>564.55999999999995</v>
      </c>
      <c r="G194" s="10">
        <v>564.13</v>
      </c>
      <c r="H194" s="10">
        <v>564.41999999999996</v>
      </c>
      <c r="I194" s="11">
        <v>3633729</v>
      </c>
      <c r="J194" s="10">
        <v>451536000000</v>
      </c>
      <c r="K194" s="30">
        <f t="shared" si="12"/>
        <v>3.7220183974038507E-2</v>
      </c>
      <c r="L194" s="31">
        <f t="shared" si="13"/>
        <v>0.42999999999994998</v>
      </c>
      <c r="M194" s="30">
        <f t="shared" si="14"/>
        <v>7.6212757661145664E-4</v>
      </c>
      <c r="N194" s="20" t="str">
        <f t="shared" si="17"/>
        <v>High volume</v>
      </c>
      <c r="O194" s="32">
        <f t="shared" si="15"/>
        <v>451.536</v>
      </c>
      <c r="P194" s="20">
        <f t="shared" si="16"/>
        <v>2</v>
      </c>
      <c r="Q194" s="20" t="str" cm="1">
        <f t="array" ref="Q194">_xlfn.IFS(P194&lt;=3,"Q1",P194&lt;=6,"Q2",P194&lt;=9,"Q3",P194&lt;=12,"Q4")</f>
        <v>Q1</v>
      </c>
    </row>
    <row r="195" spans="1:17" x14ac:dyDescent="0.25">
      <c r="A195" s="14">
        <v>45713</v>
      </c>
      <c r="B195" s="15" t="s">
        <v>73</v>
      </c>
      <c r="C195" s="15" t="s">
        <v>74</v>
      </c>
      <c r="D195" s="15" t="s">
        <v>75</v>
      </c>
      <c r="E195" s="16">
        <v>114.09</v>
      </c>
      <c r="F195" s="16">
        <v>115.7</v>
      </c>
      <c r="G195" s="16">
        <v>113.75</v>
      </c>
      <c r="H195" s="16">
        <v>114.46</v>
      </c>
      <c r="I195" s="17">
        <v>3609931</v>
      </c>
      <c r="J195" s="16">
        <v>25181200000</v>
      </c>
      <c r="K195" s="30">
        <f t="shared" ref="K195:K258" si="18">((H195-E195)/E195)*100</f>
        <v>0.3243053729511704</v>
      </c>
      <c r="L195" s="31">
        <f t="shared" ref="L195:L258" si="19">F195-G195</f>
        <v>1.9500000000000028</v>
      </c>
      <c r="M195" s="30">
        <f t="shared" ref="M195:M258" si="20">L195/E195</f>
        <v>1.7091769655535129E-2</v>
      </c>
      <c r="N195" s="20" t="str">
        <f t="shared" si="17"/>
        <v>High volume</v>
      </c>
      <c r="O195" s="32">
        <f t="shared" ref="O195:O258" si="21">J195/1000000000</f>
        <v>25.1812</v>
      </c>
      <c r="P195" s="20">
        <f t="shared" ref="P195:P258" si="22">MONTH(A195)</f>
        <v>2</v>
      </c>
      <c r="Q195" s="20" t="str" cm="1">
        <f t="array" ref="Q195">_xlfn.IFS(P195&lt;=3,"Q1",P195&lt;=6,"Q2",P195&lt;=9,"Q3",P195&lt;=12,"Q4")</f>
        <v>Q1</v>
      </c>
    </row>
    <row r="196" spans="1:17" x14ac:dyDescent="0.25">
      <c r="A196" s="8">
        <v>45713</v>
      </c>
      <c r="B196" s="9" t="s">
        <v>76</v>
      </c>
      <c r="C196" s="9" t="s">
        <v>77</v>
      </c>
      <c r="D196" s="9" t="s">
        <v>75</v>
      </c>
      <c r="E196" s="10">
        <v>130.07</v>
      </c>
      <c r="F196" s="10">
        <v>130.18</v>
      </c>
      <c r="G196" s="10">
        <v>128.58000000000001</v>
      </c>
      <c r="H196" s="10">
        <v>129.66</v>
      </c>
      <c r="I196" s="11">
        <v>3496273</v>
      </c>
      <c r="J196" s="10">
        <v>25932000000</v>
      </c>
      <c r="K196" s="30">
        <f t="shared" si="18"/>
        <v>-0.31521488429307037</v>
      </c>
      <c r="L196" s="31">
        <f t="shared" si="19"/>
        <v>1.5999999999999943</v>
      </c>
      <c r="M196" s="30">
        <f t="shared" si="20"/>
        <v>1.2301068655339389E-2</v>
      </c>
      <c r="N196" s="20" t="str">
        <f t="shared" ref="N196:N259" si="23">IF(I196&gt;2000000,"High volume","Normal")</f>
        <v>High volume</v>
      </c>
      <c r="O196" s="32">
        <f t="shared" si="21"/>
        <v>25.931999999999999</v>
      </c>
      <c r="P196" s="20">
        <f t="shared" si="22"/>
        <v>2</v>
      </c>
      <c r="Q196" s="20" t="str" cm="1">
        <f t="array" ref="Q196">_xlfn.IFS(P196&lt;=3,"Q1",P196&lt;=6,"Q2",P196&lt;=9,"Q3",P196&lt;=12,"Q4")</f>
        <v>Q1</v>
      </c>
    </row>
    <row r="197" spans="1:17" x14ac:dyDescent="0.25">
      <c r="A197" s="14">
        <v>45714</v>
      </c>
      <c r="B197" s="15" t="s">
        <v>60</v>
      </c>
      <c r="C197" s="15" t="s">
        <v>61</v>
      </c>
      <c r="D197" s="15" t="s">
        <v>62</v>
      </c>
      <c r="E197" s="16">
        <v>3264.37</v>
      </c>
      <c r="F197" s="16">
        <v>3291.62</v>
      </c>
      <c r="G197" s="16">
        <v>3208.68</v>
      </c>
      <c r="H197" s="16">
        <v>3217.67</v>
      </c>
      <c r="I197" s="17">
        <v>2261440</v>
      </c>
      <c r="J197" s="16">
        <v>4504738000000</v>
      </c>
      <c r="K197" s="30">
        <f t="shared" si="18"/>
        <v>-1.4305976344593236</v>
      </c>
      <c r="L197" s="31">
        <f t="shared" si="19"/>
        <v>82.940000000000055</v>
      </c>
      <c r="M197" s="30">
        <f t="shared" si="20"/>
        <v>2.5407659058256281E-2</v>
      </c>
      <c r="N197" s="20" t="str">
        <f t="shared" si="23"/>
        <v>High volume</v>
      </c>
      <c r="O197" s="32">
        <f t="shared" si="21"/>
        <v>4504.7380000000003</v>
      </c>
      <c r="P197" s="20">
        <f t="shared" si="22"/>
        <v>2</v>
      </c>
      <c r="Q197" s="20" t="str" cm="1">
        <f t="array" ref="Q197">_xlfn.IFS(P197&lt;=3,"Q1",P197&lt;=6,"Q2",P197&lt;=9,"Q3",P197&lt;=12,"Q4")</f>
        <v>Q1</v>
      </c>
    </row>
    <row r="198" spans="1:17" x14ac:dyDescent="0.25">
      <c r="A198" s="8">
        <v>45714</v>
      </c>
      <c r="B198" s="9" t="s">
        <v>65</v>
      </c>
      <c r="C198" s="9" t="s">
        <v>66</v>
      </c>
      <c r="D198" s="9" t="s">
        <v>67</v>
      </c>
      <c r="E198" s="10">
        <v>202.51</v>
      </c>
      <c r="F198" s="10">
        <v>202.91</v>
      </c>
      <c r="G198" s="10">
        <v>201.16</v>
      </c>
      <c r="H198" s="10">
        <v>202.23</v>
      </c>
      <c r="I198" s="11">
        <v>830302</v>
      </c>
      <c r="J198" s="10">
        <v>50557500000</v>
      </c>
      <c r="K198" s="30">
        <f t="shared" si="18"/>
        <v>-0.13826477704804757</v>
      </c>
      <c r="L198" s="31">
        <f t="shared" si="19"/>
        <v>1.75</v>
      </c>
      <c r="M198" s="30">
        <f t="shared" si="20"/>
        <v>8.6415485655029385E-3</v>
      </c>
      <c r="N198" s="20" t="str">
        <f t="shared" si="23"/>
        <v>Normal</v>
      </c>
      <c r="O198" s="32">
        <f t="shared" si="21"/>
        <v>50.557499999999997</v>
      </c>
      <c r="P198" s="20">
        <f t="shared" si="22"/>
        <v>2</v>
      </c>
      <c r="Q198" s="20" t="str" cm="1">
        <f t="array" ref="Q198">_xlfn.IFS(P198&lt;=3,"Q1",P198&lt;=6,"Q2",P198&lt;=9,"Q3",P198&lt;=12,"Q4")</f>
        <v>Q1</v>
      </c>
    </row>
    <row r="199" spans="1:17" x14ac:dyDescent="0.25">
      <c r="A199" s="14">
        <v>45714</v>
      </c>
      <c r="B199" s="15" t="s">
        <v>69</v>
      </c>
      <c r="C199" s="15" t="s">
        <v>70</v>
      </c>
      <c r="D199" s="15" t="s">
        <v>71</v>
      </c>
      <c r="E199" s="16">
        <v>561.89</v>
      </c>
      <c r="F199" s="16">
        <v>565.20000000000005</v>
      </c>
      <c r="G199" s="16">
        <v>558.11</v>
      </c>
      <c r="H199" s="16">
        <v>563.08000000000004</v>
      </c>
      <c r="I199" s="17">
        <v>3725033</v>
      </c>
      <c r="J199" s="16">
        <v>450464000000</v>
      </c>
      <c r="K199" s="30">
        <f t="shared" si="18"/>
        <v>0.2117852248660867</v>
      </c>
      <c r="L199" s="31">
        <f t="shared" si="19"/>
        <v>7.0900000000000318</v>
      </c>
      <c r="M199" s="30">
        <f t="shared" si="20"/>
        <v>1.2618128103365484E-2</v>
      </c>
      <c r="N199" s="20" t="str">
        <f t="shared" si="23"/>
        <v>High volume</v>
      </c>
      <c r="O199" s="32">
        <f t="shared" si="21"/>
        <v>450.464</v>
      </c>
      <c r="P199" s="20">
        <f t="shared" si="22"/>
        <v>2</v>
      </c>
      <c r="Q199" s="20" t="str" cm="1">
        <f t="array" ref="Q199">_xlfn.IFS(P199&lt;=3,"Q1",P199&lt;=6,"Q2",P199&lt;=9,"Q3",P199&lt;=12,"Q4")</f>
        <v>Q1</v>
      </c>
    </row>
    <row r="200" spans="1:17" x14ac:dyDescent="0.25">
      <c r="A200" s="8">
        <v>45714</v>
      </c>
      <c r="B200" s="9" t="s">
        <v>73</v>
      </c>
      <c r="C200" s="9" t="s">
        <v>74</v>
      </c>
      <c r="D200" s="9" t="s">
        <v>75</v>
      </c>
      <c r="E200" s="10">
        <v>114.87</v>
      </c>
      <c r="F200" s="10">
        <v>115.06</v>
      </c>
      <c r="G200" s="10">
        <v>111.9</v>
      </c>
      <c r="H200" s="10">
        <v>112.27</v>
      </c>
      <c r="I200" s="11">
        <v>2269645</v>
      </c>
      <c r="J200" s="10">
        <v>24699400000</v>
      </c>
      <c r="K200" s="30">
        <f t="shared" si="18"/>
        <v>-2.2634282232088521</v>
      </c>
      <c r="L200" s="31">
        <f t="shared" si="19"/>
        <v>3.1599999999999966</v>
      </c>
      <c r="M200" s="30">
        <f t="shared" si="20"/>
        <v>2.750935840515362E-2</v>
      </c>
      <c r="N200" s="20" t="str">
        <f t="shared" si="23"/>
        <v>High volume</v>
      </c>
      <c r="O200" s="32">
        <f t="shared" si="21"/>
        <v>24.699400000000001</v>
      </c>
      <c r="P200" s="20">
        <f t="shared" si="22"/>
        <v>2</v>
      </c>
      <c r="Q200" s="20" t="str" cm="1">
        <f t="array" ref="Q200">_xlfn.IFS(P200&lt;=3,"Q1",P200&lt;=6,"Q2",P200&lt;=9,"Q3",P200&lt;=12,"Q4")</f>
        <v>Q1</v>
      </c>
    </row>
    <row r="201" spans="1:17" x14ac:dyDescent="0.25">
      <c r="A201" s="14">
        <v>45714</v>
      </c>
      <c r="B201" s="15" t="s">
        <v>76</v>
      </c>
      <c r="C201" s="15" t="s">
        <v>77</v>
      </c>
      <c r="D201" s="15" t="s">
        <v>75</v>
      </c>
      <c r="E201" s="16">
        <v>131.18</v>
      </c>
      <c r="F201" s="16">
        <v>131.61000000000001</v>
      </c>
      <c r="G201" s="16">
        <v>130.81</v>
      </c>
      <c r="H201" s="16">
        <v>131.16999999999999</v>
      </c>
      <c r="I201" s="17">
        <v>4831463</v>
      </c>
      <c r="J201" s="16">
        <v>26234000000</v>
      </c>
      <c r="K201" s="30">
        <f t="shared" si="18"/>
        <v>-7.6231132794780665E-3</v>
      </c>
      <c r="L201" s="31">
        <f t="shared" si="19"/>
        <v>0.80000000000001137</v>
      </c>
      <c r="M201" s="30">
        <f t="shared" si="20"/>
        <v>6.098490623570753E-3</v>
      </c>
      <c r="N201" s="20" t="str">
        <f t="shared" si="23"/>
        <v>High volume</v>
      </c>
      <c r="O201" s="32">
        <f t="shared" si="21"/>
        <v>26.234000000000002</v>
      </c>
      <c r="P201" s="20">
        <f t="shared" si="22"/>
        <v>2</v>
      </c>
      <c r="Q201" s="20" t="str" cm="1">
        <f t="array" ref="Q201">_xlfn.IFS(P201&lt;=3,"Q1",P201&lt;=6,"Q2",P201&lt;=9,"Q3",P201&lt;=12,"Q4")</f>
        <v>Q1</v>
      </c>
    </row>
    <row r="202" spans="1:17" x14ac:dyDescent="0.25">
      <c r="A202" s="8">
        <v>45715</v>
      </c>
      <c r="B202" s="9" t="s">
        <v>60</v>
      </c>
      <c r="C202" s="9" t="s">
        <v>61</v>
      </c>
      <c r="D202" s="9" t="s">
        <v>62</v>
      </c>
      <c r="E202" s="10">
        <v>3148.88</v>
      </c>
      <c r="F202" s="10">
        <v>3169.06</v>
      </c>
      <c r="G202" s="10">
        <v>3134.16</v>
      </c>
      <c r="H202" s="10">
        <v>3137.62</v>
      </c>
      <c r="I202" s="11">
        <v>4404940</v>
      </c>
      <c r="J202" s="10">
        <v>4392668000000</v>
      </c>
      <c r="K202" s="30">
        <f t="shared" si="18"/>
        <v>-0.35758745966820643</v>
      </c>
      <c r="L202" s="31">
        <f t="shared" si="19"/>
        <v>34.900000000000091</v>
      </c>
      <c r="M202" s="30">
        <f t="shared" si="20"/>
        <v>1.1083305810319887E-2</v>
      </c>
      <c r="N202" s="20" t="str">
        <f t="shared" si="23"/>
        <v>High volume</v>
      </c>
      <c r="O202" s="32">
        <f t="shared" si="21"/>
        <v>4392.6679999999997</v>
      </c>
      <c r="P202" s="20">
        <f t="shared" si="22"/>
        <v>2</v>
      </c>
      <c r="Q202" s="20" t="str" cm="1">
        <f t="array" ref="Q202">_xlfn.IFS(P202&lt;=3,"Q1",P202&lt;=6,"Q2",P202&lt;=9,"Q3",P202&lt;=12,"Q4")</f>
        <v>Q1</v>
      </c>
    </row>
    <row r="203" spans="1:17" x14ac:dyDescent="0.25">
      <c r="A203" s="14">
        <v>45715</v>
      </c>
      <c r="B203" s="15" t="s">
        <v>65</v>
      </c>
      <c r="C203" s="15" t="s">
        <v>66</v>
      </c>
      <c r="D203" s="15" t="s">
        <v>67</v>
      </c>
      <c r="E203" s="16">
        <v>204.86</v>
      </c>
      <c r="F203" s="16">
        <v>207.76</v>
      </c>
      <c r="G203" s="16">
        <v>202.28</v>
      </c>
      <c r="H203" s="16">
        <v>203.81</v>
      </c>
      <c r="I203" s="17">
        <v>3408230</v>
      </c>
      <c r="J203" s="16">
        <v>50952500000</v>
      </c>
      <c r="K203" s="30">
        <f t="shared" si="18"/>
        <v>-0.51254515278727486</v>
      </c>
      <c r="L203" s="31">
        <f t="shared" si="19"/>
        <v>5.4799999999999898</v>
      </c>
      <c r="M203" s="30">
        <f t="shared" si="20"/>
        <v>2.6749975593087911E-2</v>
      </c>
      <c r="N203" s="20" t="str">
        <f t="shared" si="23"/>
        <v>High volume</v>
      </c>
      <c r="O203" s="32">
        <f t="shared" si="21"/>
        <v>50.952500000000001</v>
      </c>
      <c r="P203" s="20">
        <f t="shared" si="22"/>
        <v>2</v>
      </c>
      <c r="Q203" s="20" t="str" cm="1">
        <f t="array" ref="Q203">_xlfn.IFS(P203&lt;=3,"Q1",P203&lt;=6,"Q2",P203&lt;=9,"Q3",P203&lt;=12,"Q4")</f>
        <v>Q1</v>
      </c>
    </row>
    <row r="204" spans="1:17" x14ac:dyDescent="0.25">
      <c r="A204" s="8">
        <v>45715</v>
      </c>
      <c r="B204" s="9" t="s">
        <v>69</v>
      </c>
      <c r="C204" s="9" t="s">
        <v>70</v>
      </c>
      <c r="D204" s="9" t="s">
        <v>71</v>
      </c>
      <c r="E204" s="10">
        <v>565.05999999999995</v>
      </c>
      <c r="F204" s="10">
        <v>569.86</v>
      </c>
      <c r="G204" s="10">
        <v>564.69000000000005</v>
      </c>
      <c r="H204" s="10">
        <v>569.76</v>
      </c>
      <c r="I204" s="11">
        <v>3381428</v>
      </c>
      <c r="J204" s="10">
        <v>455808000000</v>
      </c>
      <c r="K204" s="30">
        <f t="shared" si="18"/>
        <v>0.83177007751390042</v>
      </c>
      <c r="L204" s="31">
        <f t="shared" si="19"/>
        <v>5.1699999999999591</v>
      </c>
      <c r="M204" s="30">
        <f t="shared" si="20"/>
        <v>9.1494708526527434E-3</v>
      </c>
      <c r="N204" s="20" t="str">
        <f t="shared" si="23"/>
        <v>High volume</v>
      </c>
      <c r="O204" s="32">
        <f t="shared" si="21"/>
        <v>455.80799999999999</v>
      </c>
      <c r="P204" s="20">
        <f t="shared" si="22"/>
        <v>2</v>
      </c>
      <c r="Q204" s="20" t="str" cm="1">
        <f t="array" ref="Q204">_xlfn.IFS(P204&lt;=3,"Q1",P204&lt;=6,"Q2",P204&lt;=9,"Q3",P204&lt;=12,"Q4")</f>
        <v>Q1</v>
      </c>
    </row>
    <row r="205" spans="1:17" x14ac:dyDescent="0.25">
      <c r="A205" s="14">
        <v>45715</v>
      </c>
      <c r="B205" s="15" t="s">
        <v>73</v>
      </c>
      <c r="C205" s="15" t="s">
        <v>74</v>
      </c>
      <c r="D205" s="15" t="s">
        <v>75</v>
      </c>
      <c r="E205" s="16">
        <v>113.88</v>
      </c>
      <c r="F205" s="16">
        <v>116.3</v>
      </c>
      <c r="G205" s="16">
        <v>113.19</v>
      </c>
      <c r="H205" s="16">
        <v>114.31</v>
      </c>
      <c r="I205" s="17">
        <v>3639837</v>
      </c>
      <c r="J205" s="16">
        <v>25148200000</v>
      </c>
      <c r="K205" s="30">
        <f t="shared" si="18"/>
        <v>0.37759044608360276</v>
      </c>
      <c r="L205" s="31">
        <f t="shared" si="19"/>
        <v>3.1099999999999994</v>
      </c>
      <c r="M205" s="30">
        <f t="shared" si="20"/>
        <v>2.7309448542325251E-2</v>
      </c>
      <c r="N205" s="20" t="str">
        <f t="shared" si="23"/>
        <v>High volume</v>
      </c>
      <c r="O205" s="32">
        <f t="shared" si="21"/>
        <v>25.148199999999999</v>
      </c>
      <c r="P205" s="20">
        <f t="shared" si="22"/>
        <v>2</v>
      </c>
      <c r="Q205" s="20" t="str" cm="1">
        <f t="array" ref="Q205">_xlfn.IFS(P205&lt;=3,"Q1",P205&lt;=6,"Q2",P205&lt;=9,"Q3",P205&lt;=12,"Q4")</f>
        <v>Q1</v>
      </c>
    </row>
    <row r="206" spans="1:17" x14ac:dyDescent="0.25">
      <c r="A206" s="8">
        <v>45715</v>
      </c>
      <c r="B206" s="9" t="s">
        <v>76</v>
      </c>
      <c r="C206" s="9" t="s">
        <v>77</v>
      </c>
      <c r="D206" s="9" t="s">
        <v>75</v>
      </c>
      <c r="E206" s="10">
        <v>130.36000000000001</v>
      </c>
      <c r="F206" s="10">
        <v>133.06</v>
      </c>
      <c r="G206" s="10">
        <v>128.51</v>
      </c>
      <c r="H206" s="10">
        <v>128.93</v>
      </c>
      <c r="I206" s="11">
        <v>2079272</v>
      </c>
      <c r="J206" s="10">
        <v>25786000000</v>
      </c>
      <c r="K206" s="30">
        <f t="shared" si="18"/>
        <v>-1.0969622583614658</v>
      </c>
      <c r="L206" s="31">
        <f t="shared" si="19"/>
        <v>4.5500000000000114</v>
      </c>
      <c r="M206" s="30">
        <f t="shared" si="20"/>
        <v>3.4903344584228377E-2</v>
      </c>
      <c r="N206" s="20" t="str">
        <f t="shared" si="23"/>
        <v>High volume</v>
      </c>
      <c r="O206" s="32">
        <f t="shared" si="21"/>
        <v>25.786000000000001</v>
      </c>
      <c r="P206" s="20">
        <f t="shared" si="22"/>
        <v>2</v>
      </c>
      <c r="Q206" s="20" t="str" cm="1">
        <f t="array" ref="Q206">_xlfn.IFS(P206&lt;=3,"Q1",P206&lt;=6,"Q2",P206&lt;=9,"Q3",P206&lt;=12,"Q4")</f>
        <v>Q1</v>
      </c>
    </row>
    <row r="207" spans="1:17" x14ac:dyDescent="0.25">
      <c r="A207" s="14">
        <v>45716</v>
      </c>
      <c r="B207" s="15" t="s">
        <v>60</v>
      </c>
      <c r="C207" s="15" t="s">
        <v>61</v>
      </c>
      <c r="D207" s="15" t="s">
        <v>62</v>
      </c>
      <c r="E207" s="16">
        <v>3110.61</v>
      </c>
      <c r="F207" s="16">
        <v>3131.72</v>
      </c>
      <c r="G207" s="16">
        <v>3084.53</v>
      </c>
      <c r="H207" s="16">
        <v>3085.54</v>
      </c>
      <c r="I207" s="17">
        <v>3097677</v>
      </c>
      <c r="J207" s="16">
        <v>4319756000000</v>
      </c>
      <c r="K207" s="30">
        <f t="shared" si="18"/>
        <v>-0.80595124428971043</v>
      </c>
      <c r="L207" s="31">
        <f t="shared" si="19"/>
        <v>47.1899999999996</v>
      </c>
      <c r="M207" s="30">
        <f t="shared" si="20"/>
        <v>1.5170657845245659E-2</v>
      </c>
      <c r="N207" s="20" t="str">
        <f t="shared" si="23"/>
        <v>High volume</v>
      </c>
      <c r="O207" s="32">
        <f t="shared" si="21"/>
        <v>4319.7560000000003</v>
      </c>
      <c r="P207" s="20">
        <f t="shared" si="22"/>
        <v>2</v>
      </c>
      <c r="Q207" s="20" t="str" cm="1">
        <f t="array" ref="Q207">_xlfn.IFS(P207&lt;=3,"Q1",P207&lt;=6,"Q2",P207&lt;=9,"Q3",P207&lt;=12,"Q4")</f>
        <v>Q1</v>
      </c>
    </row>
    <row r="208" spans="1:17" x14ac:dyDescent="0.25">
      <c r="A208" s="8">
        <v>45716</v>
      </c>
      <c r="B208" s="9" t="s">
        <v>65</v>
      </c>
      <c r="C208" s="9" t="s">
        <v>66</v>
      </c>
      <c r="D208" s="9" t="s">
        <v>67</v>
      </c>
      <c r="E208" s="10">
        <v>203.91</v>
      </c>
      <c r="F208" s="10">
        <v>204.76</v>
      </c>
      <c r="G208" s="10">
        <v>203.34</v>
      </c>
      <c r="H208" s="10">
        <v>204.43</v>
      </c>
      <c r="I208" s="11">
        <v>2037761</v>
      </c>
      <c r="J208" s="10">
        <v>51107500000</v>
      </c>
      <c r="K208" s="30">
        <f t="shared" si="18"/>
        <v>0.25501446716689241</v>
      </c>
      <c r="L208" s="31">
        <f t="shared" si="19"/>
        <v>1.4199999999999875</v>
      </c>
      <c r="M208" s="30">
        <f t="shared" si="20"/>
        <v>6.9638566034034011E-3</v>
      </c>
      <c r="N208" s="20" t="str">
        <f t="shared" si="23"/>
        <v>High volume</v>
      </c>
      <c r="O208" s="32">
        <f t="shared" si="21"/>
        <v>51.107500000000002</v>
      </c>
      <c r="P208" s="20">
        <f t="shared" si="22"/>
        <v>2</v>
      </c>
      <c r="Q208" s="20" t="str" cm="1">
        <f t="array" ref="Q208">_xlfn.IFS(P208&lt;=3,"Q1",P208&lt;=6,"Q2",P208&lt;=9,"Q3",P208&lt;=12,"Q4")</f>
        <v>Q1</v>
      </c>
    </row>
    <row r="209" spans="1:17" x14ac:dyDescent="0.25">
      <c r="A209" s="14">
        <v>45716</v>
      </c>
      <c r="B209" s="15" t="s">
        <v>69</v>
      </c>
      <c r="C209" s="15" t="s">
        <v>70</v>
      </c>
      <c r="D209" s="15" t="s">
        <v>71</v>
      </c>
      <c r="E209" s="16">
        <v>568.6</v>
      </c>
      <c r="F209" s="16">
        <v>575.73</v>
      </c>
      <c r="G209" s="16">
        <v>564.29999999999995</v>
      </c>
      <c r="H209" s="16">
        <v>566.96</v>
      </c>
      <c r="I209" s="17">
        <v>1537774</v>
      </c>
      <c r="J209" s="16">
        <v>453568000000</v>
      </c>
      <c r="K209" s="30">
        <f t="shared" si="18"/>
        <v>-0.28842771720013827</v>
      </c>
      <c r="L209" s="31">
        <f t="shared" si="19"/>
        <v>11.430000000000064</v>
      </c>
      <c r="M209" s="30">
        <f t="shared" si="20"/>
        <v>2.010200492437577E-2</v>
      </c>
      <c r="N209" s="20" t="str">
        <f t="shared" si="23"/>
        <v>Normal</v>
      </c>
      <c r="O209" s="32">
        <f t="shared" si="21"/>
        <v>453.56799999999998</v>
      </c>
      <c r="P209" s="20">
        <f t="shared" si="22"/>
        <v>2</v>
      </c>
      <c r="Q209" s="20" t="str" cm="1">
        <f t="array" ref="Q209">_xlfn.IFS(P209&lt;=3,"Q1",P209&lt;=6,"Q2",P209&lt;=9,"Q3",P209&lt;=12,"Q4")</f>
        <v>Q1</v>
      </c>
    </row>
    <row r="210" spans="1:17" x14ac:dyDescent="0.25">
      <c r="A210" s="8">
        <v>45716</v>
      </c>
      <c r="B210" s="9" t="s">
        <v>73</v>
      </c>
      <c r="C210" s="9" t="s">
        <v>74</v>
      </c>
      <c r="D210" s="9" t="s">
        <v>75</v>
      </c>
      <c r="E210" s="10">
        <v>114.89</v>
      </c>
      <c r="F210" s="10">
        <v>116.09</v>
      </c>
      <c r="G210" s="10">
        <v>114.44</v>
      </c>
      <c r="H210" s="10">
        <v>116.07</v>
      </c>
      <c r="I210" s="11">
        <v>4831655</v>
      </c>
      <c r="J210" s="10">
        <v>25535400000</v>
      </c>
      <c r="K210" s="30">
        <f t="shared" si="18"/>
        <v>1.0270693707024046</v>
      </c>
      <c r="L210" s="31">
        <f t="shared" si="19"/>
        <v>1.6500000000000057</v>
      </c>
      <c r="M210" s="30">
        <f t="shared" si="20"/>
        <v>1.436156323439817E-2</v>
      </c>
      <c r="N210" s="20" t="str">
        <f t="shared" si="23"/>
        <v>High volume</v>
      </c>
      <c r="O210" s="32">
        <f t="shared" si="21"/>
        <v>25.535399999999999</v>
      </c>
      <c r="P210" s="20">
        <f t="shared" si="22"/>
        <v>2</v>
      </c>
      <c r="Q210" s="20" t="str" cm="1">
        <f t="array" ref="Q210">_xlfn.IFS(P210&lt;=3,"Q1",P210&lt;=6,"Q2",P210&lt;=9,"Q3",P210&lt;=12,"Q4")</f>
        <v>Q1</v>
      </c>
    </row>
    <row r="211" spans="1:17" x14ac:dyDescent="0.25">
      <c r="A211" s="14">
        <v>45716</v>
      </c>
      <c r="B211" s="15" t="s">
        <v>76</v>
      </c>
      <c r="C211" s="15" t="s">
        <v>77</v>
      </c>
      <c r="D211" s="15" t="s">
        <v>75</v>
      </c>
      <c r="E211" s="16">
        <v>134.44</v>
      </c>
      <c r="F211" s="16">
        <v>134.44</v>
      </c>
      <c r="G211" s="16">
        <v>133.77000000000001</v>
      </c>
      <c r="H211" s="16">
        <v>134.21</v>
      </c>
      <c r="I211" s="17">
        <v>516259</v>
      </c>
      <c r="J211" s="16">
        <v>26842000000</v>
      </c>
      <c r="K211" s="30">
        <f t="shared" si="18"/>
        <v>-0.17108003570365202</v>
      </c>
      <c r="L211" s="31">
        <f t="shared" si="19"/>
        <v>0.66999999999998749</v>
      </c>
      <c r="M211" s="30">
        <f t="shared" si="20"/>
        <v>4.9836358226717312E-3</v>
      </c>
      <c r="N211" s="20" t="str">
        <f t="shared" si="23"/>
        <v>Normal</v>
      </c>
      <c r="O211" s="32">
        <f t="shared" si="21"/>
        <v>26.841999999999999</v>
      </c>
      <c r="P211" s="20">
        <f t="shared" si="22"/>
        <v>2</v>
      </c>
      <c r="Q211" s="20" t="str" cm="1">
        <f t="array" ref="Q211">_xlfn.IFS(P211&lt;=3,"Q1",P211&lt;=6,"Q2",P211&lt;=9,"Q3",P211&lt;=12,"Q4")</f>
        <v>Q1</v>
      </c>
    </row>
    <row r="212" spans="1:17" x14ac:dyDescent="0.25">
      <c r="A212" s="8">
        <v>45719</v>
      </c>
      <c r="B212" s="9" t="s">
        <v>60</v>
      </c>
      <c r="C212" s="9" t="s">
        <v>61</v>
      </c>
      <c r="D212" s="9" t="s">
        <v>62</v>
      </c>
      <c r="E212" s="10">
        <v>3115.64</v>
      </c>
      <c r="F212" s="10">
        <v>3132.93</v>
      </c>
      <c r="G212" s="10">
        <v>3107.69</v>
      </c>
      <c r="H212" s="10">
        <v>3108.09</v>
      </c>
      <c r="I212" s="11">
        <v>2526064</v>
      </c>
      <c r="J212" s="10">
        <v>4351326000000</v>
      </c>
      <c r="K212" s="30">
        <f t="shared" si="18"/>
        <v>-0.24232581427891953</v>
      </c>
      <c r="L212" s="31">
        <f t="shared" si="19"/>
        <v>25.239999999999782</v>
      </c>
      <c r="M212" s="30">
        <f t="shared" si="20"/>
        <v>8.1010643078146972E-3</v>
      </c>
      <c r="N212" s="20" t="str">
        <f t="shared" si="23"/>
        <v>High volume</v>
      </c>
      <c r="O212" s="32">
        <f t="shared" si="21"/>
        <v>4351.326</v>
      </c>
      <c r="P212" s="20">
        <f t="shared" si="22"/>
        <v>3</v>
      </c>
      <c r="Q212" s="20" t="str" cm="1">
        <f t="array" ref="Q212">_xlfn.IFS(P212&lt;=3,"Q1",P212&lt;=6,"Q2",P212&lt;=9,"Q3",P212&lt;=12,"Q4")</f>
        <v>Q1</v>
      </c>
    </row>
    <row r="213" spans="1:17" x14ac:dyDescent="0.25">
      <c r="A213" s="14">
        <v>45719</v>
      </c>
      <c r="B213" s="15" t="s">
        <v>65</v>
      </c>
      <c r="C213" s="15" t="s">
        <v>66</v>
      </c>
      <c r="D213" s="15" t="s">
        <v>67</v>
      </c>
      <c r="E213" s="16">
        <v>200.5</v>
      </c>
      <c r="F213" s="16">
        <v>203</v>
      </c>
      <c r="G213" s="16">
        <v>199.65</v>
      </c>
      <c r="H213" s="16">
        <v>201.41</v>
      </c>
      <c r="I213" s="17">
        <v>833163</v>
      </c>
      <c r="J213" s="16">
        <v>50352500000</v>
      </c>
      <c r="K213" s="30">
        <f t="shared" si="18"/>
        <v>0.45386533665835238</v>
      </c>
      <c r="L213" s="31">
        <f t="shared" si="19"/>
        <v>3.3499999999999943</v>
      </c>
      <c r="M213" s="30">
        <f t="shared" si="20"/>
        <v>1.6708229426433886E-2</v>
      </c>
      <c r="N213" s="20" t="str">
        <f t="shared" si="23"/>
        <v>Normal</v>
      </c>
      <c r="O213" s="32">
        <f t="shared" si="21"/>
        <v>50.352499999999999</v>
      </c>
      <c r="P213" s="20">
        <f t="shared" si="22"/>
        <v>3</v>
      </c>
      <c r="Q213" s="20" t="str" cm="1">
        <f t="array" ref="Q213">_xlfn.IFS(P213&lt;=3,"Q1",P213&lt;=6,"Q2",P213&lt;=9,"Q3",P213&lt;=12,"Q4")</f>
        <v>Q1</v>
      </c>
    </row>
    <row r="214" spans="1:17" x14ac:dyDescent="0.25">
      <c r="A214" s="8">
        <v>45719</v>
      </c>
      <c r="B214" s="9" t="s">
        <v>69</v>
      </c>
      <c r="C214" s="9" t="s">
        <v>70</v>
      </c>
      <c r="D214" s="9" t="s">
        <v>71</v>
      </c>
      <c r="E214" s="10">
        <v>552.48</v>
      </c>
      <c r="F214" s="10">
        <v>553.62</v>
      </c>
      <c r="G214" s="10">
        <v>550.36</v>
      </c>
      <c r="H214" s="10">
        <v>552</v>
      </c>
      <c r="I214" s="11">
        <v>663772</v>
      </c>
      <c r="J214" s="10">
        <v>441600000000</v>
      </c>
      <c r="K214" s="30">
        <f t="shared" si="18"/>
        <v>-8.6880973066901637E-2</v>
      </c>
      <c r="L214" s="31">
        <f t="shared" si="19"/>
        <v>3.2599999999999909</v>
      </c>
      <c r="M214" s="30">
        <f t="shared" si="20"/>
        <v>5.900666087460163E-3</v>
      </c>
      <c r="N214" s="20" t="str">
        <f t="shared" si="23"/>
        <v>Normal</v>
      </c>
      <c r="O214" s="32">
        <f t="shared" si="21"/>
        <v>441.6</v>
      </c>
      <c r="P214" s="20">
        <f t="shared" si="22"/>
        <v>3</v>
      </c>
      <c r="Q214" s="20" t="str" cm="1">
        <f t="array" ref="Q214">_xlfn.IFS(P214&lt;=3,"Q1",P214&lt;=6,"Q2",P214&lt;=9,"Q3",P214&lt;=12,"Q4")</f>
        <v>Q1</v>
      </c>
    </row>
    <row r="215" spans="1:17" x14ac:dyDescent="0.25">
      <c r="A215" s="14">
        <v>45719</v>
      </c>
      <c r="B215" s="15" t="s">
        <v>73</v>
      </c>
      <c r="C215" s="15" t="s">
        <v>74</v>
      </c>
      <c r="D215" s="15" t="s">
        <v>75</v>
      </c>
      <c r="E215" s="16">
        <v>116.02</v>
      </c>
      <c r="F215" s="16">
        <v>116.31</v>
      </c>
      <c r="G215" s="16">
        <v>114.01</v>
      </c>
      <c r="H215" s="16">
        <v>115.53</v>
      </c>
      <c r="I215" s="17">
        <v>2830258</v>
      </c>
      <c r="J215" s="16">
        <v>25416600000</v>
      </c>
      <c r="K215" s="30">
        <f t="shared" si="18"/>
        <v>-0.42234097569384149</v>
      </c>
      <c r="L215" s="31">
        <f t="shared" si="19"/>
        <v>2.2999999999999972</v>
      </c>
      <c r="M215" s="30">
        <f t="shared" si="20"/>
        <v>1.9824168246853967E-2</v>
      </c>
      <c r="N215" s="20" t="str">
        <f t="shared" si="23"/>
        <v>High volume</v>
      </c>
      <c r="O215" s="32">
        <f t="shared" si="21"/>
        <v>25.416599999999999</v>
      </c>
      <c r="P215" s="20">
        <f t="shared" si="22"/>
        <v>3</v>
      </c>
      <c r="Q215" s="20" t="str" cm="1">
        <f t="array" ref="Q215">_xlfn.IFS(P215&lt;=3,"Q1",P215&lt;=6,"Q2",P215&lt;=9,"Q3",P215&lt;=12,"Q4")</f>
        <v>Q1</v>
      </c>
    </row>
    <row r="216" spans="1:17" x14ac:dyDescent="0.25">
      <c r="A216" s="8">
        <v>45719</v>
      </c>
      <c r="B216" s="9" t="s">
        <v>76</v>
      </c>
      <c r="C216" s="9" t="s">
        <v>77</v>
      </c>
      <c r="D216" s="9" t="s">
        <v>75</v>
      </c>
      <c r="E216" s="10">
        <v>129.22</v>
      </c>
      <c r="F216" s="10">
        <v>129.91</v>
      </c>
      <c r="G216" s="10">
        <v>128.12</v>
      </c>
      <c r="H216" s="10">
        <v>128.84</v>
      </c>
      <c r="I216" s="11">
        <v>1205649</v>
      </c>
      <c r="J216" s="10">
        <v>25768000000</v>
      </c>
      <c r="K216" s="30">
        <f t="shared" si="18"/>
        <v>-0.29407212505803704</v>
      </c>
      <c r="L216" s="31">
        <f t="shared" si="19"/>
        <v>1.789999999999992</v>
      </c>
      <c r="M216" s="30">
        <f t="shared" si="20"/>
        <v>1.3852344838260269E-2</v>
      </c>
      <c r="N216" s="20" t="str">
        <f t="shared" si="23"/>
        <v>Normal</v>
      </c>
      <c r="O216" s="32">
        <f t="shared" si="21"/>
        <v>25.768000000000001</v>
      </c>
      <c r="P216" s="20">
        <f t="shared" si="22"/>
        <v>3</v>
      </c>
      <c r="Q216" s="20" t="str" cm="1">
        <f t="array" ref="Q216">_xlfn.IFS(P216&lt;=3,"Q1",P216&lt;=6,"Q2",P216&lt;=9,"Q3",P216&lt;=12,"Q4")</f>
        <v>Q1</v>
      </c>
    </row>
    <row r="217" spans="1:17" x14ac:dyDescent="0.25">
      <c r="A217" s="14">
        <v>45720</v>
      </c>
      <c r="B217" s="15" t="s">
        <v>60</v>
      </c>
      <c r="C217" s="15" t="s">
        <v>61</v>
      </c>
      <c r="D217" s="15" t="s">
        <v>62</v>
      </c>
      <c r="E217" s="16">
        <v>3128.57</v>
      </c>
      <c r="F217" s="16">
        <v>3183.36</v>
      </c>
      <c r="G217" s="16">
        <v>3125.22</v>
      </c>
      <c r="H217" s="16">
        <v>3129.49</v>
      </c>
      <c r="I217" s="17">
        <v>977719</v>
      </c>
      <c r="J217" s="16">
        <v>4381286000000</v>
      </c>
      <c r="K217" s="30">
        <f t="shared" si="18"/>
        <v>2.9406406121634421E-2</v>
      </c>
      <c r="L217" s="31">
        <f t="shared" si="19"/>
        <v>58.140000000000327</v>
      </c>
      <c r="M217" s="30">
        <f t="shared" si="20"/>
        <v>1.8583570129484181E-2</v>
      </c>
      <c r="N217" s="20" t="str">
        <f t="shared" si="23"/>
        <v>Normal</v>
      </c>
      <c r="O217" s="32">
        <f t="shared" si="21"/>
        <v>4381.2860000000001</v>
      </c>
      <c r="P217" s="20">
        <f t="shared" si="22"/>
        <v>3</v>
      </c>
      <c r="Q217" s="20" t="str" cm="1">
        <f t="array" ref="Q217">_xlfn.IFS(P217&lt;=3,"Q1",P217&lt;=6,"Q2",P217&lt;=9,"Q3",P217&lt;=12,"Q4")</f>
        <v>Q1</v>
      </c>
    </row>
    <row r="218" spans="1:17" x14ac:dyDescent="0.25">
      <c r="A218" s="8">
        <v>45720</v>
      </c>
      <c r="B218" s="9" t="s">
        <v>65</v>
      </c>
      <c r="C218" s="9" t="s">
        <v>66</v>
      </c>
      <c r="D218" s="9" t="s">
        <v>67</v>
      </c>
      <c r="E218" s="10">
        <v>200.7</v>
      </c>
      <c r="F218" s="10">
        <v>201.52</v>
      </c>
      <c r="G218" s="10">
        <v>199.12</v>
      </c>
      <c r="H218" s="10">
        <v>200.52</v>
      </c>
      <c r="I218" s="11">
        <v>3027853</v>
      </c>
      <c r="J218" s="10">
        <v>50130000000</v>
      </c>
      <c r="K218" s="30">
        <f t="shared" si="18"/>
        <v>-8.968609865469776E-2</v>
      </c>
      <c r="L218" s="31">
        <f t="shared" si="19"/>
        <v>2.4000000000000057</v>
      </c>
      <c r="M218" s="30">
        <f t="shared" si="20"/>
        <v>1.1958146487294498E-2</v>
      </c>
      <c r="N218" s="20" t="str">
        <f t="shared" si="23"/>
        <v>High volume</v>
      </c>
      <c r="O218" s="32">
        <f t="shared" si="21"/>
        <v>50.13</v>
      </c>
      <c r="P218" s="20">
        <f t="shared" si="22"/>
        <v>3</v>
      </c>
      <c r="Q218" s="20" t="str" cm="1">
        <f t="array" ref="Q218">_xlfn.IFS(P218&lt;=3,"Q1",P218&lt;=6,"Q2",P218&lt;=9,"Q3",P218&lt;=12,"Q4")</f>
        <v>Q1</v>
      </c>
    </row>
    <row r="219" spans="1:17" x14ac:dyDescent="0.25">
      <c r="A219" s="14">
        <v>45720</v>
      </c>
      <c r="B219" s="15" t="s">
        <v>69</v>
      </c>
      <c r="C219" s="15" t="s">
        <v>70</v>
      </c>
      <c r="D219" s="15" t="s">
        <v>71</v>
      </c>
      <c r="E219" s="16">
        <v>560.36</v>
      </c>
      <c r="F219" s="16">
        <v>564.79</v>
      </c>
      <c r="G219" s="16">
        <v>556.25</v>
      </c>
      <c r="H219" s="16">
        <v>558.77</v>
      </c>
      <c r="I219" s="17">
        <v>4540869</v>
      </c>
      <c r="J219" s="16">
        <v>447016000000</v>
      </c>
      <c r="K219" s="30">
        <f t="shared" si="18"/>
        <v>-0.28374616318081797</v>
      </c>
      <c r="L219" s="31">
        <f t="shared" si="19"/>
        <v>8.5399999999999636</v>
      </c>
      <c r="M219" s="30">
        <f t="shared" si="20"/>
        <v>1.5240202726818409E-2</v>
      </c>
      <c r="N219" s="20" t="str">
        <f t="shared" si="23"/>
        <v>High volume</v>
      </c>
      <c r="O219" s="32">
        <f t="shared" si="21"/>
        <v>447.01600000000002</v>
      </c>
      <c r="P219" s="20">
        <f t="shared" si="22"/>
        <v>3</v>
      </c>
      <c r="Q219" s="20" t="str" cm="1">
        <f t="array" ref="Q219">_xlfn.IFS(P219&lt;=3,"Q1",P219&lt;=6,"Q2",P219&lt;=9,"Q3",P219&lt;=12,"Q4")</f>
        <v>Q1</v>
      </c>
    </row>
    <row r="220" spans="1:17" x14ac:dyDescent="0.25">
      <c r="A220" s="8">
        <v>45720</v>
      </c>
      <c r="B220" s="9" t="s">
        <v>73</v>
      </c>
      <c r="C220" s="9" t="s">
        <v>74</v>
      </c>
      <c r="D220" s="9" t="s">
        <v>75</v>
      </c>
      <c r="E220" s="10">
        <v>114.93</v>
      </c>
      <c r="F220" s="10">
        <v>115.19</v>
      </c>
      <c r="G220" s="10">
        <v>114.39</v>
      </c>
      <c r="H220" s="10">
        <v>114.91</v>
      </c>
      <c r="I220" s="11">
        <v>4924935</v>
      </c>
      <c r="J220" s="10">
        <v>25280200000</v>
      </c>
      <c r="K220" s="30">
        <f t="shared" si="18"/>
        <v>-1.7401896806760839E-2</v>
      </c>
      <c r="L220" s="31">
        <f t="shared" si="19"/>
        <v>0.79999999999999716</v>
      </c>
      <c r="M220" s="30">
        <f t="shared" si="20"/>
        <v>6.9607587227007491E-3</v>
      </c>
      <c r="N220" s="20" t="str">
        <f t="shared" si="23"/>
        <v>High volume</v>
      </c>
      <c r="O220" s="32">
        <f t="shared" si="21"/>
        <v>25.280200000000001</v>
      </c>
      <c r="P220" s="20">
        <f t="shared" si="22"/>
        <v>3</v>
      </c>
      <c r="Q220" s="20" t="str" cm="1">
        <f t="array" ref="Q220">_xlfn.IFS(P220&lt;=3,"Q1",P220&lt;=6,"Q2",P220&lt;=9,"Q3",P220&lt;=12,"Q4")</f>
        <v>Q1</v>
      </c>
    </row>
    <row r="221" spans="1:17" x14ac:dyDescent="0.25">
      <c r="A221" s="14">
        <v>45720</v>
      </c>
      <c r="B221" s="15" t="s">
        <v>76</v>
      </c>
      <c r="C221" s="15" t="s">
        <v>77</v>
      </c>
      <c r="D221" s="15" t="s">
        <v>75</v>
      </c>
      <c r="E221" s="16">
        <v>125.26</v>
      </c>
      <c r="F221" s="16">
        <v>125.39</v>
      </c>
      <c r="G221" s="16">
        <v>124.57</v>
      </c>
      <c r="H221" s="16">
        <v>124.94</v>
      </c>
      <c r="I221" s="17">
        <v>2216743</v>
      </c>
      <c r="J221" s="16">
        <v>24988000000</v>
      </c>
      <c r="K221" s="30">
        <f t="shared" si="18"/>
        <v>-0.25546862525946623</v>
      </c>
      <c r="L221" s="31">
        <f t="shared" si="19"/>
        <v>0.82000000000000739</v>
      </c>
      <c r="M221" s="30">
        <f t="shared" si="20"/>
        <v>6.5463835222737297E-3</v>
      </c>
      <c r="N221" s="20" t="str">
        <f t="shared" si="23"/>
        <v>High volume</v>
      </c>
      <c r="O221" s="32">
        <f t="shared" si="21"/>
        <v>24.988</v>
      </c>
      <c r="P221" s="20">
        <f t="shared" si="22"/>
        <v>3</v>
      </c>
      <c r="Q221" s="20" t="str" cm="1">
        <f t="array" ref="Q221">_xlfn.IFS(P221&lt;=3,"Q1",P221&lt;=6,"Q2",P221&lt;=9,"Q3",P221&lt;=12,"Q4")</f>
        <v>Q1</v>
      </c>
    </row>
    <row r="222" spans="1:17" x14ac:dyDescent="0.25">
      <c r="A222" s="8">
        <v>45721</v>
      </c>
      <c r="B222" s="9" t="s">
        <v>60</v>
      </c>
      <c r="C222" s="9" t="s">
        <v>61</v>
      </c>
      <c r="D222" s="9" t="s">
        <v>62</v>
      </c>
      <c r="E222" s="10">
        <v>3054.71</v>
      </c>
      <c r="F222" s="10">
        <v>3078.32</v>
      </c>
      <c r="G222" s="10">
        <v>3022.92</v>
      </c>
      <c r="H222" s="10">
        <v>3040.24</v>
      </c>
      <c r="I222" s="11">
        <v>2921637</v>
      </c>
      <c r="J222" s="10">
        <v>4256336000000</v>
      </c>
      <c r="K222" s="30">
        <f t="shared" si="18"/>
        <v>-0.47369472061178491</v>
      </c>
      <c r="L222" s="31">
        <f t="shared" si="19"/>
        <v>55.400000000000091</v>
      </c>
      <c r="M222" s="30">
        <f t="shared" si="20"/>
        <v>1.8135927796746693E-2</v>
      </c>
      <c r="N222" s="20" t="str">
        <f t="shared" si="23"/>
        <v>High volume</v>
      </c>
      <c r="O222" s="32">
        <f t="shared" si="21"/>
        <v>4256.3360000000002</v>
      </c>
      <c r="P222" s="20">
        <f t="shared" si="22"/>
        <v>3</v>
      </c>
      <c r="Q222" s="20" t="str" cm="1">
        <f t="array" ref="Q222">_xlfn.IFS(P222&lt;=3,"Q1",P222&lt;=6,"Q2",P222&lt;=9,"Q3",P222&lt;=12,"Q4")</f>
        <v>Q1</v>
      </c>
    </row>
    <row r="223" spans="1:17" x14ac:dyDescent="0.25">
      <c r="A223" s="14">
        <v>45721</v>
      </c>
      <c r="B223" s="15" t="s">
        <v>65</v>
      </c>
      <c r="C223" s="15" t="s">
        <v>66</v>
      </c>
      <c r="D223" s="15" t="s">
        <v>67</v>
      </c>
      <c r="E223" s="16">
        <v>203.45</v>
      </c>
      <c r="F223" s="16">
        <v>204.25</v>
      </c>
      <c r="G223" s="16">
        <v>202.09</v>
      </c>
      <c r="H223" s="16">
        <v>202.42</v>
      </c>
      <c r="I223" s="17">
        <v>4278447</v>
      </c>
      <c r="J223" s="16">
        <v>50605000000</v>
      </c>
      <c r="K223" s="30">
        <f t="shared" si="18"/>
        <v>-0.50626689604325448</v>
      </c>
      <c r="L223" s="31">
        <f t="shared" si="19"/>
        <v>2.1599999999999966</v>
      </c>
      <c r="M223" s="30">
        <f t="shared" si="20"/>
        <v>1.0616859179159482E-2</v>
      </c>
      <c r="N223" s="20" t="str">
        <f t="shared" si="23"/>
        <v>High volume</v>
      </c>
      <c r="O223" s="32">
        <f t="shared" si="21"/>
        <v>50.604999999999997</v>
      </c>
      <c r="P223" s="20">
        <f t="shared" si="22"/>
        <v>3</v>
      </c>
      <c r="Q223" s="20" t="str" cm="1">
        <f t="array" ref="Q223">_xlfn.IFS(P223&lt;=3,"Q1",P223&lt;=6,"Q2",P223&lt;=9,"Q3",P223&lt;=12,"Q4")</f>
        <v>Q1</v>
      </c>
    </row>
    <row r="224" spans="1:17" x14ac:dyDescent="0.25">
      <c r="A224" s="8">
        <v>45721</v>
      </c>
      <c r="B224" s="9" t="s">
        <v>69</v>
      </c>
      <c r="C224" s="9" t="s">
        <v>70</v>
      </c>
      <c r="D224" s="9" t="s">
        <v>71</v>
      </c>
      <c r="E224" s="10">
        <v>573.32000000000005</v>
      </c>
      <c r="F224" s="10">
        <v>576.87</v>
      </c>
      <c r="G224" s="10">
        <v>571.6</v>
      </c>
      <c r="H224" s="10">
        <v>575.49</v>
      </c>
      <c r="I224" s="11">
        <v>1391487</v>
      </c>
      <c r="J224" s="10">
        <v>460392000000</v>
      </c>
      <c r="K224" s="30">
        <f t="shared" si="18"/>
        <v>0.37849717435288477</v>
      </c>
      <c r="L224" s="31">
        <f t="shared" si="19"/>
        <v>5.2699999999999818</v>
      </c>
      <c r="M224" s="30">
        <f t="shared" si="20"/>
        <v>9.1920742342844856E-3</v>
      </c>
      <c r="N224" s="20" t="str">
        <f t="shared" si="23"/>
        <v>Normal</v>
      </c>
      <c r="O224" s="32">
        <f t="shared" si="21"/>
        <v>460.392</v>
      </c>
      <c r="P224" s="20">
        <f t="shared" si="22"/>
        <v>3</v>
      </c>
      <c r="Q224" s="20" t="str" cm="1">
        <f t="array" ref="Q224">_xlfn.IFS(P224&lt;=3,"Q1",P224&lt;=6,"Q2",P224&lt;=9,"Q3",P224&lt;=12,"Q4")</f>
        <v>Q1</v>
      </c>
    </row>
    <row r="225" spans="1:17" x14ac:dyDescent="0.25">
      <c r="A225" s="14">
        <v>45721</v>
      </c>
      <c r="B225" s="15" t="s">
        <v>73</v>
      </c>
      <c r="C225" s="15" t="s">
        <v>74</v>
      </c>
      <c r="D225" s="15" t="s">
        <v>75</v>
      </c>
      <c r="E225" s="16">
        <v>115.36</v>
      </c>
      <c r="F225" s="16">
        <v>116.51</v>
      </c>
      <c r="G225" s="16">
        <v>114.93</v>
      </c>
      <c r="H225" s="16">
        <v>115.82</v>
      </c>
      <c r="I225" s="17">
        <v>3065270</v>
      </c>
      <c r="J225" s="16">
        <v>25480400000</v>
      </c>
      <c r="K225" s="30">
        <f t="shared" si="18"/>
        <v>0.39875173370318462</v>
      </c>
      <c r="L225" s="31">
        <f t="shared" si="19"/>
        <v>1.5799999999999983</v>
      </c>
      <c r="M225" s="30">
        <f t="shared" si="20"/>
        <v>1.3696255201109555E-2</v>
      </c>
      <c r="N225" s="20" t="str">
        <f t="shared" si="23"/>
        <v>High volume</v>
      </c>
      <c r="O225" s="32">
        <f t="shared" si="21"/>
        <v>25.480399999999999</v>
      </c>
      <c r="P225" s="20">
        <f t="shared" si="22"/>
        <v>3</v>
      </c>
      <c r="Q225" s="20" t="str" cm="1">
        <f t="array" ref="Q225">_xlfn.IFS(P225&lt;=3,"Q1",P225&lt;=6,"Q2",P225&lt;=9,"Q3",P225&lt;=12,"Q4")</f>
        <v>Q1</v>
      </c>
    </row>
    <row r="226" spans="1:17" x14ac:dyDescent="0.25">
      <c r="A226" s="8">
        <v>45721</v>
      </c>
      <c r="B226" s="9" t="s">
        <v>76</v>
      </c>
      <c r="C226" s="9" t="s">
        <v>77</v>
      </c>
      <c r="D226" s="9" t="s">
        <v>75</v>
      </c>
      <c r="E226" s="10">
        <v>124.04</v>
      </c>
      <c r="F226" s="10">
        <v>124.93</v>
      </c>
      <c r="G226" s="10">
        <v>122.38</v>
      </c>
      <c r="H226" s="10">
        <v>123.46</v>
      </c>
      <c r="I226" s="11">
        <v>731560</v>
      </c>
      <c r="J226" s="10">
        <v>24692000000</v>
      </c>
      <c r="K226" s="30">
        <f t="shared" si="18"/>
        <v>-0.46759109964528578</v>
      </c>
      <c r="L226" s="31">
        <f t="shared" si="19"/>
        <v>2.5500000000000114</v>
      </c>
      <c r="M226" s="30">
        <f t="shared" si="20"/>
        <v>2.055788455336997E-2</v>
      </c>
      <c r="N226" s="20" t="str">
        <f t="shared" si="23"/>
        <v>Normal</v>
      </c>
      <c r="O226" s="32">
        <f t="shared" si="21"/>
        <v>24.692</v>
      </c>
      <c r="P226" s="20">
        <f t="shared" si="22"/>
        <v>3</v>
      </c>
      <c r="Q226" s="20" t="str" cm="1">
        <f t="array" ref="Q226">_xlfn.IFS(P226&lt;=3,"Q1",P226&lt;=6,"Q2",P226&lt;=9,"Q3",P226&lt;=12,"Q4")</f>
        <v>Q1</v>
      </c>
    </row>
    <row r="227" spans="1:17" x14ac:dyDescent="0.25">
      <c r="A227" s="14">
        <v>45722</v>
      </c>
      <c r="B227" s="15" t="s">
        <v>60</v>
      </c>
      <c r="C227" s="15" t="s">
        <v>61</v>
      </c>
      <c r="D227" s="15" t="s">
        <v>62</v>
      </c>
      <c r="E227" s="16">
        <v>2963.43</v>
      </c>
      <c r="F227" s="16">
        <v>2994.91</v>
      </c>
      <c r="G227" s="16">
        <v>2957.1</v>
      </c>
      <c r="H227" s="16">
        <v>2970.4</v>
      </c>
      <c r="I227" s="17">
        <v>4556484</v>
      </c>
      <c r="J227" s="16">
        <v>4158560000000</v>
      </c>
      <c r="K227" s="30">
        <f t="shared" si="18"/>
        <v>0.23520042653277637</v>
      </c>
      <c r="L227" s="31">
        <f t="shared" si="19"/>
        <v>37.809999999999945</v>
      </c>
      <c r="M227" s="30">
        <f t="shared" si="20"/>
        <v>1.2758863884080254E-2</v>
      </c>
      <c r="N227" s="20" t="str">
        <f t="shared" si="23"/>
        <v>High volume</v>
      </c>
      <c r="O227" s="32">
        <f t="shared" si="21"/>
        <v>4158.5600000000004</v>
      </c>
      <c r="P227" s="20">
        <f t="shared" si="22"/>
        <v>3</v>
      </c>
      <c r="Q227" s="20" t="str" cm="1">
        <f t="array" ref="Q227">_xlfn.IFS(P227&lt;=3,"Q1",P227&lt;=6,"Q2",P227&lt;=9,"Q3",P227&lt;=12,"Q4")</f>
        <v>Q1</v>
      </c>
    </row>
    <row r="228" spans="1:17" x14ac:dyDescent="0.25">
      <c r="A228" s="8">
        <v>45722</v>
      </c>
      <c r="B228" s="9" t="s">
        <v>65</v>
      </c>
      <c r="C228" s="9" t="s">
        <v>66</v>
      </c>
      <c r="D228" s="9" t="s">
        <v>67</v>
      </c>
      <c r="E228" s="10">
        <v>203.49</v>
      </c>
      <c r="F228" s="10">
        <v>205.81</v>
      </c>
      <c r="G228" s="10">
        <v>203.36</v>
      </c>
      <c r="H228" s="10">
        <v>205.43</v>
      </c>
      <c r="I228" s="11">
        <v>3383325</v>
      </c>
      <c r="J228" s="10">
        <v>51357500000</v>
      </c>
      <c r="K228" s="30">
        <f t="shared" si="18"/>
        <v>0.95336380166101409</v>
      </c>
      <c r="L228" s="31">
        <f t="shared" si="19"/>
        <v>2.4499999999999886</v>
      </c>
      <c r="M228" s="30">
        <f t="shared" si="20"/>
        <v>1.2039903680770497E-2</v>
      </c>
      <c r="N228" s="20" t="str">
        <f t="shared" si="23"/>
        <v>High volume</v>
      </c>
      <c r="O228" s="32">
        <f t="shared" si="21"/>
        <v>51.357500000000002</v>
      </c>
      <c r="P228" s="20">
        <f t="shared" si="22"/>
        <v>3</v>
      </c>
      <c r="Q228" s="20" t="str" cm="1">
        <f t="array" ref="Q228">_xlfn.IFS(P228&lt;=3,"Q1",P228&lt;=6,"Q2",P228&lt;=9,"Q3",P228&lt;=12,"Q4")</f>
        <v>Q1</v>
      </c>
    </row>
    <row r="229" spans="1:17" x14ac:dyDescent="0.25">
      <c r="A229" s="14">
        <v>45722</v>
      </c>
      <c r="B229" s="15" t="s">
        <v>69</v>
      </c>
      <c r="C229" s="15" t="s">
        <v>70</v>
      </c>
      <c r="D229" s="15" t="s">
        <v>71</v>
      </c>
      <c r="E229" s="16">
        <v>579.67999999999995</v>
      </c>
      <c r="F229" s="16">
        <v>582.49</v>
      </c>
      <c r="G229" s="16">
        <v>577.20000000000005</v>
      </c>
      <c r="H229" s="16">
        <v>578.4</v>
      </c>
      <c r="I229" s="17">
        <v>3899655</v>
      </c>
      <c r="J229" s="16">
        <v>462720000000</v>
      </c>
      <c r="K229" s="30">
        <f t="shared" si="18"/>
        <v>-0.22081148219706956</v>
      </c>
      <c r="L229" s="31">
        <f t="shared" si="19"/>
        <v>5.2899999999999636</v>
      </c>
      <c r="M229" s="30">
        <f t="shared" si="20"/>
        <v>9.1257245376758968E-3</v>
      </c>
      <c r="N229" s="20" t="str">
        <f t="shared" si="23"/>
        <v>High volume</v>
      </c>
      <c r="O229" s="32">
        <f t="shared" si="21"/>
        <v>462.72</v>
      </c>
      <c r="P229" s="20">
        <f t="shared" si="22"/>
        <v>3</v>
      </c>
      <c r="Q229" s="20" t="str" cm="1">
        <f t="array" ref="Q229">_xlfn.IFS(P229&lt;=3,"Q1",P229&lt;=6,"Q2",P229&lt;=9,"Q3",P229&lt;=12,"Q4")</f>
        <v>Q1</v>
      </c>
    </row>
    <row r="230" spans="1:17" x14ac:dyDescent="0.25">
      <c r="A230" s="8">
        <v>45722</v>
      </c>
      <c r="B230" s="9" t="s">
        <v>73</v>
      </c>
      <c r="C230" s="9" t="s">
        <v>74</v>
      </c>
      <c r="D230" s="9" t="s">
        <v>75</v>
      </c>
      <c r="E230" s="10">
        <v>118.49</v>
      </c>
      <c r="F230" s="10">
        <v>120.61</v>
      </c>
      <c r="G230" s="10">
        <v>117.95</v>
      </c>
      <c r="H230" s="10">
        <v>119.66</v>
      </c>
      <c r="I230" s="11">
        <v>520233</v>
      </c>
      <c r="J230" s="10">
        <v>26325200000</v>
      </c>
      <c r="K230" s="30">
        <f t="shared" si="18"/>
        <v>0.98742509916448806</v>
      </c>
      <c r="L230" s="31">
        <f t="shared" si="19"/>
        <v>2.6599999999999966</v>
      </c>
      <c r="M230" s="30">
        <f t="shared" si="20"/>
        <v>2.2449151827158381E-2</v>
      </c>
      <c r="N230" s="20" t="str">
        <f t="shared" si="23"/>
        <v>Normal</v>
      </c>
      <c r="O230" s="32">
        <f t="shared" si="21"/>
        <v>26.325199999999999</v>
      </c>
      <c r="P230" s="20">
        <f t="shared" si="22"/>
        <v>3</v>
      </c>
      <c r="Q230" s="20" t="str" cm="1">
        <f t="array" ref="Q230">_xlfn.IFS(P230&lt;=3,"Q1",P230&lt;=6,"Q2",P230&lt;=9,"Q3",P230&lt;=12,"Q4")</f>
        <v>Q1</v>
      </c>
    </row>
    <row r="231" spans="1:17" x14ac:dyDescent="0.25">
      <c r="A231" s="14">
        <v>45722</v>
      </c>
      <c r="B231" s="15" t="s">
        <v>76</v>
      </c>
      <c r="C231" s="15" t="s">
        <v>77</v>
      </c>
      <c r="D231" s="15" t="s">
        <v>75</v>
      </c>
      <c r="E231" s="16">
        <v>121.16</v>
      </c>
      <c r="F231" s="16">
        <v>122.26</v>
      </c>
      <c r="G231" s="16">
        <v>120.26</v>
      </c>
      <c r="H231" s="16">
        <v>121.65</v>
      </c>
      <c r="I231" s="17">
        <v>542876</v>
      </c>
      <c r="J231" s="16">
        <v>24330000000</v>
      </c>
      <c r="K231" s="30">
        <f t="shared" si="18"/>
        <v>0.40442390227798708</v>
      </c>
      <c r="L231" s="31">
        <f t="shared" si="19"/>
        <v>2</v>
      </c>
      <c r="M231" s="30">
        <f t="shared" si="20"/>
        <v>1.6507098052162432E-2</v>
      </c>
      <c r="N231" s="20" t="str">
        <f t="shared" si="23"/>
        <v>Normal</v>
      </c>
      <c r="O231" s="32">
        <f t="shared" si="21"/>
        <v>24.33</v>
      </c>
      <c r="P231" s="20">
        <f t="shared" si="22"/>
        <v>3</v>
      </c>
      <c r="Q231" s="20" t="str" cm="1">
        <f t="array" ref="Q231">_xlfn.IFS(P231&lt;=3,"Q1",P231&lt;=6,"Q2",P231&lt;=9,"Q3",P231&lt;=12,"Q4")</f>
        <v>Q1</v>
      </c>
    </row>
    <row r="232" spans="1:17" x14ac:dyDescent="0.25">
      <c r="A232" s="8">
        <v>45723</v>
      </c>
      <c r="B232" s="9" t="s">
        <v>60</v>
      </c>
      <c r="C232" s="9" t="s">
        <v>61</v>
      </c>
      <c r="D232" s="9" t="s">
        <v>62</v>
      </c>
      <c r="E232" s="10">
        <v>3000.38</v>
      </c>
      <c r="F232" s="10">
        <v>3034.25</v>
      </c>
      <c r="G232" s="10">
        <v>2992.46</v>
      </c>
      <c r="H232" s="10">
        <v>2992.72</v>
      </c>
      <c r="I232" s="11">
        <v>1501680</v>
      </c>
      <c r="J232" s="10">
        <v>4189808000000</v>
      </c>
      <c r="K232" s="30">
        <f t="shared" si="18"/>
        <v>-0.25530099520728405</v>
      </c>
      <c r="L232" s="31">
        <f t="shared" si="19"/>
        <v>41.789999999999964</v>
      </c>
      <c r="M232" s="30">
        <f t="shared" si="20"/>
        <v>1.3928235756804125E-2</v>
      </c>
      <c r="N232" s="20" t="str">
        <f t="shared" si="23"/>
        <v>Normal</v>
      </c>
      <c r="O232" s="32">
        <f t="shared" si="21"/>
        <v>4189.808</v>
      </c>
      <c r="P232" s="20">
        <f t="shared" si="22"/>
        <v>3</v>
      </c>
      <c r="Q232" s="20" t="str" cm="1">
        <f t="array" ref="Q232">_xlfn.IFS(P232&lt;=3,"Q1",P232&lt;=6,"Q2",P232&lt;=9,"Q3",P232&lt;=12,"Q4")</f>
        <v>Q1</v>
      </c>
    </row>
    <row r="233" spans="1:17" x14ac:dyDescent="0.25">
      <c r="A233" s="14">
        <v>45723</v>
      </c>
      <c r="B233" s="15" t="s">
        <v>65</v>
      </c>
      <c r="C233" s="15" t="s">
        <v>66</v>
      </c>
      <c r="D233" s="15" t="s">
        <v>67</v>
      </c>
      <c r="E233" s="16">
        <v>208.09</v>
      </c>
      <c r="F233" s="16">
        <v>209.63</v>
      </c>
      <c r="G233" s="16">
        <v>207.41</v>
      </c>
      <c r="H233" s="16">
        <v>207.72</v>
      </c>
      <c r="I233" s="17">
        <v>557170</v>
      </c>
      <c r="J233" s="16">
        <v>51930000000</v>
      </c>
      <c r="K233" s="30">
        <f t="shared" si="18"/>
        <v>-0.17780767936950576</v>
      </c>
      <c r="L233" s="31">
        <f t="shared" si="19"/>
        <v>2.2199999999999989</v>
      </c>
      <c r="M233" s="30">
        <f t="shared" si="20"/>
        <v>1.066846076217021E-2</v>
      </c>
      <c r="N233" s="20" t="str">
        <f t="shared" si="23"/>
        <v>Normal</v>
      </c>
      <c r="O233" s="32">
        <f t="shared" si="21"/>
        <v>51.93</v>
      </c>
      <c r="P233" s="20">
        <f t="shared" si="22"/>
        <v>3</v>
      </c>
      <c r="Q233" s="20" t="str" cm="1">
        <f t="array" ref="Q233">_xlfn.IFS(P233&lt;=3,"Q1",P233&lt;=6,"Q2",P233&lt;=9,"Q3",P233&lt;=12,"Q4")</f>
        <v>Q1</v>
      </c>
    </row>
    <row r="234" spans="1:17" x14ac:dyDescent="0.25">
      <c r="A234" s="8">
        <v>45723</v>
      </c>
      <c r="B234" s="9" t="s">
        <v>69</v>
      </c>
      <c r="C234" s="9" t="s">
        <v>70</v>
      </c>
      <c r="D234" s="9" t="s">
        <v>71</v>
      </c>
      <c r="E234" s="10">
        <v>587.46</v>
      </c>
      <c r="F234" s="10">
        <v>590.61</v>
      </c>
      <c r="G234" s="10">
        <v>583.78</v>
      </c>
      <c r="H234" s="10">
        <v>584.86</v>
      </c>
      <c r="I234" s="11">
        <v>2914203</v>
      </c>
      <c r="J234" s="10">
        <v>467888000000</v>
      </c>
      <c r="K234" s="30">
        <f t="shared" si="18"/>
        <v>-0.44258332482211943</v>
      </c>
      <c r="L234" s="31">
        <f t="shared" si="19"/>
        <v>6.8300000000000409</v>
      </c>
      <c r="M234" s="30">
        <f t="shared" si="20"/>
        <v>1.1626323494365643E-2</v>
      </c>
      <c r="N234" s="20" t="str">
        <f t="shared" si="23"/>
        <v>High volume</v>
      </c>
      <c r="O234" s="32">
        <f t="shared" si="21"/>
        <v>467.88799999999998</v>
      </c>
      <c r="P234" s="20">
        <f t="shared" si="22"/>
        <v>3</v>
      </c>
      <c r="Q234" s="20" t="str" cm="1">
        <f t="array" ref="Q234">_xlfn.IFS(P234&lt;=3,"Q1",P234&lt;=6,"Q2",P234&lt;=9,"Q3",P234&lt;=12,"Q4")</f>
        <v>Q1</v>
      </c>
    </row>
    <row r="235" spans="1:17" x14ac:dyDescent="0.25">
      <c r="A235" s="14">
        <v>45723</v>
      </c>
      <c r="B235" s="15" t="s">
        <v>73</v>
      </c>
      <c r="C235" s="15" t="s">
        <v>74</v>
      </c>
      <c r="D235" s="15" t="s">
        <v>75</v>
      </c>
      <c r="E235" s="16">
        <v>121.07</v>
      </c>
      <c r="F235" s="16">
        <v>121.37</v>
      </c>
      <c r="G235" s="16">
        <v>119.42</v>
      </c>
      <c r="H235" s="16">
        <v>120.53</v>
      </c>
      <c r="I235" s="17">
        <v>1012671</v>
      </c>
      <c r="J235" s="16">
        <v>26516600000</v>
      </c>
      <c r="K235" s="30">
        <f t="shared" si="18"/>
        <v>-0.44602296192284796</v>
      </c>
      <c r="L235" s="31">
        <f t="shared" si="19"/>
        <v>1.9500000000000028</v>
      </c>
      <c r="M235" s="30">
        <f t="shared" si="20"/>
        <v>1.6106384736103107E-2</v>
      </c>
      <c r="N235" s="20" t="str">
        <f t="shared" si="23"/>
        <v>Normal</v>
      </c>
      <c r="O235" s="32">
        <f t="shared" si="21"/>
        <v>26.5166</v>
      </c>
      <c r="P235" s="20">
        <f t="shared" si="22"/>
        <v>3</v>
      </c>
      <c r="Q235" s="20" t="str" cm="1">
        <f t="array" ref="Q235">_xlfn.IFS(P235&lt;=3,"Q1",P235&lt;=6,"Q2",P235&lt;=9,"Q3",P235&lt;=12,"Q4")</f>
        <v>Q1</v>
      </c>
    </row>
    <row r="236" spans="1:17" x14ac:dyDescent="0.25">
      <c r="A236" s="8">
        <v>45723</v>
      </c>
      <c r="B236" s="9" t="s">
        <v>76</v>
      </c>
      <c r="C236" s="9" t="s">
        <v>77</v>
      </c>
      <c r="D236" s="9" t="s">
        <v>75</v>
      </c>
      <c r="E236" s="10">
        <v>122.46</v>
      </c>
      <c r="F236" s="10">
        <v>122.84</v>
      </c>
      <c r="G236" s="10">
        <v>122.45</v>
      </c>
      <c r="H236" s="10">
        <v>122.48</v>
      </c>
      <c r="I236" s="11">
        <v>4017101</v>
      </c>
      <c r="J236" s="10">
        <v>24496000000</v>
      </c>
      <c r="K236" s="30">
        <f t="shared" si="18"/>
        <v>1.6331863465629783E-2</v>
      </c>
      <c r="L236" s="31">
        <f t="shared" si="19"/>
        <v>0.39000000000000057</v>
      </c>
      <c r="M236" s="30">
        <f t="shared" si="20"/>
        <v>3.1847133757961833E-3</v>
      </c>
      <c r="N236" s="20" t="str">
        <f t="shared" si="23"/>
        <v>High volume</v>
      </c>
      <c r="O236" s="32">
        <f t="shared" si="21"/>
        <v>24.495999999999999</v>
      </c>
      <c r="P236" s="20">
        <f t="shared" si="22"/>
        <v>3</v>
      </c>
      <c r="Q236" s="20" t="str" cm="1">
        <f t="array" ref="Q236">_xlfn.IFS(P236&lt;=3,"Q1",P236&lt;=6,"Q2",P236&lt;=9,"Q3",P236&lt;=12,"Q4")</f>
        <v>Q1</v>
      </c>
    </row>
    <row r="237" spans="1:17" x14ac:dyDescent="0.25">
      <c r="A237" s="14">
        <v>45726</v>
      </c>
      <c r="B237" s="15" t="s">
        <v>60</v>
      </c>
      <c r="C237" s="15" t="s">
        <v>61</v>
      </c>
      <c r="D237" s="15" t="s">
        <v>62</v>
      </c>
      <c r="E237" s="16">
        <v>2978.98</v>
      </c>
      <c r="F237" s="16">
        <v>2993.42</v>
      </c>
      <c r="G237" s="16">
        <v>2955.6</v>
      </c>
      <c r="H237" s="16">
        <v>2972.32</v>
      </c>
      <c r="I237" s="17">
        <v>2591489</v>
      </c>
      <c r="J237" s="16">
        <v>4161248000000</v>
      </c>
      <c r="K237" s="30">
        <f t="shared" si="18"/>
        <v>-0.22356645563245992</v>
      </c>
      <c r="L237" s="31">
        <f t="shared" si="19"/>
        <v>37.820000000000164</v>
      </c>
      <c r="M237" s="30">
        <f t="shared" si="20"/>
        <v>1.2695620648678461E-2</v>
      </c>
      <c r="N237" s="20" t="str">
        <f t="shared" si="23"/>
        <v>High volume</v>
      </c>
      <c r="O237" s="32">
        <f t="shared" si="21"/>
        <v>4161.2479999999996</v>
      </c>
      <c r="P237" s="20">
        <f t="shared" si="22"/>
        <v>3</v>
      </c>
      <c r="Q237" s="20" t="str" cm="1">
        <f t="array" ref="Q237">_xlfn.IFS(P237&lt;=3,"Q1",P237&lt;=6,"Q2",P237&lt;=9,"Q3",P237&lt;=12,"Q4")</f>
        <v>Q1</v>
      </c>
    </row>
    <row r="238" spans="1:17" x14ac:dyDescent="0.25">
      <c r="A238" s="8">
        <v>45726</v>
      </c>
      <c r="B238" s="9" t="s">
        <v>65</v>
      </c>
      <c r="C238" s="9" t="s">
        <v>66</v>
      </c>
      <c r="D238" s="9" t="s">
        <v>67</v>
      </c>
      <c r="E238" s="10">
        <v>208.56</v>
      </c>
      <c r="F238" s="10">
        <v>210.51</v>
      </c>
      <c r="G238" s="10">
        <v>208.1</v>
      </c>
      <c r="H238" s="10">
        <v>209.73</v>
      </c>
      <c r="I238" s="11">
        <v>4382171</v>
      </c>
      <c r="J238" s="10">
        <v>52432500000</v>
      </c>
      <c r="K238" s="30">
        <f t="shared" si="18"/>
        <v>0.56098964326811829</v>
      </c>
      <c r="L238" s="31">
        <f t="shared" si="19"/>
        <v>2.4099999999999966</v>
      </c>
      <c r="M238" s="30">
        <f t="shared" si="20"/>
        <v>1.1555427694668184E-2</v>
      </c>
      <c r="N238" s="20" t="str">
        <f t="shared" si="23"/>
        <v>High volume</v>
      </c>
      <c r="O238" s="32">
        <f t="shared" si="21"/>
        <v>52.432499999999997</v>
      </c>
      <c r="P238" s="20">
        <f t="shared" si="22"/>
        <v>3</v>
      </c>
      <c r="Q238" s="20" t="str" cm="1">
        <f t="array" ref="Q238">_xlfn.IFS(P238&lt;=3,"Q1",P238&lt;=6,"Q2",P238&lt;=9,"Q3",P238&lt;=12,"Q4")</f>
        <v>Q1</v>
      </c>
    </row>
    <row r="239" spans="1:17" x14ac:dyDescent="0.25">
      <c r="A239" s="14">
        <v>45726</v>
      </c>
      <c r="B239" s="15" t="s">
        <v>69</v>
      </c>
      <c r="C239" s="15" t="s">
        <v>70</v>
      </c>
      <c r="D239" s="15" t="s">
        <v>71</v>
      </c>
      <c r="E239" s="16">
        <v>588.49</v>
      </c>
      <c r="F239" s="16">
        <v>592.48</v>
      </c>
      <c r="G239" s="16">
        <v>587.80999999999995</v>
      </c>
      <c r="H239" s="16">
        <v>588.84</v>
      </c>
      <c r="I239" s="17">
        <v>759544</v>
      </c>
      <c r="J239" s="16">
        <v>471072000000</v>
      </c>
      <c r="K239" s="30">
        <f t="shared" si="18"/>
        <v>5.9474247650771077E-2</v>
      </c>
      <c r="L239" s="31">
        <f t="shared" si="19"/>
        <v>4.6700000000000728</v>
      </c>
      <c r="M239" s="30">
        <f t="shared" si="20"/>
        <v>7.9355639008310639E-3</v>
      </c>
      <c r="N239" s="20" t="str">
        <f t="shared" si="23"/>
        <v>Normal</v>
      </c>
      <c r="O239" s="32">
        <f t="shared" si="21"/>
        <v>471.072</v>
      </c>
      <c r="P239" s="20">
        <f t="shared" si="22"/>
        <v>3</v>
      </c>
      <c r="Q239" s="20" t="str" cm="1">
        <f t="array" ref="Q239">_xlfn.IFS(P239&lt;=3,"Q1",P239&lt;=6,"Q2",P239&lt;=9,"Q3",P239&lt;=12,"Q4")</f>
        <v>Q1</v>
      </c>
    </row>
    <row r="240" spans="1:17" x14ac:dyDescent="0.25">
      <c r="A240" s="8">
        <v>45726</v>
      </c>
      <c r="B240" s="9" t="s">
        <v>73</v>
      </c>
      <c r="C240" s="9" t="s">
        <v>74</v>
      </c>
      <c r="D240" s="9" t="s">
        <v>75</v>
      </c>
      <c r="E240" s="10">
        <v>122.08</v>
      </c>
      <c r="F240" s="10">
        <v>122.12</v>
      </c>
      <c r="G240" s="10">
        <v>121.95</v>
      </c>
      <c r="H240" s="10">
        <v>121.99</v>
      </c>
      <c r="I240" s="11">
        <v>3052489</v>
      </c>
      <c r="J240" s="10">
        <v>26837800000</v>
      </c>
      <c r="K240" s="30">
        <f t="shared" si="18"/>
        <v>-7.3722149410225604E-2</v>
      </c>
      <c r="L240" s="31">
        <f t="shared" si="19"/>
        <v>0.17000000000000171</v>
      </c>
      <c r="M240" s="30">
        <f t="shared" si="20"/>
        <v>1.3925294888597782E-3</v>
      </c>
      <c r="N240" s="20" t="str">
        <f t="shared" si="23"/>
        <v>High volume</v>
      </c>
      <c r="O240" s="32">
        <f t="shared" si="21"/>
        <v>26.837800000000001</v>
      </c>
      <c r="P240" s="20">
        <f t="shared" si="22"/>
        <v>3</v>
      </c>
      <c r="Q240" s="20" t="str" cm="1">
        <f t="array" ref="Q240">_xlfn.IFS(P240&lt;=3,"Q1",P240&lt;=6,"Q2",P240&lt;=9,"Q3",P240&lt;=12,"Q4")</f>
        <v>Q1</v>
      </c>
    </row>
    <row r="241" spans="1:17" x14ac:dyDescent="0.25">
      <c r="A241" s="14">
        <v>45726</v>
      </c>
      <c r="B241" s="15" t="s">
        <v>76</v>
      </c>
      <c r="C241" s="15" t="s">
        <v>77</v>
      </c>
      <c r="D241" s="15" t="s">
        <v>75</v>
      </c>
      <c r="E241" s="16">
        <v>123.47</v>
      </c>
      <c r="F241" s="16">
        <v>124.31</v>
      </c>
      <c r="G241" s="16">
        <v>122.68</v>
      </c>
      <c r="H241" s="16">
        <v>123.38</v>
      </c>
      <c r="I241" s="17">
        <v>1383688</v>
      </c>
      <c r="J241" s="16">
        <v>24676000000</v>
      </c>
      <c r="K241" s="30">
        <f t="shared" si="18"/>
        <v>-7.2892200534545565E-2</v>
      </c>
      <c r="L241" s="31">
        <f t="shared" si="19"/>
        <v>1.6299999999999955</v>
      </c>
      <c r="M241" s="30">
        <f t="shared" si="20"/>
        <v>1.3201587430144938E-2</v>
      </c>
      <c r="N241" s="20" t="str">
        <f t="shared" si="23"/>
        <v>Normal</v>
      </c>
      <c r="O241" s="32">
        <f t="shared" si="21"/>
        <v>24.675999999999998</v>
      </c>
      <c r="P241" s="20">
        <f t="shared" si="22"/>
        <v>3</v>
      </c>
      <c r="Q241" s="20" t="str" cm="1">
        <f t="array" ref="Q241">_xlfn.IFS(P241&lt;=3,"Q1",P241&lt;=6,"Q2",P241&lt;=9,"Q3",P241&lt;=12,"Q4")</f>
        <v>Q1</v>
      </c>
    </row>
    <row r="242" spans="1:17" x14ac:dyDescent="0.25">
      <c r="A242" s="8">
        <v>45727</v>
      </c>
      <c r="B242" s="9" t="s">
        <v>60</v>
      </c>
      <c r="C242" s="9" t="s">
        <v>61</v>
      </c>
      <c r="D242" s="9" t="s">
        <v>62</v>
      </c>
      <c r="E242" s="10">
        <v>2922.16</v>
      </c>
      <c r="F242" s="10">
        <v>2947.08</v>
      </c>
      <c r="G242" s="10">
        <v>2877.9</v>
      </c>
      <c r="H242" s="10">
        <v>2933.67</v>
      </c>
      <c r="I242" s="11">
        <v>904613</v>
      </c>
      <c r="J242" s="10">
        <v>4107138000000</v>
      </c>
      <c r="K242" s="30">
        <f t="shared" si="18"/>
        <v>0.39388671393764269</v>
      </c>
      <c r="L242" s="31">
        <f t="shared" si="19"/>
        <v>69.179999999999836</v>
      </c>
      <c r="M242" s="30">
        <f t="shared" si="20"/>
        <v>2.3674268349440086E-2</v>
      </c>
      <c r="N242" s="20" t="str">
        <f t="shared" si="23"/>
        <v>Normal</v>
      </c>
      <c r="O242" s="32">
        <f t="shared" si="21"/>
        <v>4107.1379999999999</v>
      </c>
      <c r="P242" s="20">
        <f t="shared" si="22"/>
        <v>3</v>
      </c>
      <c r="Q242" s="20" t="str" cm="1">
        <f t="array" ref="Q242">_xlfn.IFS(P242&lt;=3,"Q1",P242&lt;=6,"Q2",P242&lt;=9,"Q3",P242&lt;=12,"Q4")</f>
        <v>Q1</v>
      </c>
    </row>
    <row r="243" spans="1:17" x14ac:dyDescent="0.25">
      <c r="A243" s="14">
        <v>45727</v>
      </c>
      <c r="B243" s="15" t="s">
        <v>65</v>
      </c>
      <c r="C243" s="15" t="s">
        <v>66</v>
      </c>
      <c r="D243" s="15" t="s">
        <v>67</v>
      </c>
      <c r="E243" s="16">
        <v>209.76</v>
      </c>
      <c r="F243" s="16">
        <v>211.96</v>
      </c>
      <c r="G243" s="16">
        <v>208.1</v>
      </c>
      <c r="H243" s="16">
        <v>209.78</v>
      </c>
      <c r="I243" s="17">
        <v>4156698</v>
      </c>
      <c r="J243" s="16">
        <v>52445000000</v>
      </c>
      <c r="K243" s="30">
        <f t="shared" si="18"/>
        <v>9.5347063310498824E-3</v>
      </c>
      <c r="L243" s="31">
        <f t="shared" si="19"/>
        <v>3.8600000000000136</v>
      </c>
      <c r="M243" s="30">
        <f t="shared" si="20"/>
        <v>1.8401983218916923E-2</v>
      </c>
      <c r="N243" s="20" t="str">
        <f t="shared" si="23"/>
        <v>High volume</v>
      </c>
      <c r="O243" s="32">
        <f t="shared" si="21"/>
        <v>52.445</v>
      </c>
      <c r="P243" s="20">
        <f t="shared" si="22"/>
        <v>3</v>
      </c>
      <c r="Q243" s="20" t="str" cm="1">
        <f t="array" ref="Q243">_xlfn.IFS(P243&lt;=3,"Q1",P243&lt;=6,"Q2",P243&lt;=9,"Q3",P243&lt;=12,"Q4")</f>
        <v>Q1</v>
      </c>
    </row>
    <row r="244" spans="1:17" x14ac:dyDescent="0.25">
      <c r="A244" s="8">
        <v>45727</v>
      </c>
      <c r="B244" s="9" t="s">
        <v>69</v>
      </c>
      <c r="C244" s="9" t="s">
        <v>70</v>
      </c>
      <c r="D244" s="9" t="s">
        <v>71</v>
      </c>
      <c r="E244" s="10">
        <v>604.42999999999995</v>
      </c>
      <c r="F244" s="10">
        <v>609.01</v>
      </c>
      <c r="G244" s="10">
        <v>598.82000000000005</v>
      </c>
      <c r="H244" s="10">
        <v>606.04999999999995</v>
      </c>
      <c r="I244" s="11">
        <v>3803870</v>
      </c>
      <c r="J244" s="10">
        <v>484840000000</v>
      </c>
      <c r="K244" s="30">
        <f t="shared" si="18"/>
        <v>0.26802111079860441</v>
      </c>
      <c r="L244" s="31">
        <f t="shared" si="19"/>
        <v>10.189999999999941</v>
      </c>
      <c r="M244" s="30">
        <f t="shared" si="20"/>
        <v>1.6858858759492317E-2</v>
      </c>
      <c r="N244" s="20" t="str">
        <f t="shared" si="23"/>
        <v>High volume</v>
      </c>
      <c r="O244" s="32">
        <f t="shared" si="21"/>
        <v>484.84</v>
      </c>
      <c r="P244" s="20">
        <f t="shared" si="22"/>
        <v>3</v>
      </c>
      <c r="Q244" s="20" t="str" cm="1">
        <f t="array" ref="Q244">_xlfn.IFS(P244&lt;=3,"Q1",P244&lt;=6,"Q2",P244&lt;=9,"Q3",P244&lt;=12,"Q4")</f>
        <v>Q1</v>
      </c>
    </row>
    <row r="245" spans="1:17" x14ac:dyDescent="0.25">
      <c r="A245" s="14">
        <v>45727</v>
      </c>
      <c r="B245" s="15" t="s">
        <v>73</v>
      </c>
      <c r="C245" s="15" t="s">
        <v>74</v>
      </c>
      <c r="D245" s="15" t="s">
        <v>75</v>
      </c>
      <c r="E245" s="16">
        <v>120.92</v>
      </c>
      <c r="F245" s="16">
        <v>121.16</v>
      </c>
      <c r="G245" s="16">
        <v>119.96</v>
      </c>
      <c r="H245" s="16">
        <v>121.12</v>
      </c>
      <c r="I245" s="17">
        <v>1741776</v>
      </c>
      <c r="J245" s="16">
        <v>26646400000</v>
      </c>
      <c r="K245" s="30">
        <f t="shared" si="18"/>
        <v>0.16539861065167286</v>
      </c>
      <c r="L245" s="31">
        <f t="shared" si="19"/>
        <v>1.2000000000000028</v>
      </c>
      <c r="M245" s="30">
        <f t="shared" si="20"/>
        <v>9.923916639100255E-3</v>
      </c>
      <c r="N245" s="20" t="str">
        <f t="shared" si="23"/>
        <v>Normal</v>
      </c>
      <c r="O245" s="32">
        <f t="shared" si="21"/>
        <v>26.6464</v>
      </c>
      <c r="P245" s="20">
        <f t="shared" si="22"/>
        <v>3</v>
      </c>
      <c r="Q245" s="20" t="str" cm="1">
        <f t="array" ref="Q245">_xlfn.IFS(P245&lt;=3,"Q1",P245&lt;=6,"Q2",P245&lt;=9,"Q3",P245&lt;=12,"Q4")</f>
        <v>Q1</v>
      </c>
    </row>
    <row r="246" spans="1:17" x14ac:dyDescent="0.25">
      <c r="A246" s="8">
        <v>45727</v>
      </c>
      <c r="B246" s="9" t="s">
        <v>76</v>
      </c>
      <c r="C246" s="9" t="s">
        <v>77</v>
      </c>
      <c r="D246" s="9" t="s">
        <v>75</v>
      </c>
      <c r="E246" s="10">
        <v>124.22</v>
      </c>
      <c r="F246" s="10">
        <v>125.53</v>
      </c>
      <c r="G246" s="10">
        <v>123.12</v>
      </c>
      <c r="H246" s="10">
        <v>123.33</v>
      </c>
      <c r="I246" s="11">
        <v>1188044</v>
      </c>
      <c r="J246" s="10">
        <v>24666000000</v>
      </c>
      <c r="K246" s="30">
        <f t="shared" si="18"/>
        <v>-0.7164707776525524</v>
      </c>
      <c r="L246" s="31">
        <f t="shared" si="19"/>
        <v>2.4099999999999966</v>
      </c>
      <c r="M246" s="30">
        <f t="shared" si="20"/>
        <v>1.9401062630816267E-2</v>
      </c>
      <c r="N246" s="20" t="str">
        <f t="shared" si="23"/>
        <v>Normal</v>
      </c>
      <c r="O246" s="32">
        <f t="shared" si="21"/>
        <v>24.666</v>
      </c>
      <c r="P246" s="20">
        <f t="shared" si="22"/>
        <v>3</v>
      </c>
      <c r="Q246" s="20" t="str" cm="1">
        <f t="array" ref="Q246">_xlfn.IFS(P246&lt;=3,"Q1",P246&lt;=6,"Q2",P246&lt;=9,"Q3",P246&lt;=12,"Q4")</f>
        <v>Q1</v>
      </c>
    </row>
    <row r="247" spans="1:17" x14ac:dyDescent="0.25">
      <c r="A247" s="14">
        <v>45728</v>
      </c>
      <c r="B247" s="15" t="s">
        <v>60</v>
      </c>
      <c r="C247" s="15" t="s">
        <v>61</v>
      </c>
      <c r="D247" s="15" t="s">
        <v>62</v>
      </c>
      <c r="E247" s="16">
        <v>2848.25</v>
      </c>
      <c r="F247" s="16">
        <v>2849.53</v>
      </c>
      <c r="G247" s="16">
        <v>2817.9</v>
      </c>
      <c r="H247" s="16">
        <v>2834.47</v>
      </c>
      <c r="I247" s="17">
        <v>3619931</v>
      </c>
      <c r="J247" s="16">
        <v>3968258000000</v>
      </c>
      <c r="K247" s="30">
        <f t="shared" si="18"/>
        <v>-0.48380584569473184</v>
      </c>
      <c r="L247" s="31">
        <f t="shared" si="19"/>
        <v>31.630000000000109</v>
      </c>
      <c r="M247" s="30">
        <f t="shared" si="20"/>
        <v>1.1105064513297676E-2</v>
      </c>
      <c r="N247" s="20" t="str">
        <f t="shared" si="23"/>
        <v>High volume</v>
      </c>
      <c r="O247" s="32">
        <f t="shared" si="21"/>
        <v>3968.2579999999998</v>
      </c>
      <c r="P247" s="20">
        <f t="shared" si="22"/>
        <v>3</v>
      </c>
      <c r="Q247" s="20" t="str" cm="1">
        <f t="array" ref="Q247">_xlfn.IFS(P247&lt;=3,"Q1",P247&lt;=6,"Q2",P247&lt;=9,"Q3",P247&lt;=12,"Q4")</f>
        <v>Q1</v>
      </c>
    </row>
    <row r="248" spans="1:17" x14ac:dyDescent="0.25">
      <c r="A248" s="8">
        <v>45728</v>
      </c>
      <c r="B248" s="9" t="s">
        <v>65</v>
      </c>
      <c r="C248" s="9" t="s">
        <v>66</v>
      </c>
      <c r="D248" s="9" t="s">
        <v>67</v>
      </c>
      <c r="E248" s="10">
        <v>213.4</v>
      </c>
      <c r="F248" s="10">
        <v>215.45</v>
      </c>
      <c r="G248" s="10">
        <v>212.87</v>
      </c>
      <c r="H248" s="10">
        <v>213.07</v>
      </c>
      <c r="I248" s="11">
        <v>1256524</v>
      </c>
      <c r="J248" s="10">
        <v>53267500000</v>
      </c>
      <c r="K248" s="30">
        <f t="shared" si="18"/>
        <v>-0.15463917525773779</v>
      </c>
      <c r="L248" s="31">
        <f t="shared" si="19"/>
        <v>2.5799999999999841</v>
      </c>
      <c r="M248" s="30">
        <f t="shared" si="20"/>
        <v>1.2089971883786242E-2</v>
      </c>
      <c r="N248" s="20" t="str">
        <f t="shared" si="23"/>
        <v>Normal</v>
      </c>
      <c r="O248" s="32">
        <f t="shared" si="21"/>
        <v>53.267499999999998</v>
      </c>
      <c r="P248" s="20">
        <f t="shared" si="22"/>
        <v>3</v>
      </c>
      <c r="Q248" s="20" t="str" cm="1">
        <f t="array" ref="Q248">_xlfn.IFS(P248&lt;=3,"Q1",P248&lt;=6,"Q2",P248&lt;=9,"Q3",P248&lt;=12,"Q4")</f>
        <v>Q1</v>
      </c>
    </row>
    <row r="249" spans="1:17" x14ac:dyDescent="0.25">
      <c r="A249" s="14">
        <v>45728</v>
      </c>
      <c r="B249" s="15" t="s">
        <v>69</v>
      </c>
      <c r="C249" s="15" t="s">
        <v>70</v>
      </c>
      <c r="D249" s="15" t="s">
        <v>71</v>
      </c>
      <c r="E249" s="16">
        <v>621.72</v>
      </c>
      <c r="F249" s="16">
        <v>624.92999999999995</v>
      </c>
      <c r="G249" s="16">
        <v>621.1</v>
      </c>
      <c r="H249" s="16">
        <v>624.07000000000005</v>
      </c>
      <c r="I249" s="17">
        <v>3245238</v>
      </c>
      <c r="J249" s="16">
        <v>499256000000</v>
      </c>
      <c r="K249" s="30">
        <f t="shared" si="18"/>
        <v>0.37798365823843894</v>
      </c>
      <c r="L249" s="31">
        <f t="shared" si="19"/>
        <v>3.8299999999999272</v>
      </c>
      <c r="M249" s="30">
        <f t="shared" si="20"/>
        <v>6.1603294087369349E-3</v>
      </c>
      <c r="N249" s="20" t="str">
        <f t="shared" si="23"/>
        <v>High volume</v>
      </c>
      <c r="O249" s="32">
        <f t="shared" si="21"/>
        <v>499.25599999999997</v>
      </c>
      <c r="P249" s="20">
        <f t="shared" si="22"/>
        <v>3</v>
      </c>
      <c r="Q249" s="20" t="str" cm="1">
        <f t="array" ref="Q249">_xlfn.IFS(P249&lt;=3,"Q1",P249&lt;=6,"Q2",P249&lt;=9,"Q3",P249&lt;=12,"Q4")</f>
        <v>Q1</v>
      </c>
    </row>
    <row r="250" spans="1:17" x14ac:dyDescent="0.25">
      <c r="A250" s="8">
        <v>45728</v>
      </c>
      <c r="B250" s="9" t="s">
        <v>73</v>
      </c>
      <c r="C250" s="9" t="s">
        <v>74</v>
      </c>
      <c r="D250" s="9" t="s">
        <v>75</v>
      </c>
      <c r="E250" s="10">
        <v>120.67</v>
      </c>
      <c r="F250" s="10">
        <v>122.44</v>
      </c>
      <c r="G250" s="10">
        <v>120.39</v>
      </c>
      <c r="H250" s="10">
        <v>120.69</v>
      </c>
      <c r="I250" s="11">
        <v>1954835</v>
      </c>
      <c r="J250" s="10">
        <v>26551800000</v>
      </c>
      <c r="K250" s="30">
        <f t="shared" si="18"/>
        <v>1.6574127786521935E-2</v>
      </c>
      <c r="L250" s="31">
        <f t="shared" si="19"/>
        <v>2.0499999999999972</v>
      </c>
      <c r="M250" s="30">
        <f t="shared" si="20"/>
        <v>1.6988480981188343E-2</v>
      </c>
      <c r="N250" s="20" t="str">
        <f t="shared" si="23"/>
        <v>Normal</v>
      </c>
      <c r="O250" s="32">
        <f t="shared" si="21"/>
        <v>26.5518</v>
      </c>
      <c r="P250" s="20">
        <f t="shared" si="22"/>
        <v>3</v>
      </c>
      <c r="Q250" s="20" t="str" cm="1">
        <f t="array" ref="Q250">_xlfn.IFS(P250&lt;=3,"Q1",P250&lt;=6,"Q2",P250&lt;=9,"Q3",P250&lt;=12,"Q4")</f>
        <v>Q1</v>
      </c>
    </row>
    <row r="251" spans="1:17" x14ac:dyDescent="0.25">
      <c r="A251" s="14">
        <v>45728</v>
      </c>
      <c r="B251" s="15" t="s">
        <v>76</v>
      </c>
      <c r="C251" s="15" t="s">
        <v>77</v>
      </c>
      <c r="D251" s="15" t="s">
        <v>75</v>
      </c>
      <c r="E251" s="16">
        <v>122.11</v>
      </c>
      <c r="F251" s="16">
        <v>122.37</v>
      </c>
      <c r="G251" s="16">
        <v>121.61</v>
      </c>
      <c r="H251" s="16">
        <v>122.19</v>
      </c>
      <c r="I251" s="17">
        <v>932109</v>
      </c>
      <c r="J251" s="16">
        <v>24438000000</v>
      </c>
      <c r="K251" s="30">
        <f t="shared" si="18"/>
        <v>6.5514699860779874E-2</v>
      </c>
      <c r="L251" s="31">
        <f t="shared" si="19"/>
        <v>0.76000000000000512</v>
      </c>
      <c r="M251" s="30">
        <f t="shared" si="20"/>
        <v>6.223896486774262E-3</v>
      </c>
      <c r="N251" s="20" t="str">
        <f t="shared" si="23"/>
        <v>Normal</v>
      </c>
      <c r="O251" s="32">
        <f t="shared" si="21"/>
        <v>24.437999999999999</v>
      </c>
      <c r="P251" s="20">
        <f t="shared" si="22"/>
        <v>3</v>
      </c>
      <c r="Q251" s="20" t="str" cm="1">
        <f t="array" ref="Q251">_xlfn.IFS(P251&lt;=3,"Q1",P251&lt;=6,"Q2",P251&lt;=9,"Q3",P251&lt;=12,"Q4")</f>
        <v>Q1</v>
      </c>
    </row>
    <row r="252" spans="1:17" x14ac:dyDescent="0.25">
      <c r="A252" s="8">
        <v>45729</v>
      </c>
      <c r="B252" s="9" t="s">
        <v>60</v>
      </c>
      <c r="C252" s="9" t="s">
        <v>61</v>
      </c>
      <c r="D252" s="9" t="s">
        <v>62</v>
      </c>
      <c r="E252" s="10">
        <v>2867.39</v>
      </c>
      <c r="F252" s="10">
        <v>2902.82</v>
      </c>
      <c r="G252" s="10">
        <v>2828.97</v>
      </c>
      <c r="H252" s="10">
        <v>2885.09</v>
      </c>
      <c r="I252" s="11">
        <v>4065690</v>
      </c>
      <c r="J252" s="10">
        <v>4039126000000</v>
      </c>
      <c r="K252" s="30">
        <f t="shared" si="18"/>
        <v>0.61728610339020062</v>
      </c>
      <c r="L252" s="31">
        <f t="shared" si="19"/>
        <v>73.850000000000364</v>
      </c>
      <c r="M252" s="30">
        <f t="shared" si="20"/>
        <v>2.5755129229020249E-2</v>
      </c>
      <c r="N252" s="20" t="str">
        <f t="shared" si="23"/>
        <v>High volume</v>
      </c>
      <c r="O252" s="32">
        <f t="shared" si="21"/>
        <v>4039.1260000000002</v>
      </c>
      <c r="P252" s="20">
        <f t="shared" si="22"/>
        <v>3</v>
      </c>
      <c r="Q252" s="20" t="str" cm="1">
        <f t="array" ref="Q252">_xlfn.IFS(P252&lt;=3,"Q1",P252&lt;=6,"Q2",P252&lt;=9,"Q3",P252&lt;=12,"Q4")</f>
        <v>Q1</v>
      </c>
    </row>
    <row r="253" spans="1:17" x14ac:dyDescent="0.25">
      <c r="A253" s="14">
        <v>45729</v>
      </c>
      <c r="B253" s="15" t="s">
        <v>65</v>
      </c>
      <c r="C253" s="15" t="s">
        <v>66</v>
      </c>
      <c r="D253" s="15" t="s">
        <v>67</v>
      </c>
      <c r="E253" s="16">
        <v>213.31</v>
      </c>
      <c r="F253" s="16">
        <v>214.79</v>
      </c>
      <c r="G253" s="16">
        <v>210.11</v>
      </c>
      <c r="H253" s="16">
        <v>213.12</v>
      </c>
      <c r="I253" s="17">
        <v>3011267</v>
      </c>
      <c r="J253" s="16">
        <v>53280000000</v>
      </c>
      <c r="K253" s="30">
        <f t="shared" si="18"/>
        <v>-8.9072242276497918E-2</v>
      </c>
      <c r="L253" s="31">
        <f t="shared" si="19"/>
        <v>4.6799999999999784</v>
      </c>
      <c r="M253" s="30">
        <f t="shared" si="20"/>
        <v>2.1939899676527017E-2</v>
      </c>
      <c r="N253" s="20" t="str">
        <f t="shared" si="23"/>
        <v>High volume</v>
      </c>
      <c r="O253" s="32">
        <f t="shared" si="21"/>
        <v>53.28</v>
      </c>
      <c r="P253" s="20">
        <f t="shared" si="22"/>
        <v>3</v>
      </c>
      <c r="Q253" s="20" t="str" cm="1">
        <f t="array" ref="Q253">_xlfn.IFS(P253&lt;=3,"Q1",P253&lt;=6,"Q2",P253&lt;=9,"Q3",P253&lt;=12,"Q4")</f>
        <v>Q1</v>
      </c>
    </row>
    <row r="254" spans="1:17" x14ac:dyDescent="0.25">
      <c r="A254" s="8">
        <v>45729</v>
      </c>
      <c r="B254" s="9" t="s">
        <v>69</v>
      </c>
      <c r="C254" s="9" t="s">
        <v>70</v>
      </c>
      <c r="D254" s="9" t="s">
        <v>71</v>
      </c>
      <c r="E254" s="10">
        <v>632.84</v>
      </c>
      <c r="F254" s="10">
        <v>638.20000000000005</v>
      </c>
      <c r="G254" s="10">
        <v>631.73</v>
      </c>
      <c r="H254" s="10">
        <v>634.59</v>
      </c>
      <c r="I254" s="11">
        <v>2840241</v>
      </c>
      <c r="J254" s="10">
        <v>507672000000</v>
      </c>
      <c r="K254" s="30">
        <f t="shared" si="18"/>
        <v>0.27653119271853865</v>
      </c>
      <c r="L254" s="31">
        <f t="shared" si="19"/>
        <v>6.4700000000000273</v>
      </c>
      <c r="M254" s="30">
        <f t="shared" si="20"/>
        <v>1.0223753239365443E-2</v>
      </c>
      <c r="N254" s="20" t="str">
        <f t="shared" si="23"/>
        <v>High volume</v>
      </c>
      <c r="O254" s="32">
        <f t="shared" si="21"/>
        <v>507.67200000000003</v>
      </c>
      <c r="P254" s="20">
        <f t="shared" si="22"/>
        <v>3</v>
      </c>
      <c r="Q254" s="20" t="str" cm="1">
        <f t="array" ref="Q254">_xlfn.IFS(P254&lt;=3,"Q1",P254&lt;=6,"Q2",P254&lt;=9,"Q3",P254&lt;=12,"Q4")</f>
        <v>Q1</v>
      </c>
    </row>
    <row r="255" spans="1:17" x14ac:dyDescent="0.25">
      <c r="A255" s="14">
        <v>45729</v>
      </c>
      <c r="B255" s="15" t="s">
        <v>73</v>
      </c>
      <c r="C255" s="15" t="s">
        <v>74</v>
      </c>
      <c r="D255" s="15" t="s">
        <v>75</v>
      </c>
      <c r="E255" s="16">
        <v>121.27</v>
      </c>
      <c r="F255" s="16">
        <v>121.64</v>
      </c>
      <c r="G255" s="16">
        <v>120.03</v>
      </c>
      <c r="H255" s="16">
        <v>120.6</v>
      </c>
      <c r="I255" s="17">
        <v>922356</v>
      </c>
      <c r="J255" s="16">
        <v>26532000000</v>
      </c>
      <c r="K255" s="30">
        <f t="shared" si="18"/>
        <v>-0.55248618784530534</v>
      </c>
      <c r="L255" s="31">
        <f t="shared" si="19"/>
        <v>1.6099999999999994</v>
      </c>
      <c r="M255" s="30">
        <f t="shared" si="20"/>
        <v>1.3276160633297595E-2</v>
      </c>
      <c r="N255" s="20" t="str">
        <f t="shared" si="23"/>
        <v>Normal</v>
      </c>
      <c r="O255" s="32">
        <f t="shared" si="21"/>
        <v>26.532</v>
      </c>
      <c r="P255" s="20">
        <f t="shared" si="22"/>
        <v>3</v>
      </c>
      <c r="Q255" s="20" t="str" cm="1">
        <f t="array" ref="Q255">_xlfn.IFS(P255&lt;=3,"Q1",P255&lt;=6,"Q2",P255&lt;=9,"Q3",P255&lt;=12,"Q4")</f>
        <v>Q1</v>
      </c>
    </row>
    <row r="256" spans="1:17" x14ac:dyDescent="0.25">
      <c r="A256" s="8">
        <v>45729</v>
      </c>
      <c r="B256" s="9" t="s">
        <v>76</v>
      </c>
      <c r="C256" s="9" t="s">
        <v>77</v>
      </c>
      <c r="D256" s="9" t="s">
        <v>75</v>
      </c>
      <c r="E256" s="10">
        <v>121.47</v>
      </c>
      <c r="F256" s="10">
        <v>122.46</v>
      </c>
      <c r="G256" s="10">
        <v>119.75</v>
      </c>
      <c r="H256" s="10">
        <v>119.96</v>
      </c>
      <c r="I256" s="11">
        <v>1057461</v>
      </c>
      <c r="J256" s="10">
        <v>23992000000</v>
      </c>
      <c r="K256" s="30">
        <f t="shared" si="18"/>
        <v>-1.2431052934881082</v>
      </c>
      <c r="L256" s="31">
        <f t="shared" si="19"/>
        <v>2.7099999999999937</v>
      </c>
      <c r="M256" s="30">
        <f t="shared" si="20"/>
        <v>2.2310035399687116E-2</v>
      </c>
      <c r="N256" s="20" t="str">
        <f t="shared" si="23"/>
        <v>Normal</v>
      </c>
      <c r="O256" s="32">
        <f t="shared" si="21"/>
        <v>23.992000000000001</v>
      </c>
      <c r="P256" s="20">
        <f t="shared" si="22"/>
        <v>3</v>
      </c>
      <c r="Q256" s="20" t="str" cm="1">
        <f t="array" ref="Q256">_xlfn.IFS(P256&lt;=3,"Q1",P256&lt;=6,"Q2",P256&lt;=9,"Q3",P256&lt;=12,"Q4")</f>
        <v>Q1</v>
      </c>
    </row>
    <row r="257" spans="1:17" x14ac:dyDescent="0.25">
      <c r="A257" s="14">
        <v>45730</v>
      </c>
      <c r="B257" s="15" t="s">
        <v>60</v>
      </c>
      <c r="C257" s="15" t="s">
        <v>61</v>
      </c>
      <c r="D257" s="15" t="s">
        <v>62</v>
      </c>
      <c r="E257" s="16">
        <v>2914.25</v>
      </c>
      <c r="F257" s="16">
        <v>2935.05</v>
      </c>
      <c r="G257" s="16">
        <v>2895.91</v>
      </c>
      <c r="H257" s="16">
        <v>2914.02</v>
      </c>
      <c r="I257" s="17">
        <v>4949942</v>
      </c>
      <c r="J257" s="16">
        <v>4079628000000</v>
      </c>
      <c r="K257" s="30">
        <f t="shared" si="18"/>
        <v>-7.8922535815396135E-3</v>
      </c>
      <c r="L257" s="31">
        <f t="shared" si="19"/>
        <v>39.140000000000327</v>
      </c>
      <c r="M257" s="30">
        <f t="shared" si="20"/>
        <v>1.3430556747019071E-2</v>
      </c>
      <c r="N257" s="20" t="str">
        <f t="shared" si="23"/>
        <v>High volume</v>
      </c>
      <c r="O257" s="32">
        <f t="shared" si="21"/>
        <v>4079.6280000000002</v>
      </c>
      <c r="P257" s="20">
        <f t="shared" si="22"/>
        <v>3</v>
      </c>
      <c r="Q257" s="20" t="str" cm="1">
        <f t="array" ref="Q257">_xlfn.IFS(P257&lt;=3,"Q1",P257&lt;=6,"Q2",P257&lt;=9,"Q3",P257&lt;=12,"Q4")</f>
        <v>Q1</v>
      </c>
    </row>
    <row r="258" spans="1:17" x14ac:dyDescent="0.25">
      <c r="A258" s="8">
        <v>45730</v>
      </c>
      <c r="B258" s="9" t="s">
        <v>65</v>
      </c>
      <c r="C258" s="9" t="s">
        <v>66</v>
      </c>
      <c r="D258" s="9" t="s">
        <v>67</v>
      </c>
      <c r="E258" s="10">
        <v>218.19</v>
      </c>
      <c r="F258" s="10">
        <v>219</v>
      </c>
      <c r="G258" s="10">
        <v>214.49</v>
      </c>
      <c r="H258" s="10">
        <v>217.07</v>
      </c>
      <c r="I258" s="11">
        <v>1879067</v>
      </c>
      <c r="J258" s="10">
        <v>54267500000</v>
      </c>
      <c r="K258" s="30">
        <f t="shared" si="18"/>
        <v>-0.51331408405518331</v>
      </c>
      <c r="L258" s="31">
        <f t="shared" si="19"/>
        <v>4.5099999999999909</v>
      </c>
      <c r="M258" s="30">
        <f t="shared" si="20"/>
        <v>2.067005820615056E-2</v>
      </c>
      <c r="N258" s="20" t="str">
        <f t="shared" si="23"/>
        <v>Normal</v>
      </c>
      <c r="O258" s="32">
        <f t="shared" si="21"/>
        <v>54.267499999999998</v>
      </c>
      <c r="P258" s="20">
        <f t="shared" si="22"/>
        <v>3</v>
      </c>
      <c r="Q258" s="20" t="str" cm="1">
        <f t="array" ref="Q258">_xlfn.IFS(P258&lt;=3,"Q1",P258&lt;=6,"Q2",P258&lt;=9,"Q3",P258&lt;=12,"Q4")</f>
        <v>Q1</v>
      </c>
    </row>
    <row r="259" spans="1:17" x14ac:dyDescent="0.25">
      <c r="A259" s="14">
        <v>45730</v>
      </c>
      <c r="B259" s="15" t="s">
        <v>69</v>
      </c>
      <c r="C259" s="15" t="s">
        <v>70</v>
      </c>
      <c r="D259" s="15" t="s">
        <v>71</v>
      </c>
      <c r="E259" s="16">
        <v>640.03</v>
      </c>
      <c r="F259" s="16">
        <v>642.55999999999995</v>
      </c>
      <c r="G259" s="16">
        <v>634.79</v>
      </c>
      <c r="H259" s="16">
        <v>635.96</v>
      </c>
      <c r="I259" s="17">
        <v>819034</v>
      </c>
      <c r="J259" s="16">
        <v>508768000000</v>
      </c>
      <c r="K259" s="30">
        <f t="shared" ref="K259:K322" si="24">((H259-E259)/E259)*100</f>
        <v>-0.63590769182693574</v>
      </c>
      <c r="L259" s="31">
        <f t="shared" ref="L259:L322" si="25">F259-G259</f>
        <v>7.7699999999999818</v>
      </c>
      <c r="M259" s="30">
        <f t="shared" ref="M259:M322" si="26">L259/E259</f>
        <v>1.2140055934878024E-2</v>
      </c>
      <c r="N259" s="20" t="str">
        <f t="shared" si="23"/>
        <v>Normal</v>
      </c>
      <c r="O259" s="32">
        <f t="shared" ref="O259:O322" si="27">J259/1000000000</f>
        <v>508.76799999999997</v>
      </c>
      <c r="P259" s="20">
        <f t="shared" ref="P259:P322" si="28">MONTH(A259)</f>
        <v>3</v>
      </c>
      <c r="Q259" s="20" t="str" cm="1">
        <f t="array" ref="Q259">_xlfn.IFS(P259&lt;=3,"Q1",P259&lt;=6,"Q2",P259&lt;=9,"Q3",P259&lt;=12,"Q4")</f>
        <v>Q1</v>
      </c>
    </row>
    <row r="260" spans="1:17" x14ac:dyDescent="0.25">
      <c r="A260" s="8">
        <v>45730</v>
      </c>
      <c r="B260" s="9" t="s">
        <v>73</v>
      </c>
      <c r="C260" s="9" t="s">
        <v>74</v>
      </c>
      <c r="D260" s="9" t="s">
        <v>75</v>
      </c>
      <c r="E260" s="10">
        <v>117.48</v>
      </c>
      <c r="F260" s="10">
        <v>118</v>
      </c>
      <c r="G260" s="10">
        <v>116.09</v>
      </c>
      <c r="H260" s="10">
        <v>116.25</v>
      </c>
      <c r="I260" s="11">
        <v>1747529</v>
      </c>
      <c r="J260" s="10">
        <v>25575000000</v>
      </c>
      <c r="K260" s="30">
        <f t="shared" si="24"/>
        <v>-1.046986721144028</v>
      </c>
      <c r="L260" s="31">
        <f t="shared" si="25"/>
        <v>1.9099999999999966</v>
      </c>
      <c r="M260" s="30">
        <f t="shared" si="26"/>
        <v>1.6258086482805554E-2</v>
      </c>
      <c r="N260" s="20" t="str">
        <f t="shared" ref="N260:N323" si="29">IF(I260&gt;2000000,"High volume","Normal")</f>
        <v>Normal</v>
      </c>
      <c r="O260" s="32">
        <f t="shared" si="27"/>
        <v>25.574999999999999</v>
      </c>
      <c r="P260" s="20">
        <f t="shared" si="28"/>
        <v>3</v>
      </c>
      <c r="Q260" s="20" t="str" cm="1">
        <f t="array" ref="Q260">_xlfn.IFS(P260&lt;=3,"Q1",P260&lt;=6,"Q2",P260&lt;=9,"Q3",P260&lt;=12,"Q4")</f>
        <v>Q1</v>
      </c>
    </row>
    <row r="261" spans="1:17" x14ac:dyDescent="0.25">
      <c r="A261" s="14">
        <v>45730</v>
      </c>
      <c r="B261" s="15" t="s">
        <v>76</v>
      </c>
      <c r="C261" s="15" t="s">
        <v>77</v>
      </c>
      <c r="D261" s="15" t="s">
        <v>75</v>
      </c>
      <c r="E261" s="16">
        <v>115.62</v>
      </c>
      <c r="F261" s="16">
        <v>117.03</v>
      </c>
      <c r="G261" s="16">
        <v>115.27</v>
      </c>
      <c r="H261" s="16">
        <v>117.01</v>
      </c>
      <c r="I261" s="17">
        <v>4696205</v>
      </c>
      <c r="J261" s="16">
        <v>23402000000</v>
      </c>
      <c r="K261" s="30">
        <f t="shared" si="24"/>
        <v>1.202214149801073</v>
      </c>
      <c r="L261" s="31">
        <f t="shared" si="25"/>
        <v>1.7600000000000051</v>
      </c>
      <c r="M261" s="30">
        <f t="shared" si="26"/>
        <v>1.5222279882373336E-2</v>
      </c>
      <c r="N261" s="20" t="str">
        <f t="shared" si="29"/>
        <v>High volume</v>
      </c>
      <c r="O261" s="32">
        <f t="shared" si="27"/>
        <v>23.402000000000001</v>
      </c>
      <c r="P261" s="20">
        <f t="shared" si="28"/>
        <v>3</v>
      </c>
      <c r="Q261" s="20" t="str" cm="1">
        <f t="array" ref="Q261">_xlfn.IFS(P261&lt;=3,"Q1",P261&lt;=6,"Q2",P261&lt;=9,"Q3",P261&lt;=12,"Q4")</f>
        <v>Q1</v>
      </c>
    </row>
    <row r="262" spans="1:17" x14ac:dyDescent="0.25">
      <c r="A262" s="8">
        <v>45733</v>
      </c>
      <c r="B262" s="9" t="s">
        <v>60</v>
      </c>
      <c r="C262" s="9" t="s">
        <v>61</v>
      </c>
      <c r="D262" s="9" t="s">
        <v>62</v>
      </c>
      <c r="E262" s="10">
        <v>2889.16</v>
      </c>
      <c r="F262" s="10">
        <v>2891.1</v>
      </c>
      <c r="G262" s="10">
        <v>2876.01</v>
      </c>
      <c r="H262" s="10">
        <v>2882.18</v>
      </c>
      <c r="I262" s="11">
        <v>3138429</v>
      </c>
      <c r="J262" s="10">
        <v>4035052000000</v>
      </c>
      <c r="K262" s="30">
        <f t="shared" si="24"/>
        <v>-0.24159271206856034</v>
      </c>
      <c r="L262" s="31">
        <f t="shared" si="25"/>
        <v>15.089999999999691</v>
      </c>
      <c r="M262" s="30">
        <f t="shared" si="26"/>
        <v>5.2229713826855177E-3</v>
      </c>
      <c r="N262" s="20" t="str">
        <f t="shared" si="29"/>
        <v>High volume</v>
      </c>
      <c r="O262" s="32">
        <f t="shared" si="27"/>
        <v>4035.0520000000001</v>
      </c>
      <c r="P262" s="20">
        <f t="shared" si="28"/>
        <v>3</v>
      </c>
      <c r="Q262" s="20" t="str" cm="1">
        <f t="array" ref="Q262">_xlfn.IFS(P262&lt;=3,"Q1",P262&lt;=6,"Q2",P262&lt;=9,"Q3",P262&lt;=12,"Q4")</f>
        <v>Q1</v>
      </c>
    </row>
    <row r="263" spans="1:17" x14ac:dyDescent="0.25">
      <c r="A263" s="14">
        <v>45733</v>
      </c>
      <c r="B263" s="15" t="s">
        <v>65</v>
      </c>
      <c r="C263" s="15" t="s">
        <v>66</v>
      </c>
      <c r="D263" s="15" t="s">
        <v>67</v>
      </c>
      <c r="E263" s="16">
        <v>219.02</v>
      </c>
      <c r="F263" s="16">
        <v>219.27</v>
      </c>
      <c r="G263" s="16">
        <v>218.5</v>
      </c>
      <c r="H263" s="16">
        <v>218.99</v>
      </c>
      <c r="I263" s="17">
        <v>3107242</v>
      </c>
      <c r="J263" s="16">
        <v>54747500000</v>
      </c>
      <c r="K263" s="30">
        <f t="shared" si="24"/>
        <v>-1.3697379234773599E-2</v>
      </c>
      <c r="L263" s="31">
        <f t="shared" si="25"/>
        <v>0.77000000000001023</v>
      </c>
      <c r="M263" s="30">
        <f t="shared" si="26"/>
        <v>3.5156606702584706E-3</v>
      </c>
      <c r="N263" s="20" t="str">
        <f t="shared" si="29"/>
        <v>High volume</v>
      </c>
      <c r="O263" s="32">
        <f t="shared" si="27"/>
        <v>54.747500000000002</v>
      </c>
      <c r="P263" s="20">
        <f t="shared" si="28"/>
        <v>3</v>
      </c>
      <c r="Q263" s="20" t="str" cm="1">
        <f t="array" ref="Q263">_xlfn.IFS(P263&lt;=3,"Q1",P263&lt;=6,"Q2",P263&lt;=9,"Q3",P263&lt;=12,"Q4")</f>
        <v>Q1</v>
      </c>
    </row>
    <row r="264" spans="1:17" x14ac:dyDescent="0.25">
      <c r="A264" s="8">
        <v>45733</v>
      </c>
      <c r="B264" s="9" t="s">
        <v>69</v>
      </c>
      <c r="C264" s="9" t="s">
        <v>70</v>
      </c>
      <c r="D264" s="9" t="s">
        <v>71</v>
      </c>
      <c r="E264" s="10">
        <v>639.98</v>
      </c>
      <c r="F264" s="10">
        <v>640.9</v>
      </c>
      <c r="G264" s="10">
        <v>638.16</v>
      </c>
      <c r="H264" s="10">
        <v>640.14</v>
      </c>
      <c r="I264" s="11">
        <v>1561422</v>
      </c>
      <c r="J264" s="10">
        <v>512112000000</v>
      </c>
      <c r="K264" s="30">
        <f t="shared" si="24"/>
        <v>2.5000781274409849E-2</v>
      </c>
      <c r="L264" s="31">
        <f t="shared" si="25"/>
        <v>2.7400000000000091</v>
      </c>
      <c r="M264" s="30">
        <f t="shared" si="26"/>
        <v>4.281383793243553E-3</v>
      </c>
      <c r="N264" s="20" t="str">
        <f t="shared" si="29"/>
        <v>Normal</v>
      </c>
      <c r="O264" s="32">
        <f t="shared" si="27"/>
        <v>512.11199999999997</v>
      </c>
      <c r="P264" s="20">
        <f t="shared" si="28"/>
        <v>3</v>
      </c>
      <c r="Q264" s="20" t="str" cm="1">
        <f t="array" ref="Q264">_xlfn.IFS(P264&lt;=3,"Q1",P264&lt;=6,"Q2",P264&lt;=9,"Q3",P264&lt;=12,"Q4")</f>
        <v>Q1</v>
      </c>
    </row>
    <row r="265" spans="1:17" x14ac:dyDescent="0.25">
      <c r="A265" s="14">
        <v>45733</v>
      </c>
      <c r="B265" s="15" t="s">
        <v>73</v>
      </c>
      <c r="C265" s="15" t="s">
        <v>74</v>
      </c>
      <c r="D265" s="15" t="s">
        <v>75</v>
      </c>
      <c r="E265" s="16">
        <v>114.99</v>
      </c>
      <c r="F265" s="16">
        <v>115.6</v>
      </c>
      <c r="G265" s="16">
        <v>113.94</v>
      </c>
      <c r="H265" s="16">
        <v>114.17</v>
      </c>
      <c r="I265" s="17">
        <v>3234509</v>
      </c>
      <c r="J265" s="16">
        <v>25117400000</v>
      </c>
      <c r="K265" s="30">
        <f t="shared" si="24"/>
        <v>-0.71310548743368396</v>
      </c>
      <c r="L265" s="31">
        <f t="shared" si="25"/>
        <v>1.6599999999999966</v>
      </c>
      <c r="M265" s="30">
        <f t="shared" si="26"/>
        <v>1.4436037916340523E-2</v>
      </c>
      <c r="N265" s="20" t="str">
        <f t="shared" si="29"/>
        <v>High volume</v>
      </c>
      <c r="O265" s="32">
        <f t="shared" si="27"/>
        <v>25.1174</v>
      </c>
      <c r="P265" s="20">
        <f t="shared" si="28"/>
        <v>3</v>
      </c>
      <c r="Q265" s="20" t="str" cm="1">
        <f t="array" ref="Q265">_xlfn.IFS(P265&lt;=3,"Q1",P265&lt;=6,"Q2",P265&lt;=9,"Q3",P265&lt;=12,"Q4")</f>
        <v>Q1</v>
      </c>
    </row>
    <row r="266" spans="1:17" x14ac:dyDescent="0.25">
      <c r="A266" s="8">
        <v>45733</v>
      </c>
      <c r="B266" s="9" t="s">
        <v>76</v>
      </c>
      <c r="C266" s="9" t="s">
        <v>77</v>
      </c>
      <c r="D266" s="9" t="s">
        <v>75</v>
      </c>
      <c r="E266" s="10">
        <v>116.09</v>
      </c>
      <c r="F266" s="10">
        <v>117.35</v>
      </c>
      <c r="G266" s="10">
        <v>115.83</v>
      </c>
      <c r="H266" s="10">
        <v>116.91</v>
      </c>
      <c r="I266" s="11">
        <v>1010674</v>
      </c>
      <c r="J266" s="10">
        <v>23382000000</v>
      </c>
      <c r="K266" s="30">
        <f t="shared" si="24"/>
        <v>0.70634852269790094</v>
      </c>
      <c r="L266" s="31">
        <f t="shared" si="25"/>
        <v>1.519999999999996</v>
      </c>
      <c r="M266" s="30">
        <f t="shared" si="26"/>
        <v>1.3093289689034336E-2</v>
      </c>
      <c r="N266" s="20" t="str">
        <f t="shared" si="29"/>
        <v>Normal</v>
      </c>
      <c r="O266" s="32">
        <f t="shared" si="27"/>
        <v>23.382000000000001</v>
      </c>
      <c r="P266" s="20">
        <f t="shared" si="28"/>
        <v>3</v>
      </c>
      <c r="Q266" s="20" t="str" cm="1">
        <f t="array" ref="Q266">_xlfn.IFS(P266&lt;=3,"Q1",P266&lt;=6,"Q2",P266&lt;=9,"Q3",P266&lt;=12,"Q4")</f>
        <v>Q1</v>
      </c>
    </row>
    <row r="267" spans="1:17" x14ac:dyDescent="0.25">
      <c r="A267" s="14">
        <v>45734</v>
      </c>
      <c r="B267" s="15" t="s">
        <v>60</v>
      </c>
      <c r="C267" s="15" t="s">
        <v>61</v>
      </c>
      <c r="D267" s="15" t="s">
        <v>62</v>
      </c>
      <c r="E267" s="16">
        <v>2863.41</v>
      </c>
      <c r="F267" s="16">
        <v>2871.55</v>
      </c>
      <c r="G267" s="16">
        <v>2842.68</v>
      </c>
      <c r="H267" s="16">
        <v>2865.54</v>
      </c>
      <c r="I267" s="17">
        <v>1372011</v>
      </c>
      <c r="J267" s="16">
        <v>4011756000000</v>
      </c>
      <c r="K267" s="30">
        <f t="shared" si="24"/>
        <v>7.438683248295247E-2</v>
      </c>
      <c r="L267" s="31">
        <f t="shared" si="25"/>
        <v>28.870000000000346</v>
      </c>
      <c r="M267" s="30">
        <f t="shared" si="26"/>
        <v>1.0082384290059875E-2</v>
      </c>
      <c r="N267" s="20" t="str">
        <f t="shared" si="29"/>
        <v>Normal</v>
      </c>
      <c r="O267" s="32">
        <f t="shared" si="27"/>
        <v>4011.7559999999999</v>
      </c>
      <c r="P267" s="20">
        <f t="shared" si="28"/>
        <v>3</v>
      </c>
      <c r="Q267" s="20" t="str" cm="1">
        <f t="array" ref="Q267">_xlfn.IFS(P267&lt;=3,"Q1",P267&lt;=6,"Q2",P267&lt;=9,"Q3",P267&lt;=12,"Q4")</f>
        <v>Q1</v>
      </c>
    </row>
    <row r="268" spans="1:17" x14ac:dyDescent="0.25">
      <c r="A268" s="8">
        <v>45734</v>
      </c>
      <c r="B268" s="9" t="s">
        <v>65</v>
      </c>
      <c r="C268" s="9" t="s">
        <v>66</v>
      </c>
      <c r="D268" s="9" t="s">
        <v>67</v>
      </c>
      <c r="E268" s="10">
        <v>216.06</v>
      </c>
      <c r="F268" s="10">
        <v>218.91</v>
      </c>
      <c r="G268" s="10">
        <v>215.87</v>
      </c>
      <c r="H268" s="10">
        <v>217.47</v>
      </c>
      <c r="I268" s="11">
        <v>3851790</v>
      </c>
      <c r="J268" s="10">
        <v>54367500000</v>
      </c>
      <c r="K268" s="30">
        <f t="shared" si="24"/>
        <v>0.65259650097195065</v>
      </c>
      <c r="L268" s="31">
        <f t="shared" si="25"/>
        <v>3.039999999999992</v>
      </c>
      <c r="M268" s="30">
        <f t="shared" si="26"/>
        <v>1.4070165694714394E-2</v>
      </c>
      <c r="N268" s="20" t="str">
        <f t="shared" si="29"/>
        <v>High volume</v>
      </c>
      <c r="O268" s="32">
        <f t="shared" si="27"/>
        <v>54.3675</v>
      </c>
      <c r="P268" s="20">
        <f t="shared" si="28"/>
        <v>3</v>
      </c>
      <c r="Q268" s="20" t="str" cm="1">
        <f t="array" ref="Q268">_xlfn.IFS(P268&lt;=3,"Q1",P268&lt;=6,"Q2",P268&lt;=9,"Q3",P268&lt;=12,"Q4")</f>
        <v>Q1</v>
      </c>
    </row>
    <row r="269" spans="1:17" x14ac:dyDescent="0.25">
      <c r="A269" s="14">
        <v>45734</v>
      </c>
      <c r="B269" s="15" t="s">
        <v>69</v>
      </c>
      <c r="C269" s="15" t="s">
        <v>70</v>
      </c>
      <c r="D269" s="15" t="s">
        <v>71</v>
      </c>
      <c r="E269" s="16">
        <v>625.70000000000005</v>
      </c>
      <c r="F269" s="16">
        <v>626.66</v>
      </c>
      <c r="G269" s="16">
        <v>625.65</v>
      </c>
      <c r="H269" s="16">
        <v>625.96</v>
      </c>
      <c r="I269" s="17">
        <v>2096778</v>
      </c>
      <c r="J269" s="16">
        <v>500768000000</v>
      </c>
      <c r="K269" s="30">
        <f t="shared" si="24"/>
        <v>4.1553460124658922E-2</v>
      </c>
      <c r="L269" s="31">
        <f t="shared" si="25"/>
        <v>1.0099999999999909</v>
      </c>
      <c r="M269" s="30">
        <f t="shared" si="26"/>
        <v>1.6141921048425617E-3</v>
      </c>
      <c r="N269" s="20" t="str">
        <f t="shared" si="29"/>
        <v>High volume</v>
      </c>
      <c r="O269" s="32">
        <f t="shared" si="27"/>
        <v>500.76799999999997</v>
      </c>
      <c r="P269" s="20">
        <f t="shared" si="28"/>
        <v>3</v>
      </c>
      <c r="Q269" s="20" t="str" cm="1">
        <f t="array" ref="Q269">_xlfn.IFS(P269&lt;=3,"Q1",P269&lt;=6,"Q2",P269&lt;=9,"Q3",P269&lt;=12,"Q4")</f>
        <v>Q1</v>
      </c>
    </row>
    <row r="270" spans="1:17" x14ac:dyDescent="0.25">
      <c r="A270" s="8">
        <v>45734</v>
      </c>
      <c r="B270" s="9" t="s">
        <v>73</v>
      </c>
      <c r="C270" s="9" t="s">
        <v>74</v>
      </c>
      <c r="D270" s="9" t="s">
        <v>75</v>
      </c>
      <c r="E270" s="10">
        <v>112.6</v>
      </c>
      <c r="F270" s="10">
        <v>113.89</v>
      </c>
      <c r="G270" s="10">
        <v>111.12</v>
      </c>
      <c r="H270" s="10">
        <v>111.55</v>
      </c>
      <c r="I270" s="11">
        <v>2781283</v>
      </c>
      <c r="J270" s="10">
        <v>24541000000</v>
      </c>
      <c r="K270" s="30">
        <f t="shared" si="24"/>
        <v>-0.93250444049733316</v>
      </c>
      <c r="L270" s="31">
        <f t="shared" si="25"/>
        <v>2.769999999999996</v>
      </c>
      <c r="M270" s="30">
        <f t="shared" si="26"/>
        <v>2.4600355239786823E-2</v>
      </c>
      <c r="N270" s="20" t="str">
        <f t="shared" si="29"/>
        <v>High volume</v>
      </c>
      <c r="O270" s="32">
        <f t="shared" si="27"/>
        <v>24.541</v>
      </c>
      <c r="P270" s="20">
        <f t="shared" si="28"/>
        <v>3</v>
      </c>
      <c r="Q270" s="20" t="str" cm="1">
        <f t="array" ref="Q270">_xlfn.IFS(P270&lt;=3,"Q1",P270&lt;=6,"Q2",P270&lt;=9,"Q3",P270&lt;=12,"Q4")</f>
        <v>Q1</v>
      </c>
    </row>
    <row r="271" spans="1:17" x14ac:dyDescent="0.25">
      <c r="A271" s="14">
        <v>45734</v>
      </c>
      <c r="B271" s="15" t="s">
        <v>76</v>
      </c>
      <c r="C271" s="15" t="s">
        <v>77</v>
      </c>
      <c r="D271" s="15" t="s">
        <v>75</v>
      </c>
      <c r="E271" s="16">
        <v>124.5</v>
      </c>
      <c r="F271" s="16">
        <v>124.76</v>
      </c>
      <c r="G271" s="16">
        <v>124.12</v>
      </c>
      <c r="H271" s="16">
        <v>124.61</v>
      </c>
      <c r="I271" s="17">
        <v>4716867</v>
      </c>
      <c r="J271" s="16">
        <v>24922000000</v>
      </c>
      <c r="K271" s="30">
        <f t="shared" si="24"/>
        <v>8.8353413654618018E-2</v>
      </c>
      <c r="L271" s="31">
        <f t="shared" si="25"/>
        <v>0.64000000000000057</v>
      </c>
      <c r="M271" s="30">
        <f t="shared" si="26"/>
        <v>5.1405622489959883E-3</v>
      </c>
      <c r="N271" s="20" t="str">
        <f t="shared" si="29"/>
        <v>High volume</v>
      </c>
      <c r="O271" s="32">
        <f t="shared" si="27"/>
        <v>24.922000000000001</v>
      </c>
      <c r="P271" s="20">
        <f t="shared" si="28"/>
        <v>3</v>
      </c>
      <c r="Q271" s="20" t="str" cm="1">
        <f t="array" ref="Q271">_xlfn.IFS(P271&lt;=3,"Q1",P271&lt;=6,"Q2",P271&lt;=9,"Q3",P271&lt;=12,"Q4")</f>
        <v>Q1</v>
      </c>
    </row>
    <row r="272" spans="1:17" x14ac:dyDescent="0.25">
      <c r="A272" s="8">
        <v>45735</v>
      </c>
      <c r="B272" s="9" t="s">
        <v>60</v>
      </c>
      <c r="C272" s="9" t="s">
        <v>61</v>
      </c>
      <c r="D272" s="9" t="s">
        <v>62</v>
      </c>
      <c r="E272" s="10">
        <v>2903.98</v>
      </c>
      <c r="F272" s="10">
        <v>2908.93</v>
      </c>
      <c r="G272" s="10">
        <v>2902.72</v>
      </c>
      <c r="H272" s="10">
        <v>2905.06</v>
      </c>
      <c r="I272" s="11">
        <v>1661028</v>
      </c>
      <c r="J272" s="10">
        <v>4067084000000</v>
      </c>
      <c r="K272" s="30">
        <f t="shared" si="24"/>
        <v>3.719033877643535E-2</v>
      </c>
      <c r="L272" s="31">
        <f t="shared" si="25"/>
        <v>6.2100000000000364</v>
      </c>
      <c r="M272" s="30">
        <f t="shared" si="26"/>
        <v>2.1384444796451892E-3</v>
      </c>
      <c r="N272" s="20" t="str">
        <f t="shared" si="29"/>
        <v>Normal</v>
      </c>
      <c r="O272" s="32">
        <f t="shared" si="27"/>
        <v>4067.0839999999998</v>
      </c>
      <c r="P272" s="20">
        <f t="shared" si="28"/>
        <v>3</v>
      </c>
      <c r="Q272" s="20" t="str" cm="1">
        <f t="array" ref="Q272">_xlfn.IFS(P272&lt;=3,"Q1",P272&lt;=6,"Q2",P272&lt;=9,"Q3",P272&lt;=12,"Q4")</f>
        <v>Q1</v>
      </c>
    </row>
    <row r="273" spans="1:17" x14ac:dyDescent="0.25">
      <c r="A273" s="14">
        <v>45735</v>
      </c>
      <c r="B273" s="15" t="s">
        <v>65</v>
      </c>
      <c r="C273" s="15" t="s">
        <v>66</v>
      </c>
      <c r="D273" s="15" t="s">
        <v>67</v>
      </c>
      <c r="E273" s="16">
        <v>215.79</v>
      </c>
      <c r="F273" s="16">
        <v>216.91</v>
      </c>
      <c r="G273" s="16">
        <v>213.38</v>
      </c>
      <c r="H273" s="16">
        <v>215.59</v>
      </c>
      <c r="I273" s="17">
        <v>1688643</v>
      </c>
      <c r="J273" s="16">
        <v>53897500000</v>
      </c>
      <c r="K273" s="30">
        <f t="shared" si="24"/>
        <v>-9.2682700773895288E-2</v>
      </c>
      <c r="L273" s="31">
        <f t="shared" si="25"/>
        <v>3.5300000000000011</v>
      </c>
      <c r="M273" s="30">
        <f t="shared" si="26"/>
        <v>1.6358496686593452E-2</v>
      </c>
      <c r="N273" s="20" t="str">
        <f t="shared" si="29"/>
        <v>Normal</v>
      </c>
      <c r="O273" s="32">
        <f t="shared" si="27"/>
        <v>53.897500000000001</v>
      </c>
      <c r="P273" s="20">
        <f t="shared" si="28"/>
        <v>3</v>
      </c>
      <c r="Q273" s="20" t="str" cm="1">
        <f t="array" ref="Q273">_xlfn.IFS(P273&lt;=3,"Q1",P273&lt;=6,"Q2",P273&lt;=9,"Q3",P273&lt;=12,"Q4")</f>
        <v>Q1</v>
      </c>
    </row>
    <row r="274" spans="1:17" x14ac:dyDescent="0.25">
      <c r="A274" s="8">
        <v>45735</v>
      </c>
      <c r="B274" s="9" t="s">
        <v>69</v>
      </c>
      <c r="C274" s="9" t="s">
        <v>70</v>
      </c>
      <c r="D274" s="9" t="s">
        <v>71</v>
      </c>
      <c r="E274" s="10">
        <v>625.58000000000004</v>
      </c>
      <c r="F274" s="10">
        <v>627.04999999999995</v>
      </c>
      <c r="G274" s="10">
        <v>620.33000000000004</v>
      </c>
      <c r="H274" s="10">
        <v>626.85</v>
      </c>
      <c r="I274" s="11">
        <v>2690148</v>
      </c>
      <c r="J274" s="10">
        <v>501480000000</v>
      </c>
      <c r="K274" s="30">
        <f t="shared" si="24"/>
        <v>0.20301160523034331</v>
      </c>
      <c r="L274" s="31">
        <f t="shared" si="25"/>
        <v>6.7199999999999136</v>
      </c>
      <c r="M274" s="30">
        <f t="shared" si="26"/>
        <v>1.0742031394865426E-2</v>
      </c>
      <c r="N274" s="20" t="str">
        <f t="shared" si="29"/>
        <v>High volume</v>
      </c>
      <c r="O274" s="32">
        <f t="shared" si="27"/>
        <v>501.48</v>
      </c>
      <c r="P274" s="20">
        <f t="shared" si="28"/>
        <v>3</v>
      </c>
      <c r="Q274" s="20" t="str" cm="1">
        <f t="array" ref="Q274">_xlfn.IFS(P274&lt;=3,"Q1",P274&lt;=6,"Q2",P274&lt;=9,"Q3",P274&lt;=12,"Q4")</f>
        <v>Q1</v>
      </c>
    </row>
    <row r="275" spans="1:17" x14ac:dyDescent="0.25">
      <c r="A275" s="14">
        <v>45735</v>
      </c>
      <c r="B275" s="15" t="s">
        <v>73</v>
      </c>
      <c r="C275" s="15" t="s">
        <v>74</v>
      </c>
      <c r="D275" s="15" t="s">
        <v>75</v>
      </c>
      <c r="E275" s="16">
        <v>113.58</v>
      </c>
      <c r="F275" s="16">
        <v>113.6</v>
      </c>
      <c r="G275" s="16">
        <v>111.99</v>
      </c>
      <c r="H275" s="16">
        <v>112.37</v>
      </c>
      <c r="I275" s="17">
        <v>2306290</v>
      </c>
      <c r="J275" s="16">
        <v>24721400000</v>
      </c>
      <c r="K275" s="30">
        <f t="shared" si="24"/>
        <v>-1.0653284028878269</v>
      </c>
      <c r="L275" s="31">
        <f t="shared" si="25"/>
        <v>1.6099999999999994</v>
      </c>
      <c r="M275" s="30">
        <f t="shared" si="26"/>
        <v>1.4175030815284376E-2</v>
      </c>
      <c r="N275" s="20" t="str">
        <f t="shared" si="29"/>
        <v>High volume</v>
      </c>
      <c r="O275" s="32">
        <f t="shared" si="27"/>
        <v>24.721399999999999</v>
      </c>
      <c r="P275" s="20">
        <f t="shared" si="28"/>
        <v>3</v>
      </c>
      <c r="Q275" s="20" t="str" cm="1">
        <f t="array" ref="Q275">_xlfn.IFS(P275&lt;=3,"Q1",P275&lt;=6,"Q2",P275&lt;=9,"Q3",P275&lt;=12,"Q4")</f>
        <v>Q1</v>
      </c>
    </row>
    <row r="276" spans="1:17" x14ac:dyDescent="0.25">
      <c r="A276" s="8">
        <v>45735</v>
      </c>
      <c r="B276" s="9" t="s">
        <v>76</v>
      </c>
      <c r="C276" s="9" t="s">
        <v>77</v>
      </c>
      <c r="D276" s="9" t="s">
        <v>75</v>
      </c>
      <c r="E276" s="10">
        <v>123.39</v>
      </c>
      <c r="F276" s="10">
        <v>125.06</v>
      </c>
      <c r="G276" s="10">
        <v>121.55</v>
      </c>
      <c r="H276" s="10">
        <v>122.84</v>
      </c>
      <c r="I276" s="11">
        <v>3995998</v>
      </c>
      <c r="J276" s="10">
        <v>24568000000</v>
      </c>
      <c r="K276" s="30">
        <f t="shared" si="24"/>
        <v>-0.445741145959962</v>
      </c>
      <c r="L276" s="31">
        <f t="shared" si="25"/>
        <v>3.5100000000000051</v>
      </c>
      <c r="M276" s="30">
        <f t="shared" si="26"/>
        <v>2.8446389496717767E-2</v>
      </c>
      <c r="N276" s="20" t="str">
        <f t="shared" si="29"/>
        <v>High volume</v>
      </c>
      <c r="O276" s="32">
        <f t="shared" si="27"/>
        <v>24.568000000000001</v>
      </c>
      <c r="P276" s="20">
        <f t="shared" si="28"/>
        <v>3</v>
      </c>
      <c r="Q276" s="20" t="str" cm="1">
        <f t="array" ref="Q276">_xlfn.IFS(P276&lt;=3,"Q1",P276&lt;=6,"Q2",P276&lt;=9,"Q3",P276&lt;=12,"Q4")</f>
        <v>Q1</v>
      </c>
    </row>
    <row r="277" spans="1:17" x14ac:dyDescent="0.25">
      <c r="A277" s="14">
        <v>45736</v>
      </c>
      <c r="B277" s="15" t="s">
        <v>60</v>
      </c>
      <c r="C277" s="15" t="s">
        <v>61</v>
      </c>
      <c r="D277" s="15" t="s">
        <v>62</v>
      </c>
      <c r="E277" s="16">
        <v>2921.65</v>
      </c>
      <c r="F277" s="16">
        <v>2940.12</v>
      </c>
      <c r="G277" s="16">
        <v>2917.12</v>
      </c>
      <c r="H277" s="16">
        <v>2925.9</v>
      </c>
      <c r="I277" s="17">
        <v>4724653</v>
      </c>
      <c r="J277" s="16">
        <v>4096260000000</v>
      </c>
      <c r="K277" s="30">
        <f t="shared" si="24"/>
        <v>0.14546574709496346</v>
      </c>
      <c r="L277" s="31">
        <f t="shared" si="25"/>
        <v>23</v>
      </c>
      <c r="M277" s="30">
        <f t="shared" si="26"/>
        <v>7.8722639604333171E-3</v>
      </c>
      <c r="N277" s="20" t="str">
        <f t="shared" si="29"/>
        <v>High volume</v>
      </c>
      <c r="O277" s="32">
        <f t="shared" si="27"/>
        <v>4096.26</v>
      </c>
      <c r="P277" s="20">
        <f t="shared" si="28"/>
        <v>3</v>
      </c>
      <c r="Q277" s="20" t="str" cm="1">
        <f t="array" ref="Q277">_xlfn.IFS(P277&lt;=3,"Q1",P277&lt;=6,"Q2",P277&lt;=9,"Q3",P277&lt;=12,"Q4")</f>
        <v>Q1</v>
      </c>
    </row>
    <row r="278" spans="1:17" x14ac:dyDescent="0.25">
      <c r="A278" s="8">
        <v>45736</v>
      </c>
      <c r="B278" s="9" t="s">
        <v>65</v>
      </c>
      <c r="C278" s="9" t="s">
        <v>66</v>
      </c>
      <c r="D278" s="9" t="s">
        <v>67</v>
      </c>
      <c r="E278" s="10">
        <v>213.96</v>
      </c>
      <c r="F278" s="10">
        <v>214.46</v>
      </c>
      <c r="G278" s="10">
        <v>213.24</v>
      </c>
      <c r="H278" s="10">
        <v>214.31</v>
      </c>
      <c r="I278" s="11">
        <v>737715</v>
      </c>
      <c r="J278" s="10">
        <v>53577500000</v>
      </c>
      <c r="K278" s="30">
        <f t="shared" si="24"/>
        <v>0.16358197793979917</v>
      </c>
      <c r="L278" s="31">
        <f t="shared" si="25"/>
        <v>1.2199999999999989</v>
      </c>
      <c r="M278" s="30">
        <f t="shared" si="26"/>
        <v>5.7020003739016584E-3</v>
      </c>
      <c r="N278" s="20" t="str">
        <f t="shared" si="29"/>
        <v>Normal</v>
      </c>
      <c r="O278" s="32">
        <f t="shared" si="27"/>
        <v>53.577500000000001</v>
      </c>
      <c r="P278" s="20">
        <f t="shared" si="28"/>
        <v>3</v>
      </c>
      <c r="Q278" s="20" t="str" cm="1">
        <f t="array" ref="Q278">_xlfn.IFS(P278&lt;=3,"Q1",P278&lt;=6,"Q2",P278&lt;=9,"Q3",P278&lt;=12,"Q4")</f>
        <v>Q1</v>
      </c>
    </row>
    <row r="279" spans="1:17" x14ac:dyDescent="0.25">
      <c r="A279" s="14">
        <v>45736</v>
      </c>
      <c r="B279" s="15" t="s">
        <v>69</v>
      </c>
      <c r="C279" s="15" t="s">
        <v>70</v>
      </c>
      <c r="D279" s="15" t="s">
        <v>71</v>
      </c>
      <c r="E279" s="16">
        <v>639.15</v>
      </c>
      <c r="F279" s="16">
        <v>645.73</v>
      </c>
      <c r="G279" s="16">
        <v>631.08000000000004</v>
      </c>
      <c r="H279" s="16">
        <v>639.20000000000005</v>
      </c>
      <c r="I279" s="17">
        <v>1160585</v>
      </c>
      <c r="J279" s="16">
        <v>511360000000</v>
      </c>
      <c r="K279" s="30">
        <f t="shared" si="24"/>
        <v>7.8228897754937365E-3</v>
      </c>
      <c r="L279" s="31">
        <f t="shared" si="25"/>
        <v>14.649999999999977</v>
      </c>
      <c r="M279" s="30">
        <f t="shared" si="26"/>
        <v>2.292106704216534E-2</v>
      </c>
      <c r="N279" s="20" t="str">
        <f t="shared" si="29"/>
        <v>Normal</v>
      </c>
      <c r="O279" s="32">
        <f t="shared" si="27"/>
        <v>511.36</v>
      </c>
      <c r="P279" s="20">
        <f t="shared" si="28"/>
        <v>3</v>
      </c>
      <c r="Q279" s="20" t="str" cm="1">
        <f t="array" ref="Q279">_xlfn.IFS(P279&lt;=3,"Q1",P279&lt;=6,"Q2",P279&lt;=9,"Q3",P279&lt;=12,"Q4")</f>
        <v>Q1</v>
      </c>
    </row>
    <row r="280" spans="1:17" x14ac:dyDescent="0.25">
      <c r="A280" s="8">
        <v>45736</v>
      </c>
      <c r="B280" s="9" t="s">
        <v>73</v>
      </c>
      <c r="C280" s="9" t="s">
        <v>74</v>
      </c>
      <c r="D280" s="9" t="s">
        <v>75</v>
      </c>
      <c r="E280" s="10">
        <v>111.9</v>
      </c>
      <c r="F280" s="10">
        <v>112.95</v>
      </c>
      <c r="G280" s="10">
        <v>111.63</v>
      </c>
      <c r="H280" s="10">
        <v>111.84</v>
      </c>
      <c r="I280" s="11">
        <v>4069162</v>
      </c>
      <c r="J280" s="10">
        <v>24604800000</v>
      </c>
      <c r="K280" s="30">
        <f t="shared" si="24"/>
        <v>-5.3619302949063696E-2</v>
      </c>
      <c r="L280" s="31">
        <f t="shared" si="25"/>
        <v>1.3200000000000074</v>
      </c>
      <c r="M280" s="30">
        <f t="shared" si="26"/>
        <v>1.1796246648793631E-2</v>
      </c>
      <c r="N280" s="20" t="str">
        <f t="shared" si="29"/>
        <v>High volume</v>
      </c>
      <c r="O280" s="32">
        <f t="shared" si="27"/>
        <v>24.604800000000001</v>
      </c>
      <c r="P280" s="20">
        <f t="shared" si="28"/>
        <v>3</v>
      </c>
      <c r="Q280" s="20" t="str" cm="1">
        <f t="array" ref="Q280">_xlfn.IFS(P280&lt;=3,"Q1",P280&lt;=6,"Q2",P280&lt;=9,"Q3",P280&lt;=12,"Q4")</f>
        <v>Q1</v>
      </c>
    </row>
    <row r="281" spans="1:17" x14ac:dyDescent="0.25">
      <c r="A281" s="14">
        <v>45736</v>
      </c>
      <c r="B281" s="15" t="s">
        <v>76</v>
      </c>
      <c r="C281" s="15" t="s">
        <v>77</v>
      </c>
      <c r="D281" s="15" t="s">
        <v>75</v>
      </c>
      <c r="E281" s="16">
        <v>123.41</v>
      </c>
      <c r="F281" s="16">
        <v>123.87</v>
      </c>
      <c r="G281" s="16">
        <v>123.1</v>
      </c>
      <c r="H281" s="16">
        <v>123.44</v>
      </c>
      <c r="I281" s="17">
        <v>2162589</v>
      </c>
      <c r="J281" s="16">
        <v>24688000000</v>
      </c>
      <c r="K281" s="30">
        <f t="shared" si="24"/>
        <v>2.4309213191800617E-2</v>
      </c>
      <c r="L281" s="31">
        <f t="shared" si="25"/>
        <v>0.77000000000001023</v>
      </c>
      <c r="M281" s="30">
        <f t="shared" si="26"/>
        <v>6.2393647192286704E-3</v>
      </c>
      <c r="N281" s="20" t="str">
        <f t="shared" si="29"/>
        <v>High volume</v>
      </c>
      <c r="O281" s="32">
        <f t="shared" si="27"/>
        <v>24.687999999999999</v>
      </c>
      <c r="P281" s="20">
        <f t="shared" si="28"/>
        <v>3</v>
      </c>
      <c r="Q281" s="20" t="str" cm="1">
        <f t="array" ref="Q281">_xlfn.IFS(P281&lt;=3,"Q1",P281&lt;=6,"Q2",P281&lt;=9,"Q3",P281&lt;=12,"Q4")</f>
        <v>Q1</v>
      </c>
    </row>
    <row r="282" spans="1:17" x14ac:dyDescent="0.25">
      <c r="A282" s="8">
        <v>45737</v>
      </c>
      <c r="B282" s="9" t="s">
        <v>60</v>
      </c>
      <c r="C282" s="9" t="s">
        <v>61</v>
      </c>
      <c r="D282" s="9" t="s">
        <v>62</v>
      </c>
      <c r="E282" s="10">
        <v>2963.6</v>
      </c>
      <c r="F282" s="10">
        <v>3008.61</v>
      </c>
      <c r="G282" s="10">
        <v>2941.36</v>
      </c>
      <c r="H282" s="10">
        <v>2968.02</v>
      </c>
      <c r="I282" s="11">
        <v>3437016</v>
      </c>
      <c r="J282" s="10">
        <v>4155228000000</v>
      </c>
      <c r="K282" s="30">
        <f t="shared" si="24"/>
        <v>0.14914293426913461</v>
      </c>
      <c r="L282" s="31">
        <f t="shared" si="25"/>
        <v>67.25</v>
      </c>
      <c r="M282" s="30">
        <f t="shared" si="26"/>
        <v>2.2691996220812527E-2</v>
      </c>
      <c r="N282" s="20" t="str">
        <f t="shared" si="29"/>
        <v>High volume</v>
      </c>
      <c r="O282" s="32">
        <f t="shared" si="27"/>
        <v>4155.2280000000001</v>
      </c>
      <c r="P282" s="20">
        <f t="shared" si="28"/>
        <v>3</v>
      </c>
      <c r="Q282" s="20" t="str" cm="1">
        <f t="array" ref="Q282">_xlfn.IFS(P282&lt;=3,"Q1",P282&lt;=6,"Q2",P282&lt;=9,"Q3",P282&lt;=12,"Q4")</f>
        <v>Q1</v>
      </c>
    </row>
    <row r="283" spans="1:17" x14ac:dyDescent="0.25">
      <c r="A283" s="14">
        <v>45737</v>
      </c>
      <c r="B283" s="15" t="s">
        <v>65</v>
      </c>
      <c r="C283" s="15" t="s">
        <v>66</v>
      </c>
      <c r="D283" s="15" t="s">
        <v>67</v>
      </c>
      <c r="E283" s="16">
        <v>212.94</v>
      </c>
      <c r="F283" s="16">
        <v>213.43</v>
      </c>
      <c r="G283" s="16">
        <v>207.46</v>
      </c>
      <c r="H283" s="16">
        <v>209.7</v>
      </c>
      <c r="I283" s="17">
        <v>536454</v>
      </c>
      <c r="J283" s="16">
        <v>52425000000</v>
      </c>
      <c r="K283" s="30">
        <f t="shared" si="24"/>
        <v>-1.521555367709218</v>
      </c>
      <c r="L283" s="31">
        <f t="shared" si="25"/>
        <v>5.9699999999999989</v>
      </c>
      <c r="M283" s="30">
        <f t="shared" si="26"/>
        <v>2.8036066497604956E-2</v>
      </c>
      <c r="N283" s="20" t="str">
        <f t="shared" si="29"/>
        <v>Normal</v>
      </c>
      <c r="O283" s="32">
        <f t="shared" si="27"/>
        <v>52.424999999999997</v>
      </c>
      <c r="P283" s="20">
        <f t="shared" si="28"/>
        <v>3</v>
      </c>
      <c r="Q283" s="20" t="str" cm="1">
        <f t="array" ref="Q283">_xlfn.IFS(P283&lt;=3,"Q1",P283&lt;=6,"Q2",P283&lt;=9,"Q3",P283&lt;=12,"Q4")</f>
        <v>Q1</v>
      </c>
    </row>
    <row r="284" spans="1:17" x14ac:dyDescent="0.25">
      <c r="A284" s="8">
        <v>45737</v>
      </c>
      <c r="B284" s="9" t="s">
        <v>69</v>
      </c>
      <c r="C284" s="9" t="s">
        <v>70</v>
      </c>
      <c r="D284" s="9" t="s">
        <v>71</v>
      </c>
      <c r="E284" s="10">
        <v>637.5</v>
      </c>
      <c r="F284" s="10">
        <v>639.62</v>
      </c>
      <c r="G284" s="10">
        <v>636.49</v>
      </c>
      <c r="H284" s="10">
        <v>636.95000000000005</v>
      </c>
      <c r="I284" s="11">
        <v>621310</v>
      </c>
      <c r="J284" s="10">
        <v>509560000000</v>
      </c>
      <c r="K284" s="30">
        <f t="shared" si="24"/>
        <v>-8.6274509803914434E-2</v>
      </c>
      <c r="L284" s="31">
        <f t="shared" si="25"/>
        <v>3.1299999999999955</v>
      </c>
      <c r="M284" s="30">
        <f t="shared" si="26"/>
        <v>4.9098039215686199E-3</v>
      </c>
      <c r="N284" s="20" t="str">
        <f t="shared" si="29"/>
        <v>Normal</v>
      </c>
      <c r="O284" s="32">
        <f t="shared" si="27"/>
        <v>509.56</v>
      </c>
      <c r="P284" s="20">
        <f t="shared" si="28"/>
        <v>3</v>
      </c>
      <c r="Q284" s="20" t="str" cm="1">
        <f t="array" ref="Q284">_xlfn.IFS(P284&lt;=3,"Q1",P284&lt;=6,"Q2",P284&lt;=9,"Q3",P284&lt;=12,"Q4")</f>
        <v>Q1</v>
      </c>
    </row>
    <row r="285" spans="1:17" x14ac:dyDescent="0.25">
      <c r="A285" s="14">
        <v>45737</v>
      </c>
      <c r="B285" s="15" t="s">
        <v>73</v>
      </c>
      <c r="C285" s="15" t="s">
        <v>74</v>
      </c>
      <c r="D285" s="15" t="s">
        <v>75</v>
      </c>
      <c r="E285" s="16">
        <v>110.38</v>
      </c>
      <c r="F285" s="16">
        <v>110.76</v>
      </c>
      <c r="G285" s="16">
        <v>108.76</v>
      </c>
      <c r="H285" s="16">
        <v>110.15</v>
      </c>
      <c r="I285" s="17">
        <v>1464277</v>
      </c>
      <c r="J285" s="16">
        <v>24233000000</v>
      </c>
      <c r="K285" s="30">
        <f t="shared" si="24"/>
        <v>-0.20837108171769322</v>
      </c>
      <c r="L285" s="31">
        <f t="shared" si="25"/>
        <v>2</v>
      </c>
      <c r="M285" s="30">
        <f t="shared" si="26"/>
        <v>1.811922449719152E-2</v>
      </c>
      <c r="N285" s="20" t="str">
        <f t="shared" si="29"/>
        <v>Normal</v>
      </c>
      <c r="O285" s="32">
        <f t="shared" si="27"/>
        <v>24.233000000000001</v>
      </c>
      <c r="P285" s="20">
        <f t="shared" si="28"/>
        <v>3</v>
      </c>
      <c r="Q285" s="20" t="str" cm="1">
        <f t="array" ref="Q285">_xlfn.IFS(P285&lt;=3,"Q1",P285&lt;=6,"Q2",P285&lt;=9,"Q3",P285&lt;=12,"Q4")</f>
        <v>Q1</v>
      </c>
    </row>
    <row r="286" spans="1:17" x14ac:dyDescent="0.25">
      <c r="A286" s="8">
        <v>45737</v>
      </c>
      <c r="B286" s="9" t="s">
        <v>76</v>
      </c>
      <c r="C286" s="9" t="s">
        <v>77</v>
      </c>
      <c r="D286" s="9" t="s">
        <v>75</v>
      </c>
      <c r="E286" s="10">
        <v>123.58</v>
      </c>
      <c r="F286" s="10">
        <v>124.69</v>
      </c>
      <c r="G286" s="10">
        <v>121.97</v>
      </c>
      <c r="H286" s="10">
        <v>122.02</v>
      </c>
      <c r="I286" s="11">
        <v>2109043</v>
      </c>
      <c r="J286" s="10">
        <v>24404000000</v>
      </c>
      <c r="K286" s="30">
        <f t="shared" si="24"/>
        <v>-1.262340184495875</v>
      </c>
      <c r="L286" s="31">
        <f t="shared" si="25"/>
        <v>2.7199999999999989</v>
      </c>
      <c r="M286" s="30">
        <f t="shared" si="26"/>
        <v>2.2010033986081881E-2</v>
      </c>
      <c r="N286" s="20" t="str">
        <f t="shared" si="29"/>
        <v>High volume</v>
      </c>
      <c r="O286" s="32">
        <f t="shared" si="27"/>
        <v>24.404</v>
      </c>
      <c r="P286" s="20">
        <f t="shared" si="28"/>
        <v>3</v>
      </c>
      <c r="Q286" s="20" t="str" cm="1">
        <f t="array" ref="Q286">_xlfn.IFS(P286&lt;=3,"Q1",P286&lt;=6,"Q2",P286&lt;=9,"Q3",P286&lt;=12,"Q4")</f>
        <v>Q1</v>
      </c>
    </row>
    <row r="287" spans="1:17" x14ac:dyDescent="0.25">
      <c r="A287" s="14">
        <v>45740</v>
      </c>
      <c r="B287" s="15" t="s">
        <v>60</v>
      </c>
      <c r="C287" s="15" t="s">
        <v>61</v>
      </c>
      <c r="D287" s="15" t="s">
        <v>62</v>
      </c>
      <c r="E287" s="16">
        <v>2904.45</v>
      </c>
      <c r="F287" s="16">
        <v>2919.37</v>
      </c>
      <c r="G287" s="16">
        <v>2879.21</v>
      </c>
      <c r="H287" s="16">
        <v>2908.42</v>
      </c>
      <c r="I287" s="17">
        <v>4727268</v>
      </c>
      <c r="J287" s="16">
        <v>4071788000000</v>
      </c>
      <c r="K287" s="30">
        <f t="shared" si="24"/>
        <v>0.13668680817367332</v>
      </c>
      <c r="L287" s="31">
        <f t="shared" si="25"/>
        <v>40.159999999999854</v>
      </c>
      <c r="M287" s="30">
        <f t="shared" si="26"/>
        <v>1.3827058479230098E-2</v>
      </c>
      <c r="N287" s="20" t="str">
        <f t="shared" si="29"/>
        <v>High volume</v>
      </c>
      <c r="O287" s="32">
        <f t="shared" si="27"/>
        <v>4071.788</v>
      </c>
      <c r="P287" s="20">
        <f t="shared" si="28"/>
        <v>3</v>
      </c>
      <c r="Q287" s="20" t="str" cm="1">
        <f t="array" ref="Q287">_xlfn.IFS(P287&lt;=3,"Q1",P287&lt;=6,"Q2",P287&lt;=9,"Q3",P287&lt;=12,"Q4")</f>
        <v>Q1</v>
      </c>
    </row>
    <row r="288" spans="1:17" x14ac:dyDescent="0.25">
      <c r="A288" s="8">
        <v>45740</v>
      </c>
      <c r="B288" s="9" t="s">
        <v>65</v>
      </c>
      <c r="C288" s="9" t="s">
        <v>66</v>
      </c>
      <c r="D288" s="9" t="s">
        <v>67</v>
      </c>
      <c r="E288" s="10">
        <v>204.92</v>
      </c>
      <c r="F288" s="10">
        <v>206.24</v>
      </c>
      <c r="G288" s="10">
        <v>204.86</v>
      </c>
      <c r="H288" s="10">
        <v>205.19</v>
      </c>
      <c r="I288" s="11">
        <v>4134546</v>
      </c>
      <c r="J288" s="10">
        <v>51297500000</v>
      </c>
      <c r="K288" s="30">
        <f t="shared" si="24"/>
        <v>0.13175873511614788</v>
      </c>
      <c r="L288" s="31">
        <f t="shared" si="25"/>
        <v>1.3799999999999955</v>
      </c>
      <c r="M288" s="30">
        <f t="shared" si="26"/>
        <v>6.7343353503806144E-3</v>
      </c>
      <c r="N288" s="20" t="str">
        <f t="shared" si="29"/>
        <v>High volume</v>
      </c>
      <c r="O288" s="32">
        <f t="shared" si="27"/>
        <v>51.297499999999999</v>
      </c>
      <c r="P288" s="20">
        <f t="shared" si="28"/>
        <v>3</v>
      </c>
      <c r="Q288" s="20" t="str" cm="1">
        <f t="array" ref="Q288">_xlfn.IFS(P288&lt;=3,"Q1",P288&lt;=6,"Q2",P288&lt;=9,"Q3",P288&lt;=12,"Q4")</f>
        <v>Q1</v>
      </c>
    </row>
    <row r="289" spans="1:17" x14ac:dyDescent="0.25">
      <c r="A289" s="14">
        <v>45740</v>
      </c>
      <c r="B289" s="15" t="s">
        <v>69</v>
      </c>
      <c r="C289" s="15" t="s">
        <v>70</v>
      </c>
      <c r="D289" s="15" t="s">
        <v>71</v>
      </c>
      <c r="E289" s="16">
        <v>641.92999999999995</v>
      </c>
      <c r="F289" s="16">
        <v>650.96</v>
      </c>
      <c r="G289" s="16">
        <v>638.16999999999996</v>
      </c>
      <c r="H289" s="16">
        <v>644.55999999999995</v>
      </c>
      <c r="I289" s="17">
        <v>4796745</v>
      </c>
      <c r="J289" s="16">
        <v>515648000000</v>
      </c>
      <c r="K289" s="30">
        <f t="shared" si="24"/>
        <v>0.4097019924290804</v>
      </c>
      <c r="L289" s="31">
        <f t="shared" si="25"/>
        <v>12.790000000000077</v>
      </c>
      <c r="M289" s="30">
        <f t="shared" si="26"/>
        <v>1.9924290810524634E-2</v>
      </c>
      <c r="N289" s="20" t="str">
        <f t="shared" si="29"/>
        <v>High volume</v>
      </c>
      <c r="O289" s="32">
        <f t="shared" si="27"/>
        <v>515.64800000000002</v>
      </c>
      <c r="P289" s="20">
        <f t="shared" si="28"/>
        <v>3</v>
      </c>
      <c r="Q289" s="20" t="str" cm="1">
        <f t="array" ref="Q289">_xlfn.IFS(P289&lt;=3,"Q1",P289&lt;=6,"Q2",P289&lt;=9,"Q3",P289&lt;=12,"Q4")</f>
        <v>Q1</v>
      </c>
    </row>
    <row r="290" spans="1:17" x14ac:dyDescent="0.25">
      <c r="A290" s="8">
        <v>45740</v>
      </c>
      <c r="B290" s="9" t="s">
        <v>73</v>
      </c>
      <c r="C290" s="9" t="s">
        <v>74</v>
      </c>
      <c r="D290" s="9" t="s">
        <v>75</v>
      </c>
      <c r="E290" s="10">
        <v>112.15</v>
      </c>
      <c r="F290" s="10">
        <v>112.26</v>
      </c>
      <c r="G290" s="10">
        <v>112.12</v>
      </c>
      <c r="H290" s="10">
        <v>112.18</v>
      </c>
      <c r="I290" s="11">
        <v>3259635</v>
      </c>
      <c r="J290" s="10">
        <v>24679600000</v>
      </c>
      <c r="K290" s="30">
        <f t="shared" si="24"/>
        <v>2.6749888542132085E-2</v>
      </c>
      <c r="L290" s="31">
        <f t="shared" si="25"/>
        <v>0.14000000000000057</v>
      </c>
      <c r="M290" s="30">
        <f t="shared" si="26"/>
        <v>1.2483281319661218E-3</v>
      </c>
      <c r="N290" s="20" t="str">
        <f t="shared" si="29"/>
        <v>High volume</v>
      </c>
      <c r="O290" s="32">
        <f t="shared" si="27"/>
        <v>24.679600000000001</v>
      </c>
      <c r="P290" s="20">
        <f t="shared" si="28"/>
        <v>3</v>
      </c>
      <c r="Q290" s="20" t="str" cm="1">
        <f t="array" ref="Q290">_xlfn.IFS(P290&lt;=3,"Q1",P290&lt;=6,"Q2",P290&lt;=9,"Q3",P290&lt;=12,"Q4")</f>
        <v>Q1</v>
      </c>
    </row>
    <row r="291" spans="1:17" x14ac:dyDescent="0.25">
      <c r="A291" s="14">
        <v>45740</v>
      </c>
      <c r="B291" s="15" t="s">
        <v>76</v>
      </c>
      <c r="C291" s="15" t="s">
        <v>77</v>
      </c>
      <c r="D291" s="15" t="s">
        <v>75</v>
      </c>
      <c r="E291" s="16">
        <v>123.06</v>
      </c>
      <c r="F291" s="16">
        <v>123.12</v>
      </c>
      <c r="G291" s="16">
        <v>122.04</v>
      </c>
      <c r="H291" s="16">
        <v>122.76</v>
      </c>
      <c r="I291" s="17">
        <v>1018181</v>
      </c>
      <c r="J291" s="16">
        <v>24552000000</v>
      </c>
      <c r="K291" s="30">
        <f t="shared" si="24"/>
        <v>-0.24378352023402988</v>
      </c>
      <c r="L291" s="31">
        <f t="shared" si="25"/>
        <v>1.0799999999999983</v>
      </c>
      <c r="M291" s="30">
        <f t="shared" si="26"/>
        <v>8.7762067284251448E-3</v>
      </c>
      <c r="N291" s="20" t="str">
        <f t="shared" si="29"/>
        <v>Normal</v>
      </c>
      <c r="O291" s="32">
        <f t="shared" si="27"/>
        <v>24.552</v>
      </c>
      <c r="P291" s="20">
        <f t="shared" si="28"/>
        <v>3</v>
      </c>
      <c r="Q291" s="20" t="str" cm="1">
        <f t="array" ref="Q291">_xlfn.IFS(P291&lt;=3,"Q1",P291&lt;=6,"Q2",P291&lt;=9,"Q3",P291&lt;=12,"Q4")</f>
        <v>Q1</v>
      </c>
    </row>
    <row r="292" spans="1:17" x14ac:dyDescent="0.25">
      <c r="A292" s="8">
        <v>45741</v>
      </c>
      <c r="B292" s="9" t="s">
        <v>60</v>
      </c>
      <c r="C292" s="9" t="s">
        <v>61</v>
      </c>
      <c r="D292" s="9" t="s">
        <v>62</v>
      </c>
      <c r="E292" s="10">
        <v>2868.19</v>
      </c>
      <c r="F292" s="10">
        <v>2871.38</v>
      </c>
      <c r="G292" s="10">
        <v>2840.66</v>
      </c>
      <c r="H292" s="10">
        <v>2864.82</v>
      </c>
      <c r="I292" s="11">
        <v>4558246</v>
      </c>
      <c r="J292" s="10">
        <v>4010748000000</v>
      </c>
      <c r="K292" s="30">
        <f t="shared" si="24"/>
        <v>-0.11749570286486916</v>
      </c>
      <c r="L292" s="31">
        <f t="shared" si="25"/>
        <v>30.720000000000255</v>
      </c>
      <c r="M292" s="30">
        <f t="shared" si="26"/>
        <v>1.0710587513379607E-2</v>
      </c>
      <c r="N292" s="20" t="str">
        <f t="shared" si="29"/>
        <v>High volume</v>
      </c>
      <c r="O292" s="32">
        <f t="shared" si="27"/>
        <v>4010.748</v>
      </c>
      <c r="P292" s="20">
        <f t="shared" si="28"/>
        <v>3</v>
      </c>
      <c r="Q292" s="20" t="str" cm="1">
        <f t="array" ref="Q292">_xlfn.IFS(P292&lt;=3,"Q1",P292&lt;=6,"Q2",P292&lt;=9,"Q3",P292&lt;=12,"Q4")</f>
        <v>Q1</v>
      </c>
    </row>
    <row r="293" spans="1:17" x14ac:dyDescent="0.25">
      <c r="A293" s="14">
        <v>45741</v>
      </c>
      <c r="B293" s="15" t="s">
        <v>65</v>
      </c>
      <c r="C293" s="15" t="s">
        <v>66</v>
      </c>
      <c r="D293" s="15" t="s">
        <v>67</v>
      </c>
      <c r="E293" s="16">
        <v>204.12</v>
      </c>
      <c r="F293" s="16">
        <v>205.65</v>
      </c>
      <c r="G293" s="16">
        <v>203.58</v>
      </c>
      <c r="H293" s="16">
        <v>204.55</v>
      </c>
      <c r="I293" s="17">
        <v>3545395</v>
      </c>
      <c r="J293" s="16">
        <v>51137500000</v>
      </c>
      <c r="K293" s="30">
        <f t="shared" si="24"/>
        <v>0.21066039584558435</v>
      </c>
      <c r="L293" s="31">
        <f t="shared" si="25"/>
        <v>2.0699999999999932</v>
      </c>
      <c r="M293" s="30">
        <f t="shared" si="26"/>
        <v>1.0141093474426774E-2</v>
      </c>
      <c r="N293" s="20" t="str">
        <f t="shared" si="29"/>
        <v>High volume</v>
      </c>
      <c r="O293" s="32">
        <f t="shared" si="27"/>
        <v>51.137500000000003</v>
      </c>
      <c r="P293" s="20">
        <f t="shared" si="28"/>
        <v>3</v>
      </c>
      <c r="Q293" s="20" t="str" cm="1">
        <f t="array" ref="Q293">_xlfn.IFS(P293&lt;=3,"Q1",P293&lt;=6,"Q2",P293&lt;=9,"Q3",P293&lt;=12,"Q4")</f>
        <v>Q1</v>
      </c>
    </row>
    <row r="294" spans="1:17" x14ac:dyDescent="0.25">
      <c r="A294" s="8">
        <v>45741</v>
      </c>
      <c r="B294" s="9" t="s">
        <v>69</v>
      </c>
      <c r="C294" s="9" t="s">
        <v>70</v>
      </c>
      <c r="D294" s="9" t="s">
        <v>71</v>
      </c>
      <c r="E294" s="10">
        <v>652.03</v>
      </c>
      <c r="F294" s="10">
        <v>652.5</v>
      </c>
      <c r="G294" s="10">
        <v>642.88</v>
      </c>
      <c r="H294" s="10">
        <v>646.20000000000005</v>
      </c>
      <c r="I294" s="11">
        <v>1169595</v>
      </c>
      <c r="J294" s="10">
        <v>516960000000</v>
      </c>
      <c r="K294" s="30">
        <f t="shared" si="24"/>
        <v>-0.89413063816080973</v>
      </c>
      <c r="L294" s="31">
        <f t="shared" si="25"/>
        <v>9.6200000000000045</v>
      </c>
      <c r="M294" s="30">
        <f t="shared" si="26"/>
        <v>1.4753922365535336E-2</v>
      </c>
      <c r="N294" s="20" t="str">
        <f t="shared" si="29"/>
        <v>Normal</v>
      </c>
      <c r="O294" s="32">
        <f t="shared" si="27"/>
        <v>516.96</v>
      </c>
      <c r="P294" s="20">
        <f t="shared" si="28"/>
        <v>3</v>
      </c>
      <c r="Q294" s="20" t="str" cm="1">
        <f t="array" ref="Q294">_xlfn.IFS(P294&lt;=3,"Q1",P294&lt;=6,"Q2",P294&lt;=9,"Q3",P294&lt;=12,"Q4")</f>
        <v>Q1</v>
      </c>
    </row>
    <row r="295" spans="1:17" x14ac:dyDescent="0.25">
      <c r="A295" s="14">
        <v>45741</v>
      </c>
      <c r="B295" s="15" t="s">
        <v>73</v>
      </c>
      <c r="C295" s="15" t="s">
        <v>74</v>
      </c>
      <c r="D295" s="15" t="s">
        <v>75</v>
      </c>
      <c r="E295" s="16">
        <v>112.5</v>
      </c>
      <c r="F295" s="16">
        <v>112.7</v>
      </c>
      <c r="G295" s="16">
        <v>111.05</v>
      </c>
      <c r="H295" s="16">
        <v>111.6</v>
      </c>
      <c r="I295" s="17">
        <v>671914</v>
      </c>
      <c r="J295" s="16">
        <v>24552000000</v>
      </c>
      <c r="K295" s="30">
        <f t="shared" si="24"/>
        <v>-0.80000000000000504</v>
      </c>
      <c r="L295" s="31">
        <f t="shared" si="25"/>
        <v>1.6500000000000057</v>
      </c>
      <c r="M295" s="30">
        <f t="shared" si="26"/>
        <v>1.4666666666666717E-2</v>
      </c>
      <c r="N295" s="20" t="str">
        <f t="shared" si="29"/>
        <v>Normal</v>
      </c>
      <c r="O295" s="32">
        <f t="shared" si="27"/>
        <v>24.552</v>
      </c>
      <c r="P295" s="20">
        <f t="shared" si="28"/>
        <v>3</v>
      </c>
      <c r="Q295" s="20" t="str" cm="1">
        <f t="array" ref="Q295">_xlfn.IFS(P295&lt;=3,"Q1",P295&lt;=6,"Q2",P295&lt;=9,"Q3",P295&lt;=12,"Q4")</f>
        <v>Q1</v>
      </c>
    </row>
    <row r="296" spans="1:17" x14ac:dyDescent="0.25">
      <c r="A296" s="8">
        <v>45741</v>
      </c>
      <c r="B296" s="9" t="s">
        <v>76</v>
      </c>
      <c r="C296" s="9" t="s">
        <v>77</v>
      </c>
      <c r="D296" s="9" t="s">
        <v>75</v>
      </c>
      <c r="E296" s="10">
        <v>121.78</v>
      </c>
      <c r="F296" s="10">
        <v>122.49</v>
      </c>
      <c r="G296" s="10">
        <v>120.64</v>
      </c>
      <c r="H296" s="10">
        <v>121.91</v>
      </c>
      <c r="I296" s="11">
        <v>4314210</v>
      </c>
      <c r="J296" s="10">
        <v>24382000000</v>
      </c>
      <c r="K296" s="30">
        <f t="shared" si="24"/>
        <v>0.10674987682706147</v>
      </c>
      <c r="L296" s="31">
        <f t="shared" si="25"/>
        <v>1.8499999999999943</v>
      </c>
      <c r="M296" s="30">
        <f t="shared" si="26"/>
        <v>1.5191328625390001E-2</v>
      </c>
      <c r="N296" s="20" t="str">
        <f t="shared" si="29"/>
        <v>High volume</v>
      </c>
      <c r="O296" s="32">
        <f t="shared" si="27"/>
        <v>24.382000000000001</v>
      </c>
      <c r="P296" s="20">
        <f t="shared" si="28"/>
        <v>3</v>
      </c>
      <c r="Q296" s="20" t="str" cm="1">
        <f t="array" ref="Q296">_xlfn.IFS(P296&lt;=3,"Q1",P296&lt;=6,"Q2",P296&lt;=9,"Q3",P296&lt;=12,"Q4")</f>
        <v>Q1</v>
      </c>
    </row>
    <row r="297" spans="1:17" x14ac:dyDescent="0.25">
      <c r="A297" s="14">
        <v>45742</v>
      </c>
      <c r="B297" s="15" t="s">
        <v>60</v>
      </c>
      <c r="C297" s="15" t="s">
        <v>61</v>
      </c>
      <c r="D297" s="15" t="s">
        <v>62</v>
      </c>
      <c r="E297" s="16">
        <v>2802.12</v>
      </c>
      <c r="F297" s="16">
        <v>2829.83</v>
      </c>
      <c r="G297" s="16">
        <v>2771.96</v>
      </c>
      <c r="H297" s="16">
        <v>2775.61</v>
      </c>
      <c r="I297" s="17">
        <v>4139294</v>
      </c>
      <c r="J297" s="16">
        <v>3885854000000</v>
      </c>
      <c r="K297" s="30">
        <f t="shared" si="24"/>
        <v>-0.9460694045936564</v>
      </c>
      <c r="L297" s="31">
        <f t="shared" si="25"/>
        <v>57.869999999999891</v>
      </c>
      <c r="M297" s="30">
        <f t="shared" si="26"/>
        <v>2.0652220461650425E-2</v>
      </c>
      <c r="N297" s="20" t="str">
        <f t="shared" si="29"/>
        <v>High volume</v>
      </c>
      <c r="O297" s="32">
        <f t="shared" si="27"/>
        <v>3885.8539999999998</v>
      </c>
      <c r="P297" s="20">
        <f t="shared" si="28"/>
        <v>3</v>
      </c>
      <c r="Q297" s="20" t="str" cm="1">
        <f t="array" ref="Q297">_xlfn.IFS(P297&lt;=3,"Q1",P297&lt;=6,"Q2",P297&lt;=9,"Q3",P297&lt;=12,"Q4")</f>
        <v>Q1</v>
      </c>
    </row>
    <row r="298" spans="1:17" x14ac:dyDescent="0.25">
      <c r="A298" s="8">
        <v>45742</v>
      </c>
      <c r="B298" s="9" t="s">
        <v>65</v>
      </c>
      <c r="C298" s="9" t="s">
        <v>66</v>
      </c>
      <c r="D298" s="9" t="s">
        <v>67</v>
      </c>
      <c r="E298" s="10">
        <v>206.59</v>
      </c>
      <c r="F298" s="10">
        <v>206.85</v>
      </c>
      <c r="G298" s="10">
        <v>205.71</v>
      </c>
      <c r="H298" s="10">
        <v>206.07</v>
      </c>
      <c r="I298" s="11">
        <v>2901105</v>
      </c>
      <c r="J298" s="10">
        <v>51517500000</v>
      </c>
      <c r="K298" s="30">
        <f t="shared" si="24"/>
        <v>-0.25170627813544233</v>
      </c>
      <c r="L298" s="31">
        <f t="shared" si="25"/>
        <v>1.1399999999999864</v>
      </c>
      <c r="M298" s="30">
        <f t="shared" si="26"/>
        <v>5.5181760975845217E-3</v>
      </c>
      <c r="N298" s="20" t="str">
        <f t="shared" si="29"/>
        <v>High volume</v>
      </c>
      <c r="O298" s="32">
        <f t="shared" si="27"/>
        <v>51.517499999999998</v>
      </c>
      <c r="P298" s="20">
        <f t="shared" si="28"/>
        <v>3</v>
      </c>
      <c r="Q298" s="20" t="str" cm="1">
        <f t="array" ref="Q298">_xlfn.IFS(P298&lt;=3,"Q1",P298&lt;=6,"Q2",P298&lt;=9,"Q3",P298&lt;=12,"Q4")</f>
        <v>Q1</v>
      </c>
    </row>
    <row r="299" spans="1:17" x14ac:dyDescent="0.25">
      <c r="A299" s="14">
        <v>45742</v>
      </c>
      <c r="B299" s="15" t="s">
        <v>69</v>
      </c>
      <c r="C299" s="15" t="s">
        <v>70</v>
      </c>
      <c r="D299" s="15" t="s">
        <v>71</v>
      </c>
      <c r="E299" s="16">
        <v>626.80999999999995</v>
      </c>
      <c r="F299" s="16">
        <v>641.82000000000005</v>
      </c>
      <c r="G299" s="16">
        <v>625.35</v>
      </c>
      <c r="H299" s="16">
        <v>634.29</v>
      </c>
      <c r="I299" s="17">
        <v>2424949</v>
      </c>
      <c r="J299" s="16">
        <v>507432000000</v>
      </c>
      <c r="K299" s="30">
        <f t="shared" si="24"/>
        <v>1.1933440755571894</v>
      </c>
      <c r="L299" s="31">
        <f t="shared" si="25"/>
        <v>16.470000000000027</v>
      </c>
      <c r="M299" s="30">
        <f t="shared" si="26"/>
        <v>2.627590497918034E-2</v>
      </c>
      <c r="N299" s="20" t="str">
        <f t="shared" si="29"/>
        <v>High volume</v>
      </c>
      <c r="O299" s="32">
        <f t="shared" si="27"/>
        <v>507.43200000000002</v>
      </c>
      <c r="P299" s="20">
        <f t="shared" si="28"/>
        <v>3</v>
      </c>
      <c r="Q299" s="20" t="str" cm="1">
        <f t="array" ref="Q299">_xlfn.IFS(P299&lt;=3,"Q1",P299&lt;=6,"Q2",P299&lt;=9,"Q3",P299&lt;=12,"Q4")</f>
        <v>Q1</v>
      </c>
    </row>
    <row r="300" spans="1:17" x14ac:dyDescent="0.25">
      <c r="A300" s="8">
        <v>45742</v>
      </c>
      <c r="B300" s="9" t="s">
        <v>73</v>
      </c>
      <c r="C300" s="9" t="s">
        <v>74</v>
      </c>
      <c r="D300" s="9" t="s">
        <v>75</v>
      </c>
      <c r="E300" s="10">
        <v>113.97</v>
      </c>
      <c r="F300" s="10">
        <v>114.27</v>
      </c>
      <c r="G300" s="10">
        <v>113.56</v>
      </c>
      <c r="H300" s="10">
        <v>113.59</v>
      </c>
      <c r="I300" s="11">
        <v>3084386</v>
      </c>
      <c r="J300" s="10">
        <v>24989800000</v>
      </c>
      <c r="K300" s="30">
        <f t="shared" si="24"/>
        <v>-0.33342107572167717</v>
      </c>
      <c r="L300" s="31">
        <f t="shared" si="25"/>
        <v>0.70999999999999375</v>
      </c>
      <c r="M300" s="30">
        <f t="shared" si="26"/>
        <v>6.2297095726945141E-3</v>
      </c>
      <c r="N300" s="20" t="str">
        <f t="shared" si="29"/>
        <v>High volume</v>
      </c>
      <c r="O300" s="32">
        <f t="shared" si="27"/>
        <v>24.989799999999999</v>
      </c>
      <c r="P300" s="20">
        <f t="shared" si="28"/>
        <v>3</v>
      </c>
      <c r="Q300" s="20" t="str" cm="1">
        <f t="array" ref="Q300">_xlfn.IFS(P300&lt;=3,"Q1",P300&lt;=6,"Q2",P300&lt;=9,"Q3",P300&lt;=12,"Q4")</f>
        <v>Q1</v>
      </c>
    </row>
    <row r="301" spans="1:17" x14ac:dyDescent="0.25">
      <c r="A301" s="14">
        <v>45742</v>
      </c>
      <c r="B301" s="15" t="s">
        <v>76</v>
      </c>
      <c r="C301" s="15" t="s">
        <v>77</v>
      </c>
      <c r="D301" s="15" t="s">
        <v>75</v>
      </c>
      <c r="E301" s="16">
        <v>125.48</v>
      </c>
      <c r="F301" s="16">
        <v>125.74</v>
      </c>
      <c r="G301" s="16">
        <v>123.7</v>
      </c>
      <c r="H301" s="16">
        <v>124.59</v>
      </c>
      <c r="I301" s="17">
        <v>3655625</v>
      </c>
      <c r="J301" s="16">
        <v>24918000000</v>
      </c>
      <c r="K301" s="30">
        <f t="shared" si="24"/>
        <v>-0.70927637870577032</v>
      </c>
      <c r="L301" s="31">
        <f t="shared" si="25"/>
        <v>2.039999999999992</v>
      </c>
      <c r="M301" s="30">
        <f t="shared" si="26"/>
        <v>1.6257570927637806E-2</v>
      </c>
      <c r="N301" s="20" t="str">
        <f t="shared" si="29"/>
        <v>High volume</v>
      </c>
      <c r="O301" s="32">
        <f t="shared" si="27"/>
        <v>24.917999999999999</v>
      </c>
      <c r="P301" s="20">
        <f t="shared" si="28"/>
        <v>3</v>
      </c>
      <c r="Q301" s="20" t="str" cm="1">
        <f t="array" ref="Q301">_xlfn.IFS(P301&lt;=3,"Q1",P301&lt;=6,"Q2",P301&lt;=9,"Q3",P301&lt;=12,"Q4")</f>
        <v>Q1</v>
      </c>
    </row>
    <row r="302" spans="1:17" x14ac:dyDescent="0.25">
      <c r="A302" s="8">
        <v>45743</v>
      </c>
      <c r="B302" s="9" t="s">
        <v>60</v>
      </c>
      <c r="C302" s="9" t="s">
        <v>61</v>
      </c>
      <c r="D302" s="9" t="s">
        <v>62</v>
      </c>
      <c r="E302" s="10">
        <v>2772.45</v>
      </c>
      <c r="F302" s="10">
        <v>2819.46</v>
      </c>
      <c r="G302" s="10">
        <v>2727.16</v>
      </c>
      <c r="H302" s="10">
        <v>2772.96</v>
      </c>
      <c r="I302" s="11">
        <v>4473528</v>
      </c>
      <c r="J302" s="10">
        <v>3882144000000</v>
      </c>
      <c r="K302" s="30">
        <f t="shared" si="24"/>
        <v>1.8395282151173812E-2</v>
      </c>
      <c r="L302" s="31">
        <f t="shared" si="25"/>
        <v>92.300000000000182</v>
      </c>
      <c r="M302" s="30">
        <f t="shared" si="26"/>
        <v>3.3291853775541558E-2</v>
      </c>
      <c r="N302" s="20" t="str">
        <f t="shared" si="29"/>
        <v>High volume</v>
      </c>
      <c r="O302" s="32">
        <f t="shared" si="27"/>
        <v>3882.1439999999998</v>
      </c>
      <c r="P302" s="20">
        <f t="shared" si="28"/>
        <v>3</v>
      </c>
      <c r="Q302" s="20" t="str" cm="1">
        <f t="array" ref="Q302">_xlfn.IFS(P302&lt;=3,"Q1",P302&lt;=6,"Q2",P302&lt;=9,"Q3",P302&lt;=12,"Q4")</f>
        <v>Q1</v>
      </c>
    </row>
    <row r="303" spans="1:17" x14ac:dyDescent="0.25">
      <c r="A303" s="14">
        <v>45743</v>
      </c>
      <c r="B303" s="15" t="s">
        <v>65</v>
      </c>
      <c r="C303" s="15" t="s">
        <v>66</v>
      </c>
      <c r="D303" s="15" t="s">
        <v>67</v>
      </c>
      <c r="E303" s="16">
        <v>211.56</v>
      </c>
      <c r="F303" s="16">
        <v>213.59</v>
      </c>
      <c r="G303" s="16">
        <v>209.32</v>
      </c>
      <c r="H303" s="16">
        <v>210.46</v>
      </c>
      <c r="I303" s="17">
        <v>992995</v>
      </c>
      <c r="J303" s="16">
        <v>52615000000</v>
      </c>
      <c r="K303" s="30">
        <f t="shared" si="24"/>
        <v>-0.51994705993571289</v>
      </c>
      <c r="L303" s="31">
        <f t="shared" si="25"/>
        <v>4.2700000000000102</v>
      </c>
      <c r="M303" s="30">
        <f t="shared" si="26"/>
        <v>2.0183399508413736E-2</v>
      </c>
      <c r="N303" s="20" t="str">
        <f t="shared" si="29"/>
        <v>Normal</v>
      </c>
      <c r="O303" s="32">
        <f t="shared" si="27"/>
        <v>52.615000000000002</v>
      </c>
      <c r="P303" s="20">
        <f t="shared" si="28"/>
        <v>3</v>
      </c>
      <c r="Q303" s="20" t="str" cm="1">
        <f t="array" ref="Q303">_xlfn.IFS(P303&lt;=3,"Q1",P303&lt;=6,"Q2",P303&lt;=9,"Q3",P303&lt;=12,"Q4")</f>
        <v>Q1</v>
      </c>
    </row>
    <row r="304" spans="1:17" x14ac:dyDescent="0.25">
      <c r="A304" s="8">
        <v>45743</v>
      </c>
      <c r="B304" s="9" t="s">
        <v>69</v>
      </c>
      <c r="C304" s="9" t="s">
        <v>70</v>
      </c>
      <c r="D304" s="9" t="s">
        <v>71</v>
      </c>
      <c r="E304" s="10">
        <v>633.86</v>
      </c>
      <c r="F304" s="10">
        <v>635.89</v>
      </c>
      <c r="G304" s="10">
        <v>626.32000000000005</v>
      </c>
      <c r="H304" s="10">
        <v>631.54</v>
      </c>
      <c r="I304" s="11">
        <v>2994516</v>
      </c>
      <c r="J304" s="10">
        <v>505232000000</v>
      </c>
      <c r="K304" s="30">
        <f t="shared" si="24"/>
        <v>-0.36601142208059351</v>
      </c>
      <c r="L304" s="31">
        <f t="shared" si="25"/>
        <v>9.5699999999999363</v>
      </c>
      <c r="M304" s="30">
        <f t="shared" si="26"/>
        <v>1.5097971160824055E-2</v>
      </c>
      <c r="N304" s="20" t="str">
        <f t="shared" si="29"/>
        <v>High volume</v>
      </c>
      <c r="O304" s="32">
        <f t="shared" si="27"/>
        <v>505.23200000000003</v>
      </c>
      <c r="P304" s="20">
        <f t="shared" si="28"/>
        <v>3</v>
      </c>
      <c r="Q304" s="20" t="str" cm="1">
        <f t="array" ref="Q304">_xlfn.IFS(P304&lt;=3,"Q1",P304&lt;=6,"Q2",P304&lt;=9,"Q3",P304&lt;=12,"Q4")</f>
        <v>Q1</v>
      </c>
    </row>
    <row r="305" spans="1:17" x14ac:dyDescent="0.25">
      <c r="A305" s="14">
        <v>45743</v>
      </c>
      <c r="B305" s="15" t="s">
        <v>73</v>
      </c>
      <c r="C305" s="15" t="s">
        <v>74</v>
      </c>
      <c r="D305" s="15" t="s">
        <v>75</v>
      </c>
      <c r="E305" s="16">
        <v>111.71</v>
      </c>
      <c r="F305" s="16">
        <v>112.35</v>
      </c>
      <c r="G305" s="16">
        <v>111.23</v>
      </c>
      <c r="H305" s="16">
        <v>111.56</v>
      </c>
      <c r="I305" s="17">
        <v>4040612</v>
      </c>
      <c r="J305" s="16">
        <v>24543200000</v>
      </c>
      <c r="K305" s="30">
        <f t="shared" si="24"/>
        <v>-0.13427625100706425</v>
      </c>
      <c r="L305" s="31">
        <f t="shared" si="25"/>
        <v>1.1199999999999903</v>
      </c>
      <c r="M305" s="30">
        <f t="shared" si="26"/>
        <v>1.0025960075194615E-2</v>
      </c>
      <c r="N305" s="20" t="str">
        <f t="shared" si="29"/>
        <v>High volume</v>
      </c>
      <c r="O305" s="32">
        <f t="shared" si="27"/>
        <v>24.543199999999999</v>
      </c>
      <c r="P305" s="20">
        <f t="shared" si="28"/>
        <v>3</v>
      </c>
      <c r="Q305" s="20" t="str" cm="1">
        <f t="array" ref="Q305">_xlfn.IFS(P305&lt;=3,"Q1",P305&lt;=6,"Q2",P305&lt;=9,"Q3",P305&lt;=12,"Q4")</f>
        <v>Q1</v>
      </c>
    </row>
    <row r="306" spans="1:17" x14ac:dyDescent="0.25">
      <c r="A306" s="8">
        <v>45743</v>
      </c>
      <c r="B306" s="9" t="s">
        <v>76</v>
      </c>
      <c r="C306" s="9" t="s">
        <v>77</v>
      </c>
      <c r="D306" s="9" t="s">
        <v>75</v>
      </c>
      <c r="E306" s="10">
        <v>123.04</v>
      </c>
      <c r="F306" s="10">
        <v>123.66</v>
      </c>
      <c r="G306" s="10">
        <v>122.7</v>
      </c>
      <c r="H306" s="10">
        <v>122.74</v>
      </c>
      <c r="I306" s="11">
        <v>3257481</v>
      </c>
      <c r="J306" s="10">
        <v>24548000000</v>
      </c>
      <c r="K306" s="30">
        <f t="shared" si="24"/>
        <v>-0.24382314694409243</v>
      </c>
      <c r="L306" s="31">
        <f t="shared" si="25"/>
        <v>0.95999999999999375</v>
      </c>
      <c r="M306" s="30">
        <f t="shared" si="26"/>
        <v>7.8023407022106122E-3</v>
      </c>
      <c r="N306" s="20" t="str">
        <f t="shared" si="29"/>
        <v>High volume</v>
      </c>
      <c r="O306" s="32">
        <f t="shared" si="27"/>
        <v>24.547999999999998</v>
      </c>
      <c r="P306" s="20">
        <f t="shared" si="28"/>
        <v>3</v>
      </c>
      <c r="Q306" s="20" t="str" cm="1">
        <f t="array" ref="Q306">_xlfn.IFS(P306&lt;=3,"Q1",P306&lt;=6,"Q2",P306&lt;=9,"Q3",P306&lt;=12,"Q4")</f>
        <v>Q1</v>
      </c>
    </row>
    <row r="307" spans="1:17" x14ac:dyDescent="0.25">
      <c r="A307" s="14">
        <v>45744</v>
      </c>
      <c r="B307" s="15" t="s">
        <v>60</v>
      </c>
      <c r="C307" s="15" t="s">
        <v>61</v>
      </c>
      <c r="D307" s="15" t="s">
        <v>62</v>
      </c>
      <c r="E307" s="16">
        <v>2737.54</v>
      </c>
      <c r="F307" s="16">
        <v>2755.11</v>
      </c>
      <c r="G307" s="16">
        <v>2722.08</v>
      </c>
      <c r="H307" s="16">
        <v>2743.2</v>
      </c>
      <c r="I307" s="17">
        <v>781154</v>
      </c>
      <c r="J307" s="16">
        <v>3840480000000</v>
      </c>
      <c r="K307" s="30">
        <f t="shared" si="24"/>
        <v>0.20675496979039046</v>
      </c>
      <c r="L307" s="31">
        <f t="shared" si="25"/>
        <v>33.0300000000002</v>
      </c>
      <c r="M307" s="30">
        <f t="shared" si="26"/>
        <v>1.2065577123987302E-2</v>
      </c>
      <c r="N307" s="20" t="str">
        <f t="shared" si="29"/>
        <v>Normal</v>
      </c>
      <c r="O307" s="32">
        <f t="shared" si="27"/>
        <v>3840.48</v>
      </c>
      <c r="P307" s="20">
        <f t="shared" si="28"/>
        <v>3</v>
      </c>
      <c r="Q307" s="20" t="str" cm="1">
        <f t="array" ref="Q307">_xlfn.IFS(P307&lt;=3,"Q1",P307&lt;=6,"Q2",P307&lt;=9,"Q3",P307&lt;=12,"Q4")</f>
        <v>Q1</v>
      </c>
    </row>
    <row r="308" spans="1:17" x14ac:dyDescent="0.25">
      <c r="A308" s="8">
        <v>45744</v>
      </c>
      <c r="B308" s="9" t="s">
        <v>65</v>
      </c>
      <c r="C308" s="9" t="s">
        <v>66</v>
      </c>
      <c r="D308" s="9" t="s">
        <v>67</v>
      </c>
      <c r="E308" s="10">
        <v>214.51</v>
      </c>
      <c r="F308" s="10">
        <v>215.62</v>
      </c>
      <c r="G308" s="10">
        <v>212.5</v>
      </c>
      <c r="H308" s="10">
        <v>214.62</v>
      </c>
      <c r="I308" s="11">
        <v>561226</v>
      </c>
      <c r="J308" s="10">
        <v>53655000000</v>
      </c>
      <c r="K308" s="30">
        <f t="shared" si="24"/>
        <v>5.1279660621888795E-2</v>
      </c>
      <c r="L308" s="31">
        <f t="shared" si="25"/>
        <v>3.1200000000000045</v>
      </c>
      <c r="M308" s="30">
        <f t="shared" si="26"/>
        <v>1.4544776467297583E-2</v>
      </c>
      <c r="N308" s="20" t="str">
        <f t="shared" si="29"/>
        <v>Normal</v>
      </c>
      <c r="O308" s="32">
        <f t="shared" si="27"/>
        <v>53.655000000000001</v>
      </c>
      <c r="P308" s="20">
        <f t="shared" si="28"/>
        <v>3</v>
      </c>
      <c r="Q308" s="20" t="str" cm="1">
        <f t="array" ref="Q308">_xlfn.IFS(P308&lt;=3,"Q1",P308&lt;=6,"Q2",P308&lt;=9,"Q3",P308&lt;=12,"Q4")</f>
        <v>Q1</v>
      </c>
    </row>
    <row r="309" spans="1:17" x14ac:dyDescent="0.25">
      <c r="A309" s="14">
        <v>45744</v>
      </c>
      <c r="B309" s="15" t="s">
        <v>69</v>
      </c>
      <c r="C309" s="15" t="s">
        <v>70</v>
      </c>
      <c r="D309" s="15" t="s">
        <v>71</v>
      </c>
      <c r="E309" s="16">
        <v>644.55999999999995</v>
      </c>
      <c r="F309" s="16">
        <v>648.96</v>
      </c>
      <c r="G309" s="16">
        <v>639.04999999999995</v>
      </c>
      <c r="H309" s="16">
        <v>646.79</v>
      </c>
      <c r="I309" s="17">
        <v>591914</v>
      </c>
      <c r="J309" s="16">
        <v>517432000000</v>
      </c>
      <c r="K309" s="30">
        <f t="shared" si="24"/>
        <v>0.34597244631997309</v>
      </c>
      <c r="L309" s="31">
        <f t="shared" si="25"/>
        <v>9.9100000000000819</v>
      </c>
      <c r="M309" s="30">
        <f t="shared" si="26"/>
        <v>1.5374829340945889E-2</v>
      </c>
      <c r="N309" s="20" t="str">
        <f t="shared" si="29"/>
        <v>Normal</v>
      </c>
      <c r="O309" s="32">
        <f t="shared" si="27"/>
        <v>517.43200000000002</v>
      </c>
      <c r="P309" s="20">
        <f t="shared" si="28"/>
        <v>3</v>
      </c>
      <c r="Q309" s="20" t="str" cm="1">
        <f t="array" ref="Q309">_xlfn.IFS(P309&lt;=3,"Q1",P309&lt;=6,"Q2",P309&lt;=9,"Q3",P309&lt;=12,"Q4")</f>
        <v>Q1</v>
      </c>
    </row>
    <row r="310" spans="1:17" x14ac:dyDescent="0.25">
      <c r="A310" s="8">
        <v>45744</v>
      </c>
      <c r="B310" s="9" t="s">
        <v>73</v>
      </c>
      <c r="C310" s="9" t="s">
        <v>74</v>
      </c>
      <c r="D310" s="9" t="s">
        <v>75</v>
      </c>
      <c r="E310" s="10">
        <v>112.44</v>
      </c>
      <c r="F310" s="10">
        <v>112.91</v>
      </c>
      <c r="G310" s="10">
        <v>111.92</v>
      </c>
      <c r="H310" s="10">
        <v>112.86</v>
      </c>
      <c r="I310" s="11">
        <v>571667</v>
      </c>
      <c r="J310" s="10">
        <v>24829200000</v>
      </c>
      <c r="K310" s="30">
        <f t="shared" si="24"/>
        <v>0.37353255069370483</v>
      </c>
      <c r="L310" s="31">
        <f t="shared" si="25"/>
        <v>0.98999999999999488</v>
      </c>
      <c r="M310" s="30">
        <f t="shared" si="26"/>
        <v>8.8046958377801035E-3</v>
      </c>
      <c r="N310" s="20" t="str">
        <f t="shared" si="29"/>
        <v>Normal</v>
      </c>
      <c r="O310" s="32">
        <f t="shared" si="27"/>
        <v>24.8292</v>
      </c>
      <c r="P310" s="20">
        <f t="shared" si="28"/>
        <v>3</v>
      </c>
      <c r="Q310" s="20" t="str" cm="1">
        <f t="array" ref="Q310">_xlfn.IFS(P310&lt;=3,"Q1",P310&lt;=6,"Q2",P310&lt;=9,"Q3",P310&lt;=12,"Q4")</f>
        <v>Q1</v>
      </c>
    </row>
    <row r="311" spans="1:17" x14ac:dyDescent="0.25">
      <c r="A311" s="14">
        <v>45744</v>
      </c>
      <c r="B311" s="15" t="s">
        <v>76</v>
      </c>
      <c r="C311" s="15" t="s">
        <v>77</v>
      </c>
      <c r="D311" s="15" t="s">
        <v>75</v>
      </c>
      <c r="E311" s="16">
        <v>121.38</v>
      </c>
      <c r="F311" s="16">
        <v>122.54</v>
      </c>
      <c r="G311" s="16">
        <v>120.48</v>
      </c>
      <c r="H311" s="16">
        <v>122.43</v>
      </c>
      <c r="I311" s="17">
        <v>3420674</v>
      </c>
      <c r="J311" s="16">
        <v>24486000000</v>
      </c>
      <c r="K311" s="30">
        <f t="shared" si="24"/>
        <v>0.86505190311419633</v>
      </c>
      <c r="L311" s="31">
        <f t="shared" si="25"/>
        <v>2.0600000000000023</v>
      </c>
      <c r="M311" s="30">
        <f t="shared" si="26"/>
        <v>1.6971494480145018E-2</v>
      </c>
      <c r="N311" s="20" t="str">
        <f t="shared" si="29"/>
        <v>High volume</v>
      </c>
      <c r="O311" s="32">
        <f t="shared" si="27"/>
        <v>24.486000000000001</v>
      </c>
      <c r="P311" s="20">
        <f t="shared" si="28"/>
        <v>3</v>
      </c>
      <c r="Q311" s="20" t="str" cm="1">
        <f t="array" ref="Q311">_xlfn.IFS(P311&lt;=3,"Q1",P311&lt;=6,"Q2",P311&lt;=9,"Q3",P311&lt;=12,"Q4")</f>
        <v>Q1</v>
      </c>
    </row>
    <row r="312" spans="1:17" x14ac:dyDescent="0.25">
      <c r="A312" s="8">
        <v>45747</v>
      </c>
      <c r="B312" s="9" t="s">
        <v>60</v>
      </c>
      <c r="C312" s="9" t="s">
        <v>61</v>
      </c>
      <c r="D312" s="9" t="s">
        <v>62</v>
      </c>
      <c r="E312" s="10">
        <v>2728.3</v>
      </c>
      <c r="F312" s="10">
        <v>2731.31</v>
      </c>
      <c r="G312" s="10">
        <v>2714.76</v>
      </c>
      <c r="H312" s="10">
        <v>2719.96</v>
      </c>
      <c r="I312" s="11">
        <v>2637819</v>
      </c>
      <c r="J312" s="10">
        <v>3807944000000</v>
      </c>
      <c r="K312" s="30">
        <f t="shared" si="24"/>
        <v>-0.30568485870322709</v>
      </c>
      <c r="L312" s="31">
        <f t="shared" si="25"/>
        <v>16.549999999999727</v>
      </c>
      <c r="M312" s="30">
        <f t="shared" si="26"/>
        <v>6.0660484550818187E-3</v>
      </c>
      <c r="N312" s="20" t="str">
        <f t="shared" si="29"/>
        <v>High volume</v>
      </c>
      <c r="O312" s="32">
        <f t="shared" si="27"/>
        <v>3807.944</v>
      </c>
      <c r="P312" s="20">
        <f t="shared" si="28"/>
        <v>3</v>
      </c>
      <c r="Q312" s="20" t="str" cm="1">
        <f t="array" ref="Q312">_xlfn.IFS(P312&lt;=3,"Q1",P312&lt;=6,"Q2",P312&lt;=9,"Q3",P312&lt;=12,"Q4")</f>
        <v>Q1</v>
      </c>
    </row>
    <row r="313" spans="1:17" x14ac:dyDescent="0.25">
      <c r="A313" s="14">
        <v>45747</v>
      </c>
      <c r="B313" s="15" t="s">
        <v>65</v>
      </c>
      <c r="C313" s="15" t="s">
        <v>66</v>
      </c>
      <c r="D313" s="15" t="s">
        <v>67</v>
      </c>
      <c r="E313" s="16">
        <v>217.01</v>
      </c>
      <c r="F313" s="16">
        <v>217.01</v>
      </c>
      <c r="G313" s="16">
        <v>216.16</v>
      </c>
      <c r="H313" s="16">
        <v>216.79</v>
      </c>
      <c r="I313" s="17">
        <v>4486284</v>
      </c>
      <c r="J313" s="16">
        <v>54197500000</v>
      </c>
      <c r="K313" s="30">
        <f t="shared" si="24"/>
        <v>-0.10137781669047458</v>
      </c>
      <c r="L313" s="31">
        <f t="shared" si="25"/>
        <v>0.84999999999999432</v>
      </c>
      <c r="M313" s="30">
        <f t="shared" si="26"/>
        <v>3.9168701903137841E-3</v>
      </c>
      <c r="N313" s="20" t="str">
        <f t="shared" si="29"/>
        <v>High volume</v>
      </c>
      <c r="O313" s="32">
        <f t="shared" si="27"/>
        <v>54.197499999999998</v>
      </c>
      <c r="P313" s="20">
        <f t="shared" si="28"/>
        <v>3</v>
      </c>
      <c r="Q313" s="20" t="str" cm="1">
        <f t="array" ref="Q313">_xlfn.IFS(P313&lt;=3,"Q1",P313&lt;=6,"Q2",P313&lt;=9,"Q3",P313&lt;=12,"Q4")</f>
        <v>Q1</v>
      </c>
    </row>
    <row r="314" spans="1:17" x14ac:dyDescent="0.25">
      <c r="A314" s="8">
        <v>45747</v>
      </c>
      <c r="B314" s="9" t="s">
        <v>69</v>
      </c>
      <c r="C314" s="9" t="s">
        <v>70</v>
      </c>
      <c r="D314" s="9" t="s">
        <v>71</v>
      </c>
      <c r="E314" s="10">
        <v>625.59</v>
      </c>
      <c r="F314" s="10">
        <v>626.82000000000005</v>
      </c>
      <c r="G314" s="10">
        <v>619.21</v>
      </c>
      <c r="H314" s="10">
        <v>624.57000000000005</v>
      </c>
      <c r="I314" s="11">
        <v>2099947</v>
      </c>
      <c r="J314" s="10">
        <v>499656000000</v>
      </c>
      <c r="K314" s="30">
        <f t="shared" si="24"/>
        <v>-0.16304608449623265</v>
      </c>
      <c r="L314" s="31">
        <f t="shared" si="25"/>
        <v>7.6100000000000136</v>
      </c>
      <c r="M314" s="30">
        <f t="shared" si="26"/>
        <v>1.2164516696238772E-2</v>
      </c>
      <c r="N314" s="20" t="str">
        <f t="shared" si="29"/>
        <v>High volume</v>
      </c>
      <c r="O314" s="32">
        <f t="shared" si="27"/>
        <v>499.65600000000001</v>
      </c>
      <c r="P314" s="20">
        <f t="shared" si="28"/>
        <v>3</v>
      </c>
      <c r="Q314" s="20" t="str" cm="1">
        <f t="array" ref="Q314">_xlfn.IFS(P314&lt;=3,"Q1",P314&lt;=6,"Q2",P314&lt;=9,"Q3",P314&lt;=12,"Q4")</f>
        <v>Q1</v>
      </c>
    </row>
    <row r="315" spans="1:17" x14ac:dyDescent="0.25">
      <c r="A315" s="14">
        <v>45747</v>
      </c>
      <c r="B315" s="15" t="s">
        <v>73</v>
      </c>
      <c r="C315" s="15" t="s">
        <v>74</v>
      </c>
      <c r="D315" s="15" t="s">
        <v>75</v>
      </c>
      <c r="E315" s="16">
        <v>114.85</v>
      </c>
      <c r="F315" s="16">
        <v>115.6</v>
      </c>
      <c r="G315" s="16">
        <v>114.83</v>
      </c>
      <c r="H315" s="16">
        <v>115.54</v>
      </c>
      <c r="I315" s="17">
        <v>4420485</v>
      </c>
      <c r="J315" s="16">
        <v>25418800000</v>
      </c>
      <c r="K315" s="30">
        <f t="shared" si="24"/>
        <v>0.60078363082282271</v>
      </c>
      <c r="L315" s="31">
        <f t="shared" si="25"/>
        <v>0.76999999999999602</v>
      </c>
      <c r="M315" s="30">
        <f t="shared" si="26"/>
        <v>6.7043970396168575E-3</v>
      </c>
      <c r="N315" s="20" t="str">
        <f t="shared" si="29"/>
        <v>High volume</v>
      </c>
      <c r="O315" s="32">
        <f t="shared" si="27"/>
        <v>25.418800000000001</v>
      </c>
      <c r="P315" s="20">
        <f t="shared" si="28"/>
        <v>3</v>
      </c>
      <c r="Q315" s="20" t="str" cm="1">
        <f t="array" ref="Q315">_xlfn.IFS(P315&lt;=3,"Q1",P315&lt;=6,"Q2",P315&lt;=9,"Q3",P315&lt;=12,"Q4")</f>
        <v>Q1</v>
      </c>
    </row>
    <row r="316" spans="1:17" x14ac:dyDescent="0.25">
      <c r="A316" s="8">
        <v>45747</v>
      </c>
      <c r="B316" s="9" t="s">
        <v>76</v>
      </c>
      <c r="C316" s="9" t="s">
        <v>77</v>
      </c>
      <c r="D316" s="9" t="s">
        <v>75</v>
      </c>
      <c r="E316" s="10">
        <v>122.76</v>
      </c>
      <c r="F316" s="10">
        <v>123.26</v>
      </c>
      <c r="G316" s="10">
        <v>122.22</v>
      </c>
      <c r="H316" s="10">
        <v>122.96</v>
      </c>
      <c r="I316" s="11">
        <v>1036442</v>
      </c>
      <c r="J316" s="10">
        <v>24592000000</v>
      </c>
      <c r="K316" s="30">
        <f t="shared" si="24"/>
        <v>0.16291951775821817</v>
      </c>
      <c r="L316" s="31">
        <f t="shared" si="25"/>
        <v>1.0400000000000063</v>
      </c>
      <c r="M316" s="30">
        <f t="shared" si="26"/>
        <v>8.471814923427877E-3</v>
      </c>
      <c r="N316" s="20" t="str">
        <f t="shared" si="29"/>
        <v>Normal</v>
      </c>
      <c r="O316" s="32">
        <f t="shared" si="27"/>
        <v>24.591999999999999</v>
      </c>
      <c r="P316" s="20">
        <f t="shared" si="28"/>
        <v>3</v>
      </c>
      <c r="Q316" s="20" t="str" cm="1">
        <f t="array" ref="Q316">_xlfn.IFS(P316&lt;=3,"Q1",P316&lt;=6,"Q2",P316&lt;=9,"Q3",P316&lt;=12,"Q4")</f>
        <v>Q1</v>
      </c>
    </row>
    <row r="317" spans="1:17" x14ac:dyDescent="0.25">
      <c r="A317" s="14">
        <v>45748</v>
      </c>
      <c r="B317" s="15" t="s">
        <v>60</v>
      </c>
      <c r="C317" s="15" t="s">
        <v>61</v>
      </c>
      <c r="D317" s="15" t="s">
        <v>62</v>
      </c>
      <c r="E317" s="16">
        <v>2731.77</v>
      </c>
      <c r="F317" s="16">
        <v>2753.01</v>
      </c>
      <c r="G317" s="16">
        <v>2678.63</v>
      </c>
      <c r="H317" s="16">
        <v>2752.01</v>
      </c>
      <c r="I317" s="17">
        <v>3214414</v>
      </c>
      <c r="J317" s="16">
        <v>3852814000000</v>
      </c>
      <c r="K317" s="30">
        <f t="shared" si="24"/>
        <v>0.74091157015415787</v>
      </c>
      <c r="L317" s="31">
        <f t="shared" si="25"/>
        <v>74.380000000000109</v>
      </c>
      <c r="M317" s="30">
        <f t="shared" si="26"/>
        <v>2.7227768077107556E-2</v>
      </c>
      <c r="N317" s="20" t="str">
        <f t="shared" si="29"/>
        <v>High volume</v>
      </c>
      <c r="O317" s="32">
        <f t="shared" si="27"/>
        <v>3852.8139999999999</v>
      </c>
      <c r="P317" s="20">
        <f t="shared" si="28"/>
        <v>4</v>
      </c>
      <c r="Q317" s="20" t="str" cm="1">
        <f t="array" ref="Q317">_xlfn.IFS(P317&lt;=3,"Q1",P317&lt;=6,"Q2",P317&lt;=9,"Q3",P317&lt;=12,"Q4")</f>
        <v>Q2</v>
      </c>
    </row>
    <row r="318" spans="1:17" x14ac:dyDescent="0.25">
      <c r="A318" s="8">
        <v>45748</v>
      </c>
      <c r="B318" s="9" t="s">
        <v>65</v>
      </c>
      <c r="C318" s="9" t="s">
        <v>66</v>
      </c>
      <c r="D318" s="9" t="s">
        <v>67</v>
      </c>
      <c r="E318" s="10">
        <v>215.8</v>
      </c>
      <c r="F318" s="10">
        <v>217.91</v>
      </c>
      <c r="G318" s="10">
        <v>215.43</v>
      </c>
      <c r="H318" s="10">
        <v>215.82</v>
      </c>
      <c r="I318" s="11">
        <v>1760381</v>
      </c>
      <c r="J318" s="10">
        <v>53955000000</v>
      </c>
      <c r="K318" s="30">
        <f t="shared" si="24"/>
        <v>9.2678405931333682E-3</v>
      </c>
      <c r="L318" s="31">
        <f t="shared" si="25"/>
        <v>2.4799999999999898</v>
      </c>
      <c r="M318" s="30">
        <f t="shared" si="26"/>
        <v>1.1492122335495781E-2</v>
      </c>
      <c r="N318" s="20" t="str">
        <f t="shared" si="29"/>
        <v>Normal</v>
      </c>
      <c r="O318" s="32">
        <f t="shared" si="27"/>
        <v>53.954999999999998</v>
      </c>
      <c r="P318" s="20">
        <f t="shared" si="28"/>
        <v>4</v>
      </c>
      <c r="Q318" s="20" t="str" cm="1">
        <f t="array" ref="Q318">_xlfn.IFS(P318&lt;=3,"Q1",P318&lt;=6,"Q2",P318&lt;=9,"Q3",P318&lt;=12,"Q4")</f>
        <v>Q2</v>
      </c>
    </row>
    <row r="319" spans="1:17" x14ac:dyDescent="0.25">
      <c r="A319" s="14">
        <v>45748</v>
      </c>
      <c r="B319" s="15" t="s">
        <v>69</v>
      </c>
      <c r="C319" s="15" t="s">
        <v>70</v>
      </c>
      <c r="D319" s="15" t="s">
        <v>71</v>
      </c>
      <c r="E319" s="16">
        <v>632.35</v>
      </c>
      <c r="F319" s="16">
        <v>633.99</v>
      </c>
      <c r="G319" s="16">
        <v>626.54</v>
      </c>
      <c r="H319" s="16">
        <v>627.44000000000005</v>
      </c>
      <c r="I319" s="17">
        <v>1985945</v>
      </c>
      <c r="J319" s="16">
        <v>501952000000</v>
      </c>
      <c r="K319" s="30">
        <f t="shared" si="24"/>
        <v>-0.77646872776151943</v>
      </c>
      <c r="L319" s="31">
        <f t="shared" si="25"/>
        <v>7.4500000000000455</v>
      </c>
      <c r="M319" s="30">
        <f t="shared" si="26"/>
        <v>1.1781450146279822E-2</v>
      </c>
      <c r="N319" s="20" t="str">
        <f t="shared" si="29"/>
        <v>Normal</v>
      </c>
      <c r="O319" s="32">
        <f t="shared" si="27"/>
        <v>501.952</v>
      </c>
      <c r="P319" s="20">
        <f t="shared" si="28"/>
        <v>4</v>
      </c>
      <c r="Q319" s="20" t="str" cm="1">
        <f t="array" ref="Q319">_xlfn.IFS(P319&lt;=3,"Q1",P319&lt;=6,"Q2",P319&lt;=9,"Q3",P319&lt;=12,"Q4")</f>
        <v>Q2</v>
      </c>
    </row>
    <row r="320" spans="1:17" x14ac:dyDescent="0.25">
      <c r="A320" s="8">
        <v>45748</v>
      </c>
      <c r="B320" s="9" t="s">
        <v>73</v>
      </c>
      <c r="C320" s="9" t="s">
        <v>74</v>
      </c>
      <c r="D320" s="9" t="s">
        <v>75</v>
      </c>
      <c r="E320" s="10">
        <v>115.9</v>
      </c>
      <c r="F320" s="10">
        <v>116.56</v>
      </c>
      <c r="G320" s="10">
        <v>115.02</v>
      </c>
      <c r="H320" s="10">
        <v>115.9</v>
      </c>
      <c r="I320" s="11">
        <v>4220884</v>
      </c>
      <c r="J320" s="10">
        <v>25498000000</v>
      </c>
      <c r="K320" s="30">
        <f t="shared" si="24"/>
        <v>0</v>
      </c>
      <c r="L320" s="31">
        <f t="shared" si="25"/>
        <v>1.5400000000000063</v>
      </c>
      <c r="M320" s="30">
        <f t="shared" si="26"/>
        <v>1.3287316652286506E-2</v>
      </c>
      <c r="N320" s="20" t="str">
        <f t="shared" si="29"/>
        <v>High volume</v>
      </c>
      <c r="O320" s="32">
        <f t="shared" si="27"/>
        <v>25.498000000000001</v>
      </c>
      <c r="P320" s="20">
        <f t="shared" si="28"/>
        <v>4</v>
      </c>
      <c r="Q320" s="20" t="str" cm="1">
        <f t="array" ref="Q320">_xlfn.IFS(P320&lt;=3,"Q1",P320&lt;=6,"Q2",P320&lt;=9,"Q3",P320&lt;=12,"Q4")</f>
        <v>Q2</v>
      </c>
    </row>
    <row r="321" spans="1:17" x14ac:dyDescent="0.25">
      <c r="A321" s="14">
        <v>45748</v>
      </c>
      <c r="B321" s="15" t="s">
        <v>76</v>
      </c>
      <c r="C321" s="15" t="s">
        <v>77</v>
      </c>
      <c r="D321" s="15" t="s">
        <v>75</v>
      </c>
      <c r="E321" s="16">
        <v>123.05</v>
      </c>
      <c r="F321" s="16">
        <v>123.46</v>
      </c>
      <c r="G321" s="16">
        <v>121.87</v>
      </c>
      <c r="H321" s="16">
        <v>122.84</v>
      </c>
      <c r="I321" s="17">
        <v>1023227</v>
      </c>
      <c r="J321" s="16">
        <v>24568000000</v>
      </c>
      <c r="K321" s="30">
        <f t="shared" si="24"/>
        <v>-0.1706623323852042</v>
      </c>
      <c r="L321" s="31">
        <f t="shared" si="25"/>
        <v>1.5899999999999892</v>
      </c>
      <c r="M321" s="30">
        <f t="shared" si="26"/>
        <v>1.2921576594880043E-2</v>
      </c>
      <c r="N321" s="20" t="str">
        <f t="shared" si="29"/>
        <v>Normal</v>
      </c>
      <c r="O321" s="32">
        <f t="shared" si="27"/>
        <v>24.568000000000001</v>
      </c>
      <c r="P321" s="20">
        <f t="shared" si="28"/>
        <v>4</v>
      </c>
      <c r="Q321" s="20" t="str" cm="1">
        <f t="array" ref="Q321">_xlfn.IFS(P321&lt;=3,"Q1",P321&lt;=6,"Q2",P321&lt;=9,"Q3",P321&lt;=12,"Q4")</f>
        <v>Q2</v>
      </c>
    </row>
    <row r="322" spans="1:17" x14ac:dyDescent="0.25">
      <c r="A322" s="8">
        <v>45749</v>
      </c>
      <c r="B322" s="9" t="s">
        <v>60</v>
      </c>
      <c r="C322" s="9" t="s">
        <v>61</v>
      </c>
      <c r="D322" s="9" t="s">
        <v>62</v>
      </c>
      <c r="E322" s="10">
        <v>2790.66</v>
      </c>
      <c r="F322" s="10">
        <v>2799.69</v>
      </c>
      <c r="G322" s="10">
        <v>2785.4</v>
      </c>
      <c r="H322" s="10">
        <v>2791.27</v>
      </c>
      <c r="I322" s="11">
        <v>3734577</v>
      </c>
      <c r="J322" s="10">
        <v>3907778000000</v>
      </c>
      <c r="K322" s="30">
        <f t="shared" si="24"/>
        <v>2.1858628424821634E-2</v>
      </c>
      <c r="L322" s="31">
        <f t="shared" si="25"/>
        <v>14.289999999999964</v>
      </c>
      <c r="M322" s="30">
        <f t="shared" si="26"/>
        <v>5.1206524621415592E-3</v>
      </c>
      <c r="N322" s="20" t="str">
        <f t="shared" si="29"/>
        <v>High volume</v>
      </c>
      <c r="O322" s="32">
        <f t="shared" si="27"/>
        <v>3907.7779999999998</v>
      </c>
      <c r="P322" s="20">
        <f t="shared" si="28"/>
        <v>4</v>
      </c>
      <c r="Q322" s="20" t="str" cm="1">
        <f t="array" ref="Q322">_xlfn.IFS(P322&lt;=3,"Q1",P322&lt;=6,"Q2",P322&lt;=9,"Q3",P322&lt;=12,"Q4")</f>
        <v>Q2</v>
      </c>
    </row>
    <row r="323" spans="1:17" x14ac:dyDescent="0.25">
      <c r="A323" s="14">
        <v>45749</v>
      </c>
      <c r="B323" s="15" t="s">
        <v>65</v>
      </c>
      <c r="C323" s="15" t="s">
        <v>66</v>
      </c>
      <c r="D323" s="15" t="s">
        <v>67</v>
      </c>
      <c r="E323" s="16">
        <v>212.25</v>
      </c>
      <c r="F323" s="16">
        <v>212.55</v>
      </c>
      <c r="G323" s="16">
        <v>211.65</v>
      </c>
      <c r="H323" s="16">
        <v>212.53</v>
      </c>
      <c r="I323" s="17">
        <v>922141</v>
      </c>
      <c r="J323" s="16">
        <v>53132500000</v>
      </c>
      <c r="K323" s="30">
        <f t="shared" ref="K323:K386" si="30">((H323-E323)/E323)*100</f>
        <v>0.13191990577149643</v>
      </c>
      <c r="L323" s="31">
        <f t="shared" ref="L323:L386" si="31">F323-G323</f>
        <v>0.90000000000000568</v>
      </c>
      <c r="M323" s="30">
        <f t="shared" ref="M323:M386" si="32">L323/E323</f>
        <v>4.240282685512394E-3</v>
      </c>
      <c r="N323" s="20" t="str">
        <f t="shared" si="29"/>
        <v>Normal</v>
      </c>
      <c r="O323" s="32">
        <f t="shared" ref="O323:O386" si="33">J323/1000000000</f>
        <v>53.1325</v>
      </c>
      <c r="P323" s="20">
        <f t="shared" ref="P323:P386" si="34">MONTH(A323)</f>
        <v>4</v>
      </c>
      <c r="Q323" s="20" t="str" cm="1">
        <f t="array" ref="Q323">_xlfn.IFS(P323&lt;=3,"Q1",P323&lt;=6,"Q2",P323&lt;=9,"Q3",P323&lt;=12,"Q4")</f>
        <v>Q2</v>
      </c>
    </row>
    <row r="324" spans="1:17" x14ac:dyDescent="0.25">
      <c r="A324" s="8">
        <v>45749</v>
      </c>
      <c r="B324" s="9" t="s">
        <v>69</v>
      </c>
      <c r="C324" s="9" t="s">
        <v>70</v>
      </c>
      <c r="D324" s="9" t="s">
        <v>71</v>
      </c>
      <c r="E324" s="10">
        <v>614.04999999999995</v>
      </c>
      <c r="F324" s="10">
        <v>616.34</v>
      </c>
      <c r="G324" s="10">
        <v>608.41</v>
      </c>
      <c r="H324" s="10">
        <v>614.6</v>
      </c>
      <c r="I324" s="11">
        <v>1826417</v>
      </c>
      <c r="J324" s="10">
        <v>491680000000</v>
      </c>
      <c r="K324" s="30">
        <f t="shared" si="30"/>
        <v>8.9569253318144817E-2</v>
      </c>
      <c r="L324" s="31">
        <f t="shared" si="31"/>
        <v>7.9300000000000637</v>
      </c>
      <c r="M324" s="30">
        <f t="shared" si="32"/>
        <v>1.2914257796596473E-2</v>
      </c>
      <c r="N324" s="20" t="str">
        <f t="shared" ref="N324:N387" si="35">IF(I324&gt;2000000,"High volume","Normal")</f>
        <v>Normal</v>
      </c>
      <c r="O324" s="32">
        <f t="shared" si="33"/>
        <v>491.68</v>
      </c>
      <c r="P324" s="20">
        <f t="shared" si="34"/>
        <v>4</v>
      </c>
      <c r="Q324" s="20" t="str" cm="1">
        <f t="array" ref="Q324">_xlfn.IFS(P324&lt;=3,"Q1",P324&lt;=6,"Q2",P324&lt;=9,"Q3",P324&lt;=12,"Q4")</f>
        <v>Q2</v>
      </c>
    </row>
    <row r="325" spans="1:17" x14ac:dyDescent="0.25">
      <c r="A325" s="14">
        <v>45749</v>
      </c>
      <c r="B325" s="15" t="s">
        <v>73</v>
      </c>
      <c r="C325" s="15" t="s">
        <v>74</v>
      </c>
      <c r="D325" s="15" t="s">
        <v>75</v>
      </c>
      <c r="E325" s="16">
        <v>118.88</v>
      </c>
      <c r="F325" s="16">
        <v>118.94</v>
      </c>
      <c r="G325" s="16">
        <v>118.38</v>
      </c>
      <c r="H325" s="16">
        <v>118.66</v>
      </c>
      <c r="I325" s="17">
        <v>764836</v>
      </c>
      <c r="J325" s="16">
        <v>26105200000</v>
      </c>
      <c r="K325" s="30">
        <f t="shared" si="30"/>
        <v>-0.18506056527590753</v>
      </c>
      <c r="L325" s="31">
        <f t="shared" si="31"/>
        <v>0.56000000000000227</v>
      </c>
      <c r="M325" s="30">
        <f t="shared" si="32"/>
        <v>4.7106325706595077E-3</v>
      </c>
      <c r="N325" s="20" t="str">
        <f t="shared" si="35"/>
        <v>Normal</v>
      </c>
      <c r="O325" s="32">
        <f t="shared" si="33"/>
        <v>26.1052</v>
      </c>
      <c r="P325" s="20">
        <f t="shared" si="34"/>
        <v>4</v>
      </c>
      <c r="Q325" s="20" t="str" cm="1">
        <f t="array" ref="Q325">_xlfn.IFS(P325&lt;=3,"Q1",P325&lt;=6,"Q2",P325&lt;=9,"Q3",P325&lt;=12,"Q4")</f>
        <v>Q2</v>
      </c>
    </row>
    <row r="326" spans="1:17" x14ac:dyDescent="0.25">
      <c r="A326" s="8">
        <v>45749</v>
      </c>
      <c r="B326" s="9" t="s">
        <v>76</v>
      </c>
      <c r="C326" s="9" t="s">
        <v>77</v>
      </c>
      <c r="D326" s="9" t="s">
        <v>75</v>
      </c>
      <c r="E326" s="10">
        <v>123.95</v>
      </c>
      <c r="F326" s="10">
        <v>124.99</v>
      </c>
      <c r="G326" s="10">
        <v>123.75</v>
      </c>
      <c r="H326" s="10">
        <v>124.91</v>
      </c>
      <c r="I326" s="11">
        <v>2191381</v>
      </c>
      <c r="J326" s="10">
        <v>24982000000</v>
      </c>
      <c r="K326" s="30">
        <f t="shared" si="30"/>
        <v>0.7745058491327097</v>
      </c>
      <c r="L326" s="31">
        <f t="shared" si="31"/>
        <v>1.2399999999999949</v>
      </c>
      <c r="M326" s="30">
        <f t="shared" si="32"/>
        <v>1.0004033884630859E-2</v>
      </c>
      <c r="N326" s="20" t="str">
        <f t="shared" si="35"/>
        <v>High volume</v>
      </c>
      <c r="O326" s="32">
        <f t="shared" si="33"/>
        <v>24.981999999999999</v>
      </c>
      <c r="P326" s="20">
        <f t="shared" si="34"/>
        <v>4</v>
      </c>
      <c r="Q326" s="20" t="str" cm="1">
        <f t="array" ref="Q326">_xlfn.IFS(P326&lt;=3,"Q1",P326&lt;=6,"Q2",P326&lt;=9,"Q3",P326&lt;=12,"Q4")</f>
        <v>Q2</v>
      </c>
    </row>
    <row r="327" spans="1:17" x14ac:dyDescent="0.25">
      <c r="A327" s="14">
        <v>45750</v>
      </c>
      <c r="B327" s="15" t="s">
        <v>60</v>
      </c>
      <c r="C327" s="15" t="s">
        <v>61</v>
      </c>
      <c r="D327" s="15" t="s">
        <v>62</v>
      </c>
      <c r="E327" s="16">
        <v>2815.29</v>
      </c>
      <c r="F327" s="16">
        <v>2845.68</v>
      </c>
      <c r="G327" s="16">
        <v>2771.18</v>
      </c>
      <c r="H327" s="16">
        <v>2837.85</v>
      </c>
      <c r="I327" s="17">
        <v>961524</v>
      </c>
      <c r="J327" s="16">
        <v>3972990000000</v>
      </c>
      <c r="K327" s="30">
        <f t="shared" si="30"/>
        <v>0.80133840563494152</v>
      </c>
      <c r="L327" s="31">
        <f t="shared" si="31"/>
        <v>74.5</v>
      </c>
      <c r="M327" s="30">
        <f t="shared" si="32"/>
        <v>2.6462637952040464E-2</v>
      </c>
      <c r="N327" s="20" t="str">
        <f t="shared" si="35"/>
        <v>Normal</v>
      </c>
      <c r="O327" s="32">
        <f t="shared" si="33"/>
        <v>3972.99</v>
      </c>
      <c r="P327" s="20">
        <f t="shared" si="34"/>
        <v>4</v>
      </c>
      <c r="Q327" s="20" t="str" cm="1">
        <f t="array" ref="Q327">_xlfn.IFS(P327&lt;=3,"Q1",P327&lt;=6,"Q2",P327&lt;=9,"Q3",P327&lt;=12,"Q4")</f>
        <v>Q2</v>
      </c>
    </row>
    <row r="328" spans="1:17" x14ac:dyDescent="0.25">
      <c r="A328" s="8">
        <v>45750</v>
      </c>
      <c r="B328" s="9" t="s">
        <v>65</v>
      </c>
      <c r="C328" s="9" t="s">
        <v>66</v>
      </c>
      <c r="D328" s="9" t="s">
        <v>67</v>
      </c>
      <c r="E328" s="10">
        <v>212.56</v>
      </c>
      <c r="F328" s="10">
        <v>214.97</v>
      </c>
      <c r="G328" s="10">
        <v>211.73</v>
      </c>
      <c r="H328" s="10">
        <v>212.71</v>
      </c>
      <c r="I328" s="11">
        <v>4775138</v>
      </c>
      <c r="J328" s="10">
        <v>53177500000</v>
      </c>
      <c r="K328" s="30">
        <f t="shared" si="30"/>
        <v>7.0568310124202893E-2</v>
      </c>
      <c r="L328" s="31">
        <f t="shared" si="31"/>
        <v>3.2400000000000091</v>
      </c>
      <c r="M328" s="30">
        <f t="shared" si="32"/>
        <v>1.5242754986827291E-2</v>
      </c>
      <c r="N328" s="20" t="str">
        <f t="shared" si="35"/>
        <v>High volume</v>
      </c>
      <c r="O328" s="32">
        <f t="shared" si="33"/>
        <v>53.177500000000002</v>
      </c>
      <c r="P328" s="20">
        <f t="shared" si="34"/>
        <v>4</v>
      </c>
      <c r="Q328" s="20" t="str" cm="1">
        <f t="array" ref="Q328">_xlfn.IFS(P328&lt;=3,"Q1",P328&lt;=6,"Q2",P328&lt;=9,"Q3",P328&lt;=12,"Q4")</f>
        <v>Q2</v>
      </c>
    </row>
    <row r="329" spans="1:17" x14ac:dyDescent="0.25">
      <c r="A329" s="14">
        <v>45750</v>
      </c>
      <c r="B329" s="15" t="s">
        <v>69</v>
      </c>
      <c r="C329" s="15" t="s">
        <v>70</v>
      </c>
      <c r="D329" s="15" t="s">
        <v>71</v>
      </c>
      <c r="E329" s="16">
        <v>613.23</v>
      </c>
      <c r="F329" s="16">
        <v>619.08000000000004</v>
      </c>
      <c r="G329" s="16">
        <v>609.34</v>
      </c>
      <c r="H329" s="16">
        <v>615.1</v>
      </c>
      <c r="I329" s="17">
        <v>1593475</v>
      </c>
      <c r="J329" s="16">
        <v>492080000000</v>
      </c>
      <c r="K329" s="30">
        <f t="shared" si="30"/>
        <v>0.30494268056031248</v>
      </c>
      <c r="L329" s="31">
        <f t="shared" si="31"/>
        <v>9.7400000000000091</v>
      </c>
      <c r="M329" s="30">
        <f t="shared" si="32"/>
        <v>1.5883110741483634E-2</v>
      </c>
      <c r="N329" s="20" t="str">
        <f t="shared" si="35"/>
        <v>Normal</v>
      </c>
      <c r="O329" s="32">
        <f t="shared" si="33"/>
        <v>492.08</v>
      </c>
      <c r="P329" s="20">
        <f t="shared" si="34"/>
        <v>4</v>
      </c>
      <c r="Q329" s="20" t="str" cm="1">
        <f t="array" ref="Q329">_xlfn.IFS(P329&lt;=3,"Q1",P329&lt;=6,"Q2",P329&lt;=9,"Q3",P329&lt;=12,"Q4")</f>
        <v>Q2</v>
      </c>
    </row>
    <row r="330" spans="1:17" x14ac:dyDescent="0.25">
      <c r="A330" s="8">
        <v>45750</v>
      </c>
      <c r="B330" s="9" t="s">
        <v>73</v>
      </c>
      <c r="C330" s="9" t="s">
        <v>74</v>
      </c>
      <c r="D330" s="9" t="s">
        <v>75</v>
      </c>
      <c r="E330" s="10">
        <v>119.87</v>
      </c>
      <c r="F330" s="10">
        <v>121.05</v>
      </c>
      <c r="G330" s="10">
        <v>119.16</v>
      </c>
      <c r="H330" s="10">
        <v>120.91</v>
      </c>
      <c r="I330" s="11">
        <v>645562</v>
      </c>
      <c r="J330" s="10">
        <v>26600200000</v>
      </c>
      <c r="K330" s="30">
        <f t="shared" si="30"/>
        <v>0.86760657378826389</v>
      </c>
      <c r="L330" s="31">
        <f t="shared" si="31"/>
        <v>1.8900000000000006</v>
      </c>
      <c r="M330" s="30">
        <f t="shared" si="32"/>
        <v>1.5767081004421462E-2</v>
      </c>
      <c r="N330" s="20" t="str">
        <f t="shared" si="35"/>
        <v>Normal</v>
      </c>
      <c r="O330" s="32">
        <f t="shared" si="33"/>
        <v>26.600200000000001</v>
      </c>
      <c r="P330" s="20">
        <f t="shared" si="34"/>
        <v>4</v>
      </c>
      <c r="Q330" s="20" t="str" cm="1">
        <f t="array" ref="Q330">_xlfn.IFS(P330&lt;=3,"Q1",P330&lt;=6,"Q2",P330&lt;=9,"Q3",P330&lt;=12,"Q4")</f>
        <v>Q2</v>
      </c>
    </row>
    <row r="331" spans="1:17" x14ac:dyDescent="0.25">
      <c r="A331" s="14">
        <v>45750</v>
      </c>
      <c r="B331" s="15" t="s">
        <v>76</v>
      </c>
      <c r="C331" s="15" t="s">
        <v>77</v>
      </c>
      <c r="D331" s="15" t="s">
        <v>75</v>
      </c>
      <c r="E331" s="16">
        <v>123.95</v>
      </c>
      <c r="F331" s="16">
        <v>124.06</v>
      </c>
      <c r="G331" s="16">
        <v>123.74</v>
      </c>
      <c r="H331" s="16">
        <v>123.75</v>
      </c>
      <c r="I331" s="17">
        <v>2520094</v>
      </c>
      <c r="J331" s="16">
        <v>24750000000</v>
      </c>
      <c r="K331" s="30">
        <f t="shared" si="30"/>
        <v>-0.16135538523598456</v>
      </c>
      <c r="L331" s="31">
        <f t="shared" si="31"/>
        <v>0.32000000000000739</v>
      </c>
      <c r="M331" s="30">
        <f t="shared" si="32"/>
        <v>2.5816861637757756E-3</v>
      </c>
      <c r="N331" s="20" t="str">
        <f t="shared" si="35"/>
        <v>High volume</v>
      </c>
      <c r="O331" s="32">
        <f t="shared" si="33"/>
        <v>24.75</v>
      </c>
      <c r="P331" s="20">
        <f t="shared" si="34"/>
        <v>4</v>
      </c>
      <c r="Q331" s="20" t="str" cm="1">
        <f t="array" ref="Q331">_xlfn.IFS(P331&lt;=3,"Q1",P331&lt;=6,"Q2",P331&lt;=9,"Q3",P331&lt;=12,"Q4")</f>
        <v>Q2</v>
      </c>
    </row>
    <row r="332" spans="1:17" x14ac:dyDescent="0.25">
      <c r="A332" s="8">
        <v>45751</v>
      </c>
      <c r="B332" s="9" t="s">
        <v>60</v>
      </c>
      <c r="C332" s="9" t="s">
        <v>61</v>
      </c>
      <c r="D332" s="9" t="s">
        <v>62</v>
      </c>
      <c r="E332" s="10">
        <v>2796.13</v>
      </c>
      <c r="F332" s="10">
        <v>2827.18</v>
      </c>
      <c r="G332" s="10">
        <v>2768.48</v>
      </c>
      <c r="H332" s="10">
        <v>2797.71</v>
      </c>
      <c r="I332" s="11">
        <v>4876635</v>
      </c>
      <c r="J332" s="10">
        <v>3916794000000</v>
      </c>
      <c r="K332" s="30">
        <f t="shared" si="30"/>
        <v>5.6506671721269303E-2</v>
      </c>
      <c r="L332" s="31">
        <f t="shared" si="31"/>
        <v>58.699999999999818</v>
      </c>
      <c r="M332" s="30">
        <f t="shared" si="32"/>
        <v>2.0993301455940822E-2</v>
      </c>
      <c r="N332" s="20" t="str">
        <f t="shared" si="35"/>
        <v>High volume</v>
      </c>
      <c r="O332" s="32">
        <f t="shared" si="33"/>
        <v>3916.7939999999999</v>
      </c>
      <c r="P332" s="20">
        <f t="shared" si="34"/>
        <v>4</v>
      </c>
      <c r="Q332" s="20" t="str" cm="1">
        <f t="array" ref="Q332">_xlfn.IFS(P332&lt;=3,"Q1",P332&lt;=6,"Q2",P332&lt;=9,"Q3",P332&lt;=12,"Q4")</f>
        <v>Q2</v>
      </c>
    </row>
    <row r="333" spans="1:17" x14ac:dyDescent="0.25">
      <c r="A333" s="14">
        <v>45751</v>
      </c>
      <c r="B333" s="15" t="s">
        <v>65</v>
      </c>
      <c r="C333" s="15" t="s">
        <v>66</v>
      </c>
      <c r="D333" s="15" t="s">
        <v>67</v>
      </c>
      <c r="E333" s="16">
        <v>215.03</v>
      </c>
      <c r="F333" s="16">
        <v>216.09</v>
      </c>
      <c r="G333" s="16">
        <v>210.85</v>
      </c>
      <c r="H333" s="16">
        <v>213.38</v>
      </c>
      <c r="I333" s="17">
        <v>3706551</v>
      </c>
      <c r="J333" s="16">
        <v>53345000000</v>
      </c>
      <c r="K333" s="30">
        <f t="shared" si="30"/>
        <v>-0.76733479049435227</v>
      </c>
      <c r="L333" s="31">
        <f t="shared" si="31"/>
        <v>5.2400000000000091</v>
      </c>
      <c r="M333" s="30">
        <f t="shared" si="32"/>
        <v>2.4368692740547874E-2</v>
      </c>
      <c r="N333" s="20" t="str">
        <f t="shared" si="35"/>
        <v>High volume</v>
      </c>
      <c r="O333" s="32">
        <f t="shared" si="33"/>
        <v>53.344999999999999</v>
      </c>
      <c r="P333" s="20">
        <f t="shared" si="34"/>
        <v>4</v>
      </c>
      <c r="Q333" s="20" t="str" cm="1">
        <f t="array" ref="Q333">_xlfn.IFS(P333&lt;=3,"Q1",P333&lt;=6,"Q2",P333&lt;=9,"Q3",P333&lt;=12,"Q4")</f>
        <v>Q2</v>
      </c>
    </row>
    <row r="334" spans="1:17" x14ac:dyDescent="0.25">
      <c r="A334" s="8">
        <v>45751</v>
      </c>
      <c r="B334" s="9" t="s">
        <v>69</v>
      </c>
      <c r="C334" s="9" t="s">
        <v>70</v>
      </c>
      <c r="D334" s="9" t="s">
        <v>71</v>
      </c>
      <c r="E334" s="10">
        <v>614.16999999999996</v>
      </c>
      <c r="F334" s="10">
        <v>616</v>
      </c>
      <c r="G334" s="10">
        <v>609.25</v>
      </c>
      <c r="H334" s="10">
        <v>612.52</v>
      </c>
      <c r="I334" s="11">
        <v>2011469</v>
      </c>
      <c r="J334" s="10">
        <v>490016000000</v>
      </c>
      <c r="K334" s="30">
        <f t="shared" si="30"/>
        <v>-0.26865525831609771</v>
      </c>
      <c r="L334" s="31">
        <f t="shared" si="31"/>
        <v>6.75</v>
      </c>
      <c r="M334" s="30">
        <f t="shared" si="32"/>
        <v>1.0990442385658694E-2</v>
      </c>
      <c r="N334" s="20" t="str">
        <f t="shared" si="35"/>
        <v>High volume</v>
      </c>
      <c r="O334" s="32">
        <f t="shared" si="33"/>
        <v>490.01600000000002</v>
      </c>
      <c r="P334" s="20">
        <f t="shared" si="34"/>
        <v>4</v>
      </c>
      <c r="Q334" s="20" t="str" cm="1">
        <f t="array" ref="Q334">_xlfn.IFS(P334&lt;=3,"Q1",P334&lt;=6,"Q2",P334&lt;=9,"Q3",P334&lt;=12,"Q4")</f>
        <v>Q2</v>
      </c>
    </row>
    <row r="335" spans="1:17" x14ac:dyDescent="0.25">
      <c r="A335" s="14">
        <v>45751</v>
      </c>
      <c r="B335" s="15" t="s">
        <v>73</v>
      </c>
      <c r="C335" s="15" t="s">
        <v>74</v>
      </c>
      <c r="D335" s="15" t="s">
        <v>75</v>
      </c>
      <c r="E335" s="16">
        <v>121.65</v>
      </c>
      <c r="F335" s="16">
        <v>121.94</v>
      </c>
      <c r="G335" s="16">
        <v>121.19</v>
      </c>
      <c r="H335" s="16">
        <v>121.84</v>
      </c>
      <c r="I335" s="17">
        <v>2978620</v>
      </c>
      <c r="J335" s="16">
        <v>26804800000</v>
      </c>
      <c r="K335" s="30">
        <f t="shared" si="30"/>
        <v>0.15618577887381643</v>
      </c>
      <c r="L335" s="31">
        <f t="shared" si="31"/>
        <v>0.75</v>
      </c>
      <c r="M335" s="30">
        <f t="shared" si="32"/>
        <v>6.1652281134401974E-3</v>
      </c>
      <c r="N335" s="20" t="str">
        <f t="shared" si="35"/>
        <v>High volume</v>
      </c>
      <c r="O335" s="32">
        <f t="shared" si="33"/>
        <v>26.8048</v>
      </c>
      <c r="P335" s="20">
        <f t="shared" si="34"/>
        <v>4</v>
      </c>
      <c r="Q335" s="20" t="str" cm="1">
        <f t="array" ref="Q335">_xlfn.IFS(P335&lt;=3,"Q1",P335&lt;=6,"Q2",P335&lt;=9,"Q3",P335&lt;=12,"Q4")</f>
        <v>Q2</v>
      </c>
    </row>
    <row r="336" spans="1:17" x14ac:dyDescent="0.25">
      <c r="A336" s="8">
        <v>45751</v>
      </c>
      <c r="B336" s="9" t="s">
        <v>76</v>
      </c>
      <c r="C336" s="9" t="s">
        <v>77</v>
      </c>
      <c r="D336" s="9" t="s">
        <v>75</v>
      </c>
      <c r="E336" s="10">
        <v>123.41</v>
      </c>
      <c r="F336" s="10">
        <v>125.36</v>
      </c>
      <c r="G336" s="10">
        <v>122.89</v>
      </c>
      <c r="H336" s="10">
        <v>123.81</v>
      </c>
      <c r="I336" s="11">
        <v>1190735</v>
      </c>
      <c r="J336" s="10">
        <v>24762000000</v>
      </c>
      <c r="K336" s="30">
        <f t="shared" si="30"/>
        <v>0.32412284255733381</v>
      </c>
      <c r="L336" s="31">
        <f t="shared" si="31"/>
        <v>2.4699999999999989</v>
      </c>
      <c r="M336" s="30">
        <f t="shared" si="32"/>
        <v>2.0014585527915071E-2</v>
      </c>
      <c r="N336" s="20" t="str">
        <f t="shared" si="35"/>
        <v>Normal</v>
      </c>
      <c r="O336" s="32">
        <f t="shared" si="33"/>
        <v>24.762</v>
      </c>
      <c r="P336" s="20">
        <f t="shared" si="34"/>
        <v>4</v>
      </c>
      <c r="Q336" s="20" t="str" cm="1">
        <f t="array" ref="Q336">_xlfn.IFS(P336&lt;=3,"Q1",P336&lt;=6,"Q2",P336&lt;=9,"Q3",P336&lt;=12,"Q4")</f>
        <v>Q2</v>
      </c>
    </row>
    <row r="337" spans="1:17" x14ac:dyDescent="0.25">
      <c r="A337" s="14">
        <v>45754</v>
      </c>
      <c r="B337" s="15" t="s">
        <v>60</v>
      </c>
      <c r="C337" s="15" t="s">
        <v>61</v>
      </c>
      <c r="D337" s="15" t="s">
        <v>62</v>
      </c>
      <c r="E337" s="16">
        <v>2794.85</v>
      </c>
      <c r="F337" s="16">
        <v>2805.4</v>
      </c>
      <c r="G337" s="16">
        <v>2772.11</v>
      </c>
      <c r="H337" s="16">
        <v>2781.01</v>
      </c>
      <c r="I337" s="17">
        <v>2379694</v>
      </c>
      <c r="J337" s="16">
        <v>3893414000000</v>
      </c>
      <c r="K337" s="30">
        <f t="shared" si="30"/>
        <v>-0.49519652217470311</v>
      </c>
      <c r="L337" s="31">
        <f t="shared" si="31"/>
        <v>33.289999999999964</v>
      </c>
      <c r="M337" s="30">
        <f t="shared" si="32"/>
        <v>1.1911193802887441E-2</v>
      </c>
      <c r="N337" s="20" t="str">
        <f t="shared" si="35"/>
        <v>High volume</v>
      </c>
      <c r="O337" s="32">
        <f t="shared" si="33"/>
        <v>3893.4140000000002</v>
      </c>
      <c r="P337" s="20">
        <f t="shared" si="34"/>
        <v>4</v>
      </c>
      <c r="Q337" s="20" t="str" cm="1">
        <f t="array" ref="Q337">_xlfn.IFS(P337&lt;=3,"Q1",P337&lt;=6,"Q2",P337&lt;=9,"Q3",P337&lt;=12,"Q4")</f>
        <v>Q2</v>
      </c>
    </row>
    <row r="338" spans="1:17" x14ac:dyDescent="0.25">
      <c r="A338" s="8">
        <v>45754</v>
      </c>
      <c r="B338" s="9" t="s">
        <v>65</v>
      </c>
      <c r="C338" s="9" t="s">
        <v>66</v>
      </c>
      <c r="D338" s="9" t="s">
        <v>67</v>
      </c>
      <c r="E338" s="10">
        <v>214.08</v>
      </c>
      <c r="F338" s="10">
        <v>214.51</v>
      </c>
      <c r="G338" s="10">
        <v>210.86</v>
      </c>
      <c r="H338" s="10">
        <v>212.39</v>
      </c>
      <c r="I338" s="11">
        <v>1639657</v>
      </c>
      <c r="J338" s="10">
        <v>53097500000</v>
      </c>
      <c r="K338" s="30">
        <f t="shared" si="30"/>
        <v>-0.78942451420031112</v>
      </c>
      <c r="L338" s="31">
        <f t="shared" si="31"/>
        <v>3.6499999999999773</v>
      </c>
      <c r="M338" s="30">
        <f t="shared" si="32"/>
        <v>1.7049701046337712E-2</v>
      </c>
      <c r="N338" s="20" t="str">
        <f t="shared" si="35"/>
        <v>Normal</v>
      </c>
      <c r="O338" s="32">
        <f t="shared" si="33"/>
        <v>53.097499999999997</v>
      </c>
      <c r="P338" s="20">
        <f t="shared" si="34"/>
        <v>4</v>
      </c>
      <c r="Q338" s="20" t="str" cm="1">
        <f t="array" ref="Q338">_xlfn.IFS(P338&lt;=3,"Q1",P338&lt;=6,"Q2",P338&lt;=9,"Q3",P338&lt;=12,"Q4")</f>
        <v>Q2</v>
      </c>
    </row>
    <row r="339" spans="1:17" x14ac:dyDescent="0.25">
      <c r="A339" s="14">
        <v>45754</v>
      </c>
      <c r="B339" s="15" t="s">
        <v>69</v>
      </c>
      <c r="C339" s="15" t="s">
        <v>70</v>
      </c>
      <c r="D339" s="15" t="s">
        <v>71</v>
      </c>
      <c r="E339" s="16">
        <v>606.47</v>
      </c>
      <c r="F339" s="16">
        <v>610.86</v>
      </c>
      <c r="G339" s="16">
        <v>596.04999999999995</v>
      </c>
      <c r="H339" s="16">
        <v>606.73</v>
      </c>
      <c r="I339" s="17">
        <v>1892443</v>
      </c>
      <c r="J339" s="16">
        <v>485384000000</v>
      </c>
      <c r="K339" s="30">
        <f t="shared" si="30"/>
        <v>4.2871040612065044E-2</v>
      </c>
      <c r="L339" s="31">
        <f t="shared" si="31"/>
        <v>14.810000000000059</v>
      </c>
      <c r="M339" s="30">
        <f t="shared" si="32"/>
        <v>2.4420004287104159E-2</v>
      </c>
      <c r="N339" s="20" t="str">
        <f t="shared" si="35"/>
        <v>Normal</v>
      </c>
      <c r="O339" s="32">
        <f t="shared" si="33"/>
        <v>485.38400000000001</v>
      </c>
      <c r="P339" s="20">
        <f t="shared" si="34"/>
        <v>4</v>
      </c>
      <c r="Q339" s="20" t="str" cm="1">
        <f t="array" ref="Q339">_xlfn.IFS(P339&lt;=3,"Q1",P339&lt;=6,"Q2",P339&lt;=9,"Q3",P339&lt;=12,"Q4")</f>
        <v>Q2</v>
      </c>
    </row>
    <row r="340" spans="1:17" x14ac:dyDescent="0.25">
      <c r="A340" s="8">
        <v>45754</v>
      </c>
      <c r="B340" s="9" t="s">
        <v>73</v>
      </c>
      <c r="C340" s="9" t="s">
        <v>74</v>
      </c>
      <c r="D340" s="9" t="s">
        <v>75</v>
      </c>
      <c r="E340" s="10">
        <v>122.04</v>
      </c>
      <c r="F340" s="10">
        <v>123.18</v>
      </c>
      <c r="G340" s="10">
        <v>120.9</v>
      </c>
      <c r="H340" s="10">
        <v>121.6</v>
      </c>
      <c r="I340" s="11">
        <v>494416</v>
      </c>
      <c r="J340" s="10">
        <v>26752000000</v>
      </c>
      <c r="K340" s="30">
        <f t="shared" si="30"/>
        <v>-0.36053752867913136</v>
      </c>
      <c r="L340" s="31">
        <f t="shared" si="31"/>
        <v>2.2800000000000011</v>
      </c>
      <c r="M340" s="30">
        <f t="shared" si="32"/>
        <v>1.8682399213372673E-2</v>
      </c>
      <c r="N340" s="20" t="str">
        <f t="shared" si="35"/>
        <v>Normal</v>
      </c>
      <c r="O340" s="32">
        <f t="shared" si="33"/>
        <v>26.751999999999999</v>
      </c>
      <c r="P340" s="20">
        <f t="shared" si="34"/>
        <v>4</v>
      </c>
      <c r="Q340" s="20" t="str" cm="1">
        <f t="array" ref="Q340">_xlfn.IFS(P340&lt;=3,"Q1",P340&lt;=6,"Q2",P340&lt;=9,"Q3",P340&lt;=12,"Q4")</f>
        <v>Q2</v>
      </c>
    </row>
    <row r="341" spans="1:17" x14ac:dyDescent="0.25">
      <c r="A341" s="14">
        <v>45754</v>
      </c>
      <c r="B341" s="15" t="s">
        <v>76</v>
      </c>
      <c r="C341" s="15" t="s">
        <v>77</v>
      </c>
      <c r="D341" s="15" t="s">
        <v>75</v>
      </c>
      <c r="E341" s="16">
        <v>123.63</v>
      </c>
      <c r="F341" s="16">
        <v>124.46</v>
      </c>
      <c r="G341" s="16">
        <v>123.1</v>
      </c>
      <c r="H341" s="16">
        <v>123.72</v>
      </c>
      <c r="I341" s="17">
        <v>2319378</v>
      </c>
      <c r="J341" s="16">
        <v>24744000000</v>
      </c>
      <c r="K341" s="30">
        <f t="shared" si="30"/>
        <v>7.2797864595974607E-2</v>
      </c>
      <c r="L341" s="31">
        <f t="shared" si="31"/>
        <v>1.3599999999999994</v>
      </c>
      <c r="M341" s="30">
        <f t="shared" si="32"/>
        <v>1.1000566205613521E-2</v>
      </c>
      <c r="N341" s="20" t="str">
        <f t="shared" si="35"/>
        <v>High volume</v>
      </c>
      <c r="O341" s="32">
        <f t="shared" si="33"/>
        <v>24.744</v>
      </c>
      <c r="P341" s="20">
        <f t="shared" si="34"/>
        <v>4</v>
      </c>
      <c r="Q341" s="20" t="str" cm="1">
        <f t="array" ref="Q341">_xlfn.IFS(P341&lt;=3,"Q1",P341&lt;=6,"Q2",P341&lt;=9,"Q3",P341&lt;=12,"Q4")</f>
        <v>Q2</v>
      </c>
    </row>
    <row r="342" spans="1:17" x14ac:dyDescent="0.25">
      <c r="A342" s="8">
        <v>45755</v>
      </c>
      <c r="B342" s="9" t="s">
        <v>60</v>
      </c>
      <c r="C342" s="9" t="s">
        <v>61</v>
      </c>
      <c r="D342" s="9" t="s">
        <v>62</v>
      </c>
      <c r="E342" s="10">
        <v>2790.02</v>
      </c>
      <c r="F342" s="10">
        <v>2810.35</v>
      </c>
      <c r="G342" s="10">
        <v>2765.24</v>
      </c>
      <c r="H342" s="10">
        <v>2805.04</v>
      </c>
      <c r="I342" s="11">
        <v>4247568</v>
      </c>
      <c r="J342" s="10">
        <v>3927056000000</v>
      </c>
      <c r="K342" s="30">
        <f t="shared" si="30"/>
        <v>0.53834739535917242</v>
      </c>
      <c r="L342" s="31">
        <f t="shared" si="31"/>
        <v>45.110000000000127</v>
      </c>
      <c r="M342" s="30">
        <f t="shared" si="32"/>
        <v>1.6168342879262561E-2</v>
      </c>
      <c r="N342" s="20" t="str">
        <f t="shared" si="35"/>
        <v>High volume</v>
      </c>
      <c r="O342" s="32">
        <f t="shared" si="33"/>
        <v>3927.056</v>
      </c>
      <c r="P342" s="20">
        <f t="shared" si="34"/>
        <v>4</v>
      </c>
      <c r="Q342" s="20" t="str" cm="1">
        <f t="array" ref="Q342">_xlfn.IFS(P342&lt;=3,"Q1",P342&lt;=6,"Q2",P342&lt;=9,"Q3",P342&lt;=12,"Q4")</f>
        <v>Q2</v>
      </c>
    </row>
    <row r="343" spans="1:17" x14ac:dyDescent="0.25">
      <c r="A343" s="14">
        <v>45755</v>
      </c>
      <c r="B343" s="15" t="s">
        <v>65</v>
      </c>
      <c r="C343" s="15" t="s">
        <v>66</v>
      </c>
      <c r="D343" s="15" t="s">
        <v>67</v>
      </c>
      <c r="E343" s="16">
        <v>213.6</v>
      </c>
      <c r="F343" s="16">
        <v>213.65</v>
      </c>
      <c r="G343" s="16">
        <v>213.39</v>
      </c>
      <c r="H343" s="16">
        <v>213.42</v>
      </c>
      <c r="I343" s="17">
        <v>1423527</v>
      </c>
      <c r="J343" s="16">
        <v>53355000000</v>
      </c>
      <c r="K343" s="30">
        <f t="shared" si="30"/>
        <v>-8.4269662921351518E-2</v>
      </c>
      <c r="L343" s="31">
        <f t="shared" si="31"/>
        <v>0.26000000000001933</v>
      </c>
      <c r="M343" s="30">
        <f t="shared" si="32"/>
        <v>1.2172284644195663E-3</v>
      </c>
      <c r="N343" s="20" t="str">
        <f t="shared" si="35"/>
        <v>Normal</v>
      </c>
      <c r="O343" s="32">
        <f t="shared" si="33"/>
        <v>53.354999999999997</v>
      </c>
      <c r="P343" s="20">
        <f t="shared" si="34"/>
        <v>4</v>
      </c>
      <c r="Q343" s="20" t="str" cm="1">
        <f t="array" ref="Q343">_xlfn.IFS(P343&lt;=3,"Q1",P343&lt;=6,"Q2",P343&lt;=9,"Q3",P343&lt;=12,"Q4")</f>
        <v>Q2</v>
      </c>
    </row>
    <row r="344" spans="1:17" x14ac:dyDescent="0.25">
      <c r="A344" s="8">
        <v>45755</v>
      </c>
      <c r="B344" s="9" t="s">
        <v>69</v>
      </c>
      <c r="C344" s="9" t="s">
        <v>70</v>
      </c>
      <c r="D344" s="9" t="s">
        <v>71</v>
      </c>
      <c r="E344" s="10">
        <v>617.70000000000005</v>
      </c>
      <c r="F344" s="10">
        <v>623.05999999999995</v>
      </c>
      <c r="G344" s="10">
        <v>617.29</v>
      </c>
      <c r="H344" s="10">
        <v>619.6</v>
      </c>
      <c r="I344" s="11">
        <v>1932887</v>
      </c>
      <c r="J344" s="10">
        <v>495680000000</v>
      </c>
      <c r="K344" s="30">
        <f t="shared" si="30"/>
        <v>0.30759268253196975</v>
      </c>
      <c r="L344" s="31">
        <f t="shared" si="31"/>
        <v>5.7699999999999818</v>
      </c>
      <c r="M344" s="30">
        <f t="shared" si="32"/>
        <v>9.341104095839374E-3</v>
      </c>
      <c r="N344" s="20" t="str">
        <f t="shared" si="35"/>
        <v>Normal</v>
      </c>
      <c r="O344" s="32">
        <f t="shared" si="33"/>
        <v>495.68</v>
      </c>
      <c r="P344" s="20">
        <f t="shared" si="34"/>
        <v>4</v>
      </c>
      <c r="Q344" s="20" t="str" cm="1">
        <f t="array" ref="Q344">_xlfn.IFS(P344&lt;=3,"Q1",P344&lt;=6,"Q2",P344&lt;=9,"Q3",P344&lt;=12,"Q4")</f>
        <v>Q2</v>
      </c>
    </row>
    <row r="345" spans="1:17" x14ac:dyDescent="0.25">
      <c r="A345" s="14">
        <v>45755</v>
      </c>
      <c r="B345" s="15" t="s">
        <v>73</v>
      </c>
      <c r="C345" s="15" t="s">
        <v>74</v>
      </c>
      <c r="D345" s="15" t="s">
        <v>75</v>
      </c>
      <c r="E345" s="16">
        <v>119.89</v>
      </c>
      <c r="F345" s="16">
        <v>120.4</v>
      </c>
      <c r="G345" s="16">
        <v>119.29</v>
      </c>
      <c r="H345" s="16">
        <v>119.72</v>
      </c>
      <c r="I345" s="17">
        <v>4077846</v>
      </c>
      <c r="J345" s="16">
        <v>26338400000</v>
      </c>
      <c r="K345" s="30">
        <f t="shared" si="30"/>
        <v>-0.14179664692635058</v>
      </c>
      <c r="L345" s="31">
        <f t="shared" si="31"/>
        <v>1.1099999999999994</v>
      </c>
      <c r="M345" s="30">
        <f t="shared" si="32"/>
        <v>9.2584869463674981E-3</v>
      </c>
      <c r="N345" s="20" t="str">
        <f t="shared" si="35"/>
        <v>High volume</v>
      </c>
      <c r="O345" s="32">
        <f t="shared" si="33"/>
        <v>26.3384</v>
      </c>
      <c r="P345" s="20">
        <f t="shared" si="34"/>
        <v>4</v>
      </c>
      <c r="Q345" s="20" t="str" cm="1">
        <f t="array" ref="Q345">_xlfn.IFS(P345&lt;=3,"Q1",P345&lt;=6,"Q2",P345&lt;=9,"Q3",P345&lt;=12,"Q4")</f>
        <v>Q2</v>
      </c>
    </row>
    <row r="346" spans="1:17" x14ac:dyDescent="0.25">
      <c r="A346" s="8">
        <v>45755</v>
      </c>
      <c r="B346" s="9" t="s">
        <v>76</v>
      </c>
      <c r="C346" s="9" t="s">
        <v>77</v>
      </c>
      <c r="D346" s="9" t="s">
        <v>75</v>
      </c>
      <c r="E346" s="10">
        <v>123.88</v>
      </c>
      <c r="F346" s="10">
        <v>124.68</v>
      </c>
      <c r="G346" s="10">
        <v>122.39</v>
      </c>
      <c r="H346" s="10">
        <v>122.66</v>
      </c>
      <c r="I346" s="11">
        <v>1111023</v>
      </c>
      <c r="J346" s="10">
        <v>24532000000</v>
      </c>
      <c r="K346" s="30">
        <f t="shared" si="30"/>
        <v>-0.98482402324830387</v>
      </c>
      <c r="L346" s="31">
        <f t="shared" si="31"/>
        <v>2.2900000000000063</v>
      </c>
      <c r="M346" s="30">
        <f t="shared" si="32"/>
        <v>1.8485631256054298E-2</v>
      </c>
      <c r="N346" s="20" t="str">
        <f t="shared" si="35"/>
        <v>Normal</v>
      </c>
      <c r="O346" s="32">
        <f t="shared" si="33"/>
        <v>24.532</v>
      </c>
      <c r="P346" s="20">
        <f t="shared" si="34"/>
        <v>4</v>
      </c>
      <c r="Q346" s="20" t="str" cm="1">
        <f t="array" ref="Q346">_xlfn.IFS(P346&lt;=3,"Q1",P346&lt;=6,"Q2",P346&lt;=9,"Q3",P346&lt;=12,"Q4")</f>
        <v>Q2</v>
      </c>
    </row>
    <row r="347" spans="1:17" x14ac:dyDescent="0.25">
      <c r="A347" s="14">
        <v>45756</v>
      </c>
      <c r="B347" s="15" t="s">
        <v>60</v>
      </c>
      <c r="C347" s="15" t="s">
        <v>61</v>
      </c>
      <c r="D347" s="15" t="s">
        <v>62</v>
      </c>
      <c r="E347" s="16">
        <v>2801.25</v>
      </c>
      <c r="F347" s="16">
        <v>2832.6</v>
      </c>
      <c r="G347" s="16">
        <v>2776.58</v>
      </c>
      <c r="H347" s="16">
        <v>2795.58</v>
      </c>
      <c r="I347" s="17">
        <v>3366928</v>
      </c>
      <c r="J347" s="16">
        <v>3913812000000</v>
      </c>
      <c r="K347" s="30">
        <f t="shared" si="30"/>
        <v>-0.20240963855421945</v>
      </c>
      <c r="L347" s="31">
        <f t="shared" si="31"/>
        <v>56.019999999999982</v>
      </c>
      <c r="M347" s="30">
        <f t="shared" si="32"/>
        <v>1.9998215082552426E-2</v>
      </c>
      <c r="N347" s="20" t="str">
        <f t="shared" si="35"/>
        <v>High volume</v>
      </c>
      <c r="O347" s="32">
        <f t="shared" si="33"/>
        <v>3913.8119999999999</v>
      </c>
      <c r="P347" s="20">
        <f t="shared" si="34"/>
        <v>4</v>
      </c>
      <c r="Q347" s="20" t="str" cm="1">
        <f t="array" ref="Q347">_xlfn.IFS(P347&lt;=3,"Q1",P347&lt;=6,"Q2",P347&lt;=9,"Q3",P347&lt;=12,"Q4")</f>
        <v>Q2</v>
      </c>
    </row>
    <row r="348" spans="1:17" x14ac:dyDescent="0.25">
      <c r="A348" s="8">
        <v>45756</v>
      </c>
      <c r="B348" s="9" t="s">
        <v>65</v>
      </c>
      <c r="C348" s="9" t="s">
        <v>66</v>
      </c>
      <c r="D348" s="9" t="s">
        <v>67</v>
      </c>
      <c r="E348" s="10">
        <v>213.53</v>
      </c>
      <c r="F348" s="10">
        <v>214.67</v>
      </c>
      <c r="G348" s="10">
        <v>211.52</v>
      </c>
      <c r="H348" s="10">
        <v>211.66</v>
      </c>
      <c r="I348" s="11">
        <v>1449544</v>
      </c>
      <c r="J348" s="10">
        <v>52915000000</v>
      </c>
      <c r="K348" s="30">
        <f t="shared" si="30"/>
        <v>-0.87575516320891889</v>
      </c>
      <c r="L348" s="31">
        <f t="shared" si="31"/>
        <v>3.1499999999999773</v>
      </c>
      <c r="M348" s="30">
        <f t="shared" si="32"/>
        <v>1.4752025476513731E-2</v>
      </c>
      <c r="N348" s="20" t="str">
        <f t="shared" si="35"/>
        <v>Normal</v>
      </c>
      <c r="O348" s="32">
        <f t="shared" si="33"/>
        <v>52.914999999999999</v>
      </c>
      <c r="P348" s="20">
        <f t="shared" si="34"/>
        <v>4</v>
      </c>
      <c r="Q348" s="20" t="str" cm="1">
        <f t="array" ref="Q348">_xlfn.IFS(P348&lt;=3,"Q1",P348&lt;=6,"Q2",P348&lt;=9,"Q3",P348&lt;=12,"Q4")</f>
        <v>Q2</v>
      </c>
    </row>
    <row r="349" spans="1:17" x14ac:dyDescent="0.25">
      <c r="A349" s="14">
        <v>45756</v>
      </c>
      <c r="B349" s="15" t="s">
        <v>69</v>
      </c>
      <c r="C349" s="15" t="s">
        <v>70</v>
      </c>
      <c r="D349" s="15" t="s">
        <v>71</v>
      </c>
      <c r="E349" s="16">
        <v>619.1</v>
      </c>
      <c r="F349" s="16">
        <v>621.13</v>
      </c>
      <c r="G349" s="16">
        <v>610.39</v>
      </c>
      <c r="H349" s="16">
        <v>615.97</v>
      </c>
      <c r="I349" s="17">
        <v>1549404</v>
      </c>
      <c r="J349" s="16">
        <v>492776000000</v>
      </c>
      <c r="K349" s="30">
        <f t="shared" si="30"/>
        <v>-0.50557260539492743</v>
      </c>
      <c r="L349" s="31">
        <f t="shared" si="31"/>
        <v>10.740000000000009</v>
      </c>
      <c r="M349" s="30">
        <f t="shared" si="32"/>
        <v>1.7347762881602339E-2</v>
      </c>
      <c r="N349" s="20" t="str">
        <f t="shared" si="35"/>
        <v>Normal</v>
      </c>
      <c r="O349" s="32">
        <f t="shared" si="33"/>
        <v>492.77600000000001</v>
      </c>
      <c r="P349" s="20">
        <f t="shared" si="34"/>
        <v>4</v>
      </c>
      <c r="Q349" s="20" t="str" cm="1">
        <f t="array" ref="Q349">_xlfn.IFS(P349&lt;=3,"Q1",P349&lt;=6,"Q2",P349&lt;=9,"Q3",P349&lt;=12,"Q4")</f>
        <v>Q2</v>
      </c>
    </row>
    <row r="350" spans="1:17" x14ac:dyDescent="0.25">
      <c r="A350" s="8">
        <v>45756</v>
      </c>
      <c r="B350" s="9" t="s">
        <v>73</v>
      </c>
      <c r="C350" s="9" t="s">
        <v>74</v>
      </c>
      <c r="D350" s="9" t="s">
        <v>75</v>
      </c>
      <c r="E350" s="10">
        <v>118.05</v>
      </c>
      <c r="F350" s="10">
        <v>118.75</v>
      </c>
      <c r="G350" s="10">
        <v>117.44</v>
      </c>
      <c r="H350" s="10">
        <v>117.65</v>
      </c>
      <c r="I350" s="11">
        <v>2810159</v>
      </c>
      <c r="J350" s="10">
        <v>25883000000</v>
      </c>
      <c r="K350" s="30">
        <f t="shared" si="30"/>
        <v>-0.33883947479880683</v>
      </c>
      <c r="L350" s="31">
        <f t="shared" si="31"/>
        <v>1.3100000000000023</v>
      </c>
      <c r="M350" s="30">
        <f t="shared" si="32"/>
        <v>1.1096992799661179E-2</v>
      </c>
      <c r="N350" s="20" t="str">
        <f t="shared" si="35"/>
        <v>High volume</v>
      </c>
      <c r="O350" s="32">
        <f t="shared" si="33"/>
        <v>25.882999999999999</v>
      </c>
      <c r="P350" s="20">
        <f t="shared" si="34"/>
        <v>4</v>
      </c>
      <c r="Q350" s="20" t="str" cm="1">
        <f t="array" ref="Q350">_xlfn.IFS(P350&lt;=3,"Q1",P350&lt;=6,"Q2",P350&lt;=9,"Q3",P350&lt;=12,"Q4")</f>
        <v>Q2</v>
      </c>
    </row>
    <row r="351" spans="1:17" x14ac:dyDescent="0.25">
      <c r="A351" s="14">
        <v>45756</v>
      </c>
      <c r="B351" s="15" t="s">
        <v>76</v>
      </c>
      <c r="C351" s="15" t="s">
        <v>77</v>
      </c>
      <c r="D351" s="15" t="s">
        <v>75</v>
      </c>
      <c r="E351" s="16">
        <v>124.92</v>
      </c>
      <c r="F351" s="16">
        <v>125.91</v>
      </c>
      <c r="G351" s="16">
        <v>124.26</v>
      </c>
      <c r="H351" s="16">
        <v>125.1</v>
      </c>
      <c r="I351" s="17">
        <v>4409131</v>
      </c>
      <c r="J351" s="16">
        <v>25020000000</v>
      </c>
      <c r="K351" s="30">
        <f t="shared" si="30"/>
        <v>0.144092219020167</v>
      </c>
      <c r="L351" s="31">
        <f t="shared" si="31"/>
        <v>1.6499999999999915</v>
      </c>
      <c r="M351" s="30">
        <f t="shared" si="32"/>
        <v>1.3208453410182449E-2</v>
      </c>
      <c r="N351" s="20" t="str">
        <f t="shared" si="35"/>
        <v>High volume</v>
      </c>
      <c r="O351" s="32">
        <f t="shared" si="33"/>
        <v>25.02</v>
      </c>
      <c r="P351" s="20">
        <f t="shared" si="34"/>
        <v>4</v>
      </c>
      <c r="Q351" s="20" t="str" cm="1">
        <f t="array" ref="Q351">_xlfn.IFS(P351&lt;=3,"Q1",P351&lt;=6,"Q2",P351&lt;=9,"Q3",P351&lt;=12,"Q4")</f>
        <v>Q2</v>
      </c>
    </row>
    <row r="352" spans="1:17" x14ac:dyDescent="0.25">
      <c r="A352" s="8">
        <v>45757</v>
      </c>
      <c r="B352" s="9" t="s">
        <v>60</v>
      </c>
      <c r="C352" s="9" t="s">
        <v>61</v>
      </c>
      <c r="D352" s="9" t="s">
        <v>62</v>
      </c>
      <c r="E352" s="10">
        <v>2787.06</v>
      </c>
      <c r="F352" s="10">
        <v>2805.25</v>
      </c>
      <c r="G352" s="10">
        <v>2778.48</v>
      </c>
      <c r="H352" s="10">
        <v>2796.52</v>
      </c>
      <c r="I352" s="11">
        <v>3794193</v>
      </c>
      <c r="J352" s="10">
        <v>3915128000000</v>
      </c>
      <c r="K352" s="30">
        <f t="shared" si="30"/>
        <v>0.33942577483082664</v>
      </c>
      <c r="L352" s="31">
        <f t="shared" si="31"/>
        <v>26.769999999999982</v>
      </c>
      <c r="M352" s="30">
        <f t="shared" si="32"/>
        <v>9.605103585857493E-3</v>
      </c>
      <c r="N352" s="20" t="str">
        <f t="shared" si="35"/>
        <v>High volume</v>
      </c>
      <c r="O352" s="32">
        <f t="shared" si="33"/>
        <v>3915.1280000000002</v>
      </c>
      <c r="P352" s="20">
        <f t="shared" si="34"/>
        <v>4</v>
      </c>
      <c r="Q352" s="20" t="str" cm="1">
        <f t="array" ref="Q352">_xlfn.IFS(P352&lt;=3,"Q1",P352&lt;=6,"Q2",P352&lt;=9,"Q3",P352&lt;=12,"Q4")</f>
        <v>Q2</v>
      </c>
    </row>
    <row r="353" spans="1:17" x14ac:dyDescent="0.25">
      <c r="A353" s="14">
        <v>45757</v>
      </c>
      <c r="B353" s="15" t="s">
        <v>65</v>
      </c>
      <c r="C353" s="15" t="s">
        <v>66</v>
      </c>
      <c r="D353" s="15" t="s">
        <v>67</v>
      </c>
      <c r="E353" s="16">
        <v>208.91</v>
      </c>
      <c r="F353" s="16">
        <v>211.49</v>
      </c>
      <c r="G353" s="16">
        <v>207.41</v>
      </c>
      <c r="H353" s="16">
        <v>210.37</v>
      </c>
      <c r="I353" s="17">
        <v>523532</v>
      </c>
      <c r="J353" s="16">
        <v>52592500000</v>
      </c>
      <c r="K353" s="30">
        <f t="shared" si="30"/>
        <v>0.69886554018477243</v>
      </c>
      <c r="L353" s="31">
        <f t="shared" si="31"/>
        <v>4.0800000000000125</v>
      </c>
      <c r="M353" s="30">
        <f t="shared" si="32"/>
        <v>1.9529941122971673E-2</v>
      </c>
      <c r="N353" s="20" t="str">
        <f t="shared" si="35"/>
        <v>Normal</v>
      </c>
      <c r="O353" s="32">
        <f t="shared" si="33"/>
        <v>52.592500000000001</v>
      </c>
      <c r="P353" s="20">
        <f t="shared" si="34"/>
        <v>4</v>
      </c>
      <c r="Q353" s="20" t="str" cm="1">
        <f t="array" ref="Q353">_xlfn.IFS(P353&lt;=3,"Q1",P353&lt;=6,"Q2",P353&lt;=9,"Q3",P353&lt;=12,"Q4")</f>
        <v>Q2</v>
      </c>
    </row>
    <row r="354" spans="1:17" x14ac:dyDescent="0.25">
      <c r="A354" s="8">
        <v>45757</v>
      </c>
      <c r="B354" s="9" t="s">
        <v>69</v>
      </c>
      <c r="C354" s="9" t="s">
        <v>70</v>
      </c>
      <c r="D354" s="9" t="s">
        <v>71</v>
      </c>
      <c r="E354" s="10">
        <v>610.14</v>
      </c>
      <c r="F354" s="10">
        <v>612.33000000000004</v>
      </c>
      <c r="G354" s="10">
        <v>602.84</v>
      </c>
      <c r="H354" s="10">
        <v>608.33000000000004</v>
      </c>
      <c r="I354" s="11">
        <v>2208770</v>
      </c>
      <c r="J354" s="10">
        <v>486664000000</v>
      </c>
      <c r="K354" s="30">
        <f t="shared" si="30"/>
        <v>-0.29665322712819114</v>
      </c>
      <c r="L354" s="31">
        <f t="shared" si="31"/>
        <v>9.4900000000000091</v>
      </c>
      <c r="M354" s="30">
        <f t="shared" si="32"/>
        <v>1.5553807322909511E-2</v>
      </c>
      <c r="N354" s="20" t="str">
        <f t="shared" si="35"/>
        <v>High volume</v>
      </c>
      <c r="O354" s="32">
        <f t="shared" si="33"/>
        <v>486.66399999999999</v>
      </c>
      <c r="P354" s="20">
        <f t="shared" si="34"/>
        <v>4</v>
      </c>
      <c r="Q354" s="20" t="str" cm="1">
        <f t="array" ref="Q354">_xlfn.IFS(P354&lt;=3,"Q1",P354&lt;=6,"Q2",P354&lt;=9,"Q3",P354&lt;=12,"Q4")</f>
        <v>Q2</v>
      </c>
    </row>
    <row r="355" spans="1:17" x14ac:dyDescent="0.25">
      <c r="A355" s="14">
        <v>45757</v>
      </c>
      <c r="B355" s="15" t="s">
        <v>73</v>
      </c>
      <c r="C355" s="15" t="s">
        <v>74</v>
      </c>
      <c r="D355" s="15" t="s">
        <v>75</v>
      </c>
      <c r="E355" s="16">
        <v>113.76</v>
      </c>
      <c r="F355" s="16">
        <v>113.98</v>
      </c>
      <c r="G355" s="16">
        <v>112.57</v>
      </c>
      <c r="H355" s="16">
        <v>112.81</v>
      </c>
      <c r="I355" s="17">
        <v>3489267</v>
      </c>
      <c r="J355" s="16">
        <v>24818200000</v>
      </c>
      <c r="K355" s="30">
        <f t="shared" si="30"/>
        <v>-0.83509142053446106</v>
      </c>
      <c r="L355" s="31">
        <f t="shared" si="31"/>
        <v>1.4100000000000108</v>
      </c>
      <c r="M355" s="30">
        <f t="shared" si="32"/>
        <v>1.2394514767932584E-2</v>
      </c>
      <c r="N355" s="20" t="str">
        <f t="shared" si="35"/>
        <v>High volume</v>
      </c>
      <c r="O355" s="32">
        <f t="shared" si="33"/>
        <v>24.818200000000001</v>
      </c>
      <c r="P355" s="20">
        <f t="shared" si="34"/>
        <v>4</v>
      </c>
      <c r="Q355" s="20" t="str" cm="1">
        <f t="array" ref="Q355">_xlfn.IFS(P355&lt;=3,"Q1",P355&lt;=6,"Q2",P355&lt;=9,"Q3",P355&lt;=12,"Q4")</f>
        <v>Q2</v>
      </c>
    </row>
    <row r="356" spans="1:17" x14ac:dyDescent="0.25">
      <c r="A356" s="8">
        <v>45757</v>
      </c>
      <c r="B356" s="9" t="s">
        <v>76</v>
      </c>
      <c r="C356" s="9" t="s">
        <v>77</v>
      </c>
      <c r="D356" s="9" t="s">
        <v>75</v>
      </c>
      <c r="E356" s="10">
        <v>126.82</v>
      </c>
      <c r="F356" s="10">
        <v>128.05000000000001</v>
      </c>
      <c r="G356" s="10">
        <v>124.4</v>
      </c>
      <c r="H356" s="10">
        <v>124.8</v>
      </c>
      <c r="I356" s="11">
        <v>458858</v>
      </c>
      <c r="J356" s="10">
        <v>24960000000</v>
      </c>
      <c r="K356" s="30">
        <f t="shared" si="30"/>
        <v>-1.5928087052515347</v>
      </c>
      <c r="L356" s="31">
        <f t="shared" si="31"/>
        <v>3.6500000000000057</v>
      </c>
      <c r="M356" s="30">
        <f t="shared" si="32"/>
        <v>2.878094937706991E-2</v>
      </c>
      <c r="N356" s="20" t="str">
        <f t="shared" si="35"/>
        <v>Normal</v>
      </c>
      <c r="O356" s="32">
        <f t="shared" si="33"/>
        <v>24.96</v>
      </c>
      <c r="P356" s="20">
        <f t="shared" si="34"/>
        <v>4</v>
      </c>
      <c r="Q356" s="20" t="str" cm="1">
        <f t="array" ref="Q356">_xlfn.IFS(P356&lt;=3,"Q1",P356&lt;=6,"Q2",P356&lt;=9,"Q3",P356&lt;=12,"Q4")</f>
        <v>Q2</v>
      </c>
    </row>
    <row r="357" spans="1:17" x14ac:dyDescent="0.25">
      <c r="A357" s="14">
        <v>45758</v>
      </c>
      <c r="B357" s="15" t="s">
        <v>60</v>
      </c>
      <c r="C357" s="15" t="s">
        <v>61</v>
      </c>
      <c r="D357" s="15" t="s">
        <v>62</v>
      </c>
      <c r="E357" s="16">
        <v>2817.19</v>
      </c>
      <c r="F357" s="16">
        <v>2839.08</v>
      </c>
      <c r="G357" s="16">
        <v>2808.69</v>
      </c>
      <c r="H357" s="16">
        <v>2821.24</v>
      </c>
      <c r="I357" s="17">
        <v>2010367</v>
      </c>
      <c r="J357" s="16">
        <v>3949736000000</v>
      </c>
      <c r="K357" s="30">
        <f t="shared" si="30"/>
        <v>0.14376027176014849</v>
      </c>
      <c r="L357" s="31">
        <f t="shared" si="31"/>
        <v>30.389999999999873</v>
      </c>
      <c r="M357" s="30">
        <f t="shared" si="32"/>
        <v>1.0787344836521454E-2</v>
      </c>
      <c r="N357" s="20" t="str">
        <f t="shared" si="35"/>
        <v>High volume</v>
      </c>
      <c r="O357" s="32">
        <f t="shared" si="33"/>
        <v>3949.7359999999999</v>
      </c>
      <c r="P357" s="20">
        <f t="shared" si="34"/>
        <v>4</v>
      </c>
      <c r="Q357" s="20" t="str" cm="1">
        <f t="array" ref="Q357">_xlfn.IFS(P357&lt;=3,"Q1",P357&lt;=6,"Q2",P357&lt;=9,"Q3",P357&lt;=12,"Q4")</f>
        <v>Q2</v>
      </c>
    </row>
    <row r="358" spans="1:17" x14ac:dyDescent="0.25">
      <c r="A358" s="8">
        <v>45758</v>
      </c>
      <c r="B358" s="9" t="s">
        <v>65</v>
      </c>
      <c r="C358" s="9" t="s">
        <v>66</v>
      </c>
      <c r="D358" s="9" t="s">
        <v>67</v>
      </c>
      <c r="E358" s="10">
        <v>205.8</v>
      </c>
      <c r="F358" s="10">
        <v>207.32</v>
      </c>
      <c r="G358" s="10">
        <v>202.86</v>
      </c>
      <c r="H358" s="10">
        <v>206.14</v>
      </c>
      <c r="I358" s="11">
        <v>822453</v>
      </c>
      <c r="J358" s="10">
        <v>51535000000</v>
      </c>
      <c r="K358" s="30">
        <f t="shared" si="30"/>
        <v>0.16520894071913264</v>
      </c>
      <c r="L358" s="31">
        <f t="shared" si="31"/>
        <v>4.4599999999999795</v>
      </c>
      <c r="M358" s="30">
        <f t="shared" si="32"/>
        <v>2.1671525753158307E-2</v>
      </c>
      <c r="N358" s="20" t="str">
        <f t="shared" si="35"/>
        <v>Normal</v>
      </c>
      <c r="O358" s="32">
        <f t="shared" si="33"/>
        <v>51.534999999999997</v>
      </c>
      <c r="P358" s="20">
        <f t="shared" si="34"/>
        <v>4</v>
      </c>
      <c r="Q358" s="20" t="str" cm="1">
        <f t="array" ref="Q358">_xlfn.IFS(P358&lt;=3,"Q1",P358&lt;=6,"Q2",P358&lt;=9,"Q3",P358&lt;=12,"Q4")</f>
        <v>Q2</v>
      </c>
    </row>
    <row r="359" spans="1:17" x14ac:dyDescent="0.25">
      <c r="A359" s="14">
        <v>45758</v>
      </c>
      <c r="B359" s="15" t="s">
        <v>69</v>
      </c>
      <c r="C359" s="15" t="s">
        <v>70</v>
      </c>
      <c r="D359" s="15" t="s">
        <v>71</v>
      </c>
      <c r="E359" s="16">
        <v>599.58000000000004</v>
      </c>
      <c r="F359" s="16">
        <v>601.16999999999996</v>
      </c>
      <c r="G359" s="16">
        <v>594</v>
      </c>
      <c r="H359" s="16">
        <v>598.02</v>
      </c>
      <c r="I359" s="17">
        <v>4312866</v>
      </c>
      <c r="J359" s="16">
        <v>478416000000</v>
      </c>
      <c r="K359" s="30">
        <f t="shared" si="30"/>
        <v>-0.26018212748925229</v>
      </c>
      <c r="L359" s="31">
        <f t="shared" si="31"/>
        <v>7.1699999999999591</v>
      </c>
      <c r="M359" s="30">
        <f t="shared" si="32"/>
        <v>1.1958370859601651E-2</v>
      </c>
      <c r="N359" s="20" t="str">
        <f t="shared" si="35"/>
        <v>High volume</v>
      </c>
      <c r="O359" s="32">
        <f t="shared" si="33"/>
        <v>478.416</v>
      </c>
      <c r="P359" s="20">
        <f t="shared" si="34"/>
        <v>4</v>
      </c>
      <c r="Q359" s="20" t="str" cm="1">
        <f t="array" ref="Q359">_xlfn.IFS(P359&lt;=3,"Q1",P359&lt;=6,"Q2",P359&lt;=9,"Q3",P359&lt;=12,"Q4")</f>
        <v>Q2</v>
      </c>
    </row>
    <row r="360" spans="1:17" x14ac:dyDescent="0.25">
      <c r="A360" s="8">
        <v>45758</v>
      </c>
      <c r="B360" s="9" t="s">
        <v>73</v>
      </c>
      <c r="C360" s="9" t="s">
        <v>74</v>
      </c>
      <c r="D360" s="9" t="s">
        <v>75</v>
      </c>
      <c r="E360" s="10">
        <v>111.38</v>
      </c>
      <c r="F360" s="10">
        <v>111.5</v>
      </c>
      <c r="G360" s="10">
        <v>110.47</v>
      </c>
      <c r="H360" s="10">
        <v>110.82</v>
      </c>
      <c r="I360" s="11">
        <v>3271974</v>
      </c>
      <c r="J360" s="10">
        <v>24380400000</v>
      </c>
      <c r="K360" s="30">
        <f t="shared" si="30"/>
        <v>-0.50278326449991229</v>
      </c>
      <c r="L360" s="31">
        <f t="shared" si="31"/>
        <v>1.0300000000000011</v>
      </c>
      <c r="M360" s="30">
        <f t="shared" si="32"/>
        <v>9.2476207577662159E-3</v>
      </c>
      <c r="N360" s="20" t="str">
        <f t="shared" si="35"/>
        <v>High volume</v>
      </c>
      <c r="O360" s="32">
        <f t="shared" si="33"/>
        <v>24.380400000000002</v>
      </c>
      <c r="P360" s="20">
        <f t="shared" si="34"/>
        <v>4</v>
      </c>
      <c r="Q360" s="20" t="str" cm="1">
        <f t="array" ref="Q360">_xlfn.IFS(P360&lt;=3,"Q1",P360&lt;=6,"Q2",P360&lt;=9,"Q3",P360&lt;=12,"Q4")</f>
        <v>Q2</v>
      </c>
    </row>
    <row r="361" spans="1:17" x14ac:dyDescent="0.25">
      <c r="A361" s="14">
        <v>45758</v>
      </c>
      <c r="B361" s="15" t="s">
        <v>76</v>
      </c>
      <c r="C361" s="15" t="s">
        <v>77</v>
      </c>
      <c r="D361" s="15" t="s">
        <v>75</v>
      </c>
      <c r="E361" s="16">
        <v>128.47999999999999</v>
      </c>
      <c r="F361" s="16">
        <v>129.41</v>
      </c>
      <c r="G361" s="16">
        <v>126.63</v>
      </c>
      <c r="H361" s="16">
        <v>128.52000000000001</v>
      </c>
      <c r="I361" s="17">
        <v>2517630</v>
      </c>
      <c r="J361" s="16">
        <v>25704000000</v>
      </c>
      <c r="K361" s="30">
        <f t="shared" si="30"/>
        <v>3.1133250311348434E-2</v>
      </c>
      <c r="L361" s="31">
        <f t="shared" si="31"/>
        <v>2.7800000000000011</v>
      </c>
      <c r="M361" s="30">
        <f t="shared" si="32"/>
        <v>2.16376089663761E-2</v>
      </c>
      <c r="N361" s="20" t="str">
        <f t="shared" si="35"/>
        <v>High volume</v>
      </c>
      <c r="O361" s="32">
        <f t="shared" si="33"/>
        <v>25.704000000000001</v>
      </c>
      <c r="P361" s="20">
        <f t="shared" si="34"/>
        <v>4</v>
      </c>
      <c r="Q361" s="20" t="str" cm="1">
        <f t="array" ref="Q361">_xlfn.IFS(P361&lt;=3,"Q1",P361&lt;=6,"Q2",P361&lt;=9,"Q3",P361&lt;=12,"Q4")</f>
        <v>Q2</v>
      </c>
    </row>
    <row r="362" spans="1:17" x14ac:dyDescent="0.25">
      <c r="A362" s="8">
        <v>45761</v>
      </c>
      <c r="B362" s="9" t="s">
        <v>60</v>
      </c>
      <c r="C362" s="9" t="s">
        <v>61</v>
      </c>
      <c r="D362" s="9" t="s">
        <v>62</v>
      </c>
      <c r="E362" s="10">
        <v>2800.5</v>
      </c>
      <c r="F362" s="10">
        <v>2809.84</v>
      </c>
      <c r="G362" s="10">
        <v>2799.87</v>
      </c>
      <c r="H362" s="10">
        <v>2802.11</v>
      </c>
      <c r="I362" s="11">
        <v>2796571</v>
      </c>
      <c r="J362" s="10">
        <v>3922954000000</v>
      </c>
      <c r="K362" s="30">
        <f t="shared" si="30"/>
        <v>5.7489733976080253E-2</v>
      </c>
      <c r="L362" s="31">
        <f t="shared" si="31"/>
        <v>9.9700000000002547</v>
      </c>
      <c r="M362" s="30">
        <f t="shared" si="32"/>
        <v>3.5600785574005553E-3</v>
      </c>
      <c r="N362" s="20" t="str">
        <f t="shared" si="35"/>
        <v>High volume</v>
      </c>
      <c r="O362" s="32">
        <f t="shared" si="33"/>
        <v>3922.9540000000002</v>
      </c>
      <c r="P362" s="20">
        <f t="shared" si="34"/>
        <v>4</v>
      </c>
      <c r="Q362" s="20" t="str" cm="1">
        <f t="array" ref="Q362">_xlfn.IFS(P362&lt;=3,"Q1",P362&lt;=6,"Q2",P362&lt;=9,"Q3",P362&lt;=12,"Q4")</f>
        <v>Q2</v>
      </c>
    </row>
    <row r="363" spans="1:17" x14ac:dyDescent="0.25">
      <c r="A363" s="14">
        <v>45761</v>
      </c>
      <c r="B363" s="15" t="s">
        <v>65</v>
      </c>
      <c r="C363" s="15" t="s">
        <v>66</v>
      </c>
      <c r="D363" s="15" t="s">
        <v>67</v>
      </c>
      <c r="E363" s="16">
        <v>210.13</v>
      </c>
      <c r="F363" s="16">
        <v>210.48</v>
      </c>
      <c r="G363" s="16">
        <v>207.53</v>
      </c>
      <c r="H363" s="16">
        <v>209.57</v>
      </c>
      <c r="I363" s="17">
        <v>4402055</v>
      </c>
      <c r="J363" s="16">
        <v>52392500000</v>
      </c>
      <c r="K363" s="30">
        <f t="shared" si="30"/>
        <v>-0.26650168943035374</v>
      </c>
      <c r="L363" s="31">
        <f t="shared" si="31"/>
        <v>2.9499999999999886</v>
      </c>
      <c r="M363" s="30">
        <f t="shared" si="32"/>
        <v>1.4038928282491737E-2</v>
      </c>
      <c r="N363" s="20" t="str">
        <f t="shared" si="35"/>
        <v>High volume</v>
      </c>
      <c r="O363" s="32">
        <f t="shared" si="33"/>
        <v>52.392499999999998</v>
      </c>
      <c r="P363" s="20">
        <f t="shared" si="34"/>
        <v>4</v>
      </c>
      <c r="Q363" s="20" t="str" cm="1">
        <f t="array" ref="Q363">_xlfn.IFS(P363&lt;=3,"Q1",P363&lt;=6,"Q2",P363&lt;=9,"Q3",P363&lt;=12,"Q4")</f>
        <v>Q2</v>
      </c>
    </row>
    <row r="364" spans="1:17" x14ac:dyDescent="0.25">
      <c r="A364" s="8">
        <v>45761</v>
      </c>
      <c r="B364" s="9" t="s">
        <v>69</v>
      </c>
      <c r="C364" s="9" t="s">
        <v>70</v>
      </c>
      <c r="D364" s="9" t="s">
        <v>71</v>
      </c>
      <c r="E364" s="10">
        <v>594.74</v>
      </c>
      <c r="F364" s="10">
        <v>598.76</v>
      </c>
      <c r="G364" s="10">
        <v>586.99</v>
      </c>
      <c r="H364" s="10">
        <v>590.21</v>
      </c>
      <c r="I364" s="11">
        <v>1322354</v>
      </c>
      <c r="J364" s="10">
        <v>472168000000</v>
      </c>
      <c r="K364" s="30">
        <f t="shared" si="30"/>
        <v>-0.76167737162457083</v>
      </c>
      <c r="L364" s="31">
        <f t="shared" si="31"/>
        <v>11.769999999999982</v>
      </c>
      <c r="M364" s="30">
        <f t="shared" si="32"/>
        <v>1.97901604062279E-2</v>
      </c>
      <c r="N364" s="20" t="str">
        <f t="shared" si="35"/>
        <v>Normal</v>
      </c>
      <c r="O364" s="32">
        <f t="shared" si="33"/>
        <v>472.16800000000001</v>
      </c>
      <c r="P364" s="20">
        <f t="shared" si="34"/>
        <v>4</v>
      </c>
      <c r="Q364" s="20" t="str" cm="1">
        <f t="array" ref="Q364">_xlfn.IFS(P364&lt;=3,"Q1",P364&lt;=6,"Q2",P364&lt;=9,"Q3",P364&lt;=12,"Q4")</f>
        <v>Q2</v>
      </c>
    </row>
    <row r="365" spans="1:17" x14ac:dyDescent="0.25">
      <c r="A365" s="14">
        <v>45761</v>
      </c>
      <c r="B365" s="15" t="s">
        <v>73</v>
      </c>
      <c r="C365" s="15" t="s">
        <v>74</v>
      </c>
      <c r="D365" s="15" t="s">
        <v>75</v>
      </c>
      <c r="E365" s="16">
        <v>109.64</v>
      </c>
      <c r="F365" s="16">
        <v>110.62</v>
      </c>
      <c r="G365" s="16">
        <v>109.15</v>
      </c>
      <c r="H365" s="16">
        <v>110.47</v>
      </c>
      <c r="I365" s="17">
        <v>3609578</v>
      </c>
      <c r="J365" s="16">
        <v>24303400000</v>
      </c>
      <c r="K365" s="30">
        <f t="shared" si="30"/>
        <v>0.7570229843122932</v>
      </c>
      <c r="L365" s="31">
        <f t="shared" si="31"/>
        <v>1.4699999999999989</v>
      </c>
      <c r="M365" s="30">
        <f t="shared" si="32"/>
        <v>1.340751550529003E-2</v>
      </c>
      <c r="N365" s="20" t="str">
        <f t="shared" si="35"/>
        <v>High volume</v>
      </c>
      <c r="O365" s="32">
        <f t="shared" si="33"/>
        <v>24.3034</v>
      </c>
      <c r="P365" s="20">
        <f t="shared" si="34"/>
        <v>4</v>
      </c>
      <c r="Q365" s="20" t="str" cm="1">
        <f t="array" ref="Q365">_xlfn.IFS(P365&lt;=3,"Q1",P365&lt;=6,"Q2",P365&lt;=9,"Q3",P365&lt;=12,"Q4")</f>
        <v>Q2</v>
      </c>
    </row>
    <row r="366" spans="1:17" x14ac:dyDescent="0.25">
      <c r="A366" s="8">
        <v>45761</v>
      </c>
      <c r="B366" s="9" t="s">
        <v>76</v>
      </c>
      <c r="C366" s="9" t="s">
        <v>77</v>
      </c>
      <c r="D366" s="9" t="s">
        <v>75</v>
      </c>
      <c r="E366" s="10">
        <v>130.54</v>
      </c>
      <c r="F366" s="10">
        <v>132.9</v>
      </c>
      <c r="G366" s="10">
        <v>130.25</v>
      </c>
      <c r="H366" s="10">
        <v>131.01</v>
      </c>
      <c r="I366" s="11">
        <v>962946</v>
      </c>
      <c r="J366" s="10">
        <v>26202000000</v>
      </c>
      <c r="K366" s="30">
        <f t="shared" si="30"/>
        <v>0.36004289872835826</v>
      </c>
      <c r="L366" s="31">
        <f t="shared" si="31"/>
        <v>2.6500000000000057</v>
      </c>
      <c r="M366" s="30">
        <f t="shared" si="32"/>
        <v>2.030029109851391E-2</v>
      </c>
      <c r="N366" s="20" t="str">
        <f t="shared" si="35"/>
        <v>Normal</v>
      </c>
      <c r="O366" s="32">
        <f t="shared" si="33"/>
        <v>26.202000000000002</v>
      </c>
      <c r="P366" s="20">
        <f t="shared" si="34"/>
        <v>4</v>
      </c>
      <c r="Q366" s="20" t="str" cm="1">
        <f t="array" ref="Q366">_xlfn.IFS(P366&lt;=3,"Q1",P366&lt;=6,"Q2",P366&lt;=9,"Q3",P366&lt;=12,"Q4")</f>
        <v>Q2</v>
      </c>
    </row>
    <row r="367" spans="1:17" x14ac:dyDescent="0.25">
      <c r="A367" s="14">
        <v>45762</v>
      </c>
      <c r="B367" s="15" t="s">
        <v>60</v>
      </c>
      <c r="C367" s="15" t="s">
        <v>61</v>
      </c>
      <c r="D367" s="15" t="s">
        <v>62</v>
      </c>
      <c r="E367" s="16">
        <v>2769.88</v>
      </c>
      <c r="F367" s="16">
        <v>2783.51</v>
      </c>
      <c r="G367" s="16">
        <v>2750.19</v>
      </c>
      <c r="H367" s="16">
        <v>2758.73</v>
      </c>
      <c r="I367" s="17">
        <v>4318808</v>
      </c>
      <c r="J367" s="16">
        <v>3862222000000</v>
      </c>
      <c r="K367" s="30">
        <f t="shared" si="30"/>
        <v>-0.40254451456381107</v>
      </c>
      <c r="L367" s="31">
        <f t="shared" si="31"/>
        <v>33.320000000000164</v>
      </c>
      <c r="M367" s="30">
        <f t="shared" si="32"/>
        <v>1.2029401995754387E-2</v>
      </c>
      <c r="N367" s="20" t="str">
        <f t="shared" si="35"/>
        <v>High volume</v>
      </c>
      <c r="O367" s="32">
        <f t="shared" si="33"/>
        <v>3862.2220000000002</v>
      </c>
      <c r="P367" s="20">
        <f t="shared" si="34"/>
        <v>4</v>
      </c>
      <c r="Q367" s="20" t="str" cm="1">
        <f t="array" ref="Q367">_xlfn.IFS(P367&lt;=3,"Q1",P367&lt;=6,"Q2",P367&lt;=9,"Q3",P367&lt;=12,"Q4")</f>
        <v>Q2</v>
      </c>
    </row>
    <row r="368" spans="1:17" x14ac:dyDescent="0.25">
      <c r="A368" s="8">
        <v>45762</v>
      </c>
      <c r="B368" s="9" t="s">
        <v>65</v>
      </c>
      <c r="C368" s="9" t="s">
        <v>66</v>
      </c>
      <c r="D368" s="9" t="s">
        <v>67</v>
      </c>
      <c r="E368" s="10">
        <v>210.94</v>
      </c>
      <c r="F368" s="10">
        <v>214.03</v>
      </c>
      <c r="G368" s="10">
        <v>210.65</v>
      </c>
      <c r="H368" s="10">
        <v>211.57</v>
      </c>
      <c r="I368" s="11">
        <v>1216258</v>
      </c>
      <c r="J368" s="10">
        <v>52892500000</v>
      </c>
      <c r="K368" s="30">
        <f t="shared" si="30"/>
        <v>0.29866312695553021</v>
      </c>
      <c r="L368" s="31">
        <f t="shared" si="31"/>
        <v>3.3799999999999955</v>
      </c>
      <c r="M368" s="30">
        <f t="shared" si="32"/>
        <v>1.6023513795392033E-2</v>
      </c>
      <c r="N368" s="20" t="str">
        <f t="shared" si="35"/>
        <v>Normal</v>
      </c>
      <c r="O368" s="32">
        <f t="shared" si="33"/>
        <v>52.892499999999998</v>
      </c>
      <c r="P368" s="20">
        <f t="shared" si="34"/>
        <v>4</v>
      </c>
      <c r="Q368" s="20" t="str" cm="1">
        <f t="array" ref="Q368">_xlfn.IFS(P368&lt;=3,"Q1",P368&lt;=6,"Q2",P368&lt;=9,"Q3",P368&lt;=12,"Q4")</f>
        <v>Q2</v>
      </c>
    </row>
    <row r="369" spans="1:17" x14ac:dyDescent="0.25">
      <c r="A369" s="14">
        <v>45762</v>
      </c>
      <c r="B369" s="15" t="s">
        <v>69</v>
      </c>
      <c r="C369" s="15" t="s">
        <v>70</v>
      </c>
      <c r="D369" s="15" t="s">
        <v>71</v>
      </c>
      <c r="E369" s="16">
        <v>601.6</v>
      </c>
      <c r="F369" s="16">
        <v>606.38</v>
      </c>
      <c r="G369" s="16">
        <v>597.35</v>
      </c>
      <c r="H369" s="16">
        <v>599.54</v>
      </c>
      <c r="I369" s="17">
        <v>4754698</v>
      </c>
      <c r="J369" s="16">
        <v>479632000000</v>
      </c>
      <c r="K369" s="30">
        <f t="shared" si="30"/>
        <v>-0.34242021276596729</v>
      </c>
      <c r="L369" s="31">
        <f t="shared" si="31"/>
        <v>9.0299999999999727</v>
      </c>
      <c r="M369" s="30">
        <f t="shared" si="32"/>
        <v>1.5009973404255273E-2</v>
      </c>
      <c r="N369" s="20" t="str">
        <f t="shared" si="35"/>
        <v>High volume</v>
      </c>
      <c r="O369" s="32">
        <f t="shared" si="33"/>
        <v>479.63200000000001</v>
      </c>
      <c r="P369" s="20">
        <f t="shared" si="34"/>
        <v>4</v>
      </c>
      <c r="Q369" s="20" t="str" cm="1">
        <f t="array" ref="Q369">_xlfn.IFS(P369&lt;=3,"Q1",P369&lt;=6,"Q2",P369&lt;=9,"Q3",P369&lt;=12,"Q4")</f>
        <v>Q2</v>
      </c>
    </row>
    <row r="370" spans="1:17" x14ac:dyDescent="0.25">
      <c r="A370" s="8">
        <v>45762</v>
      </c>
      <c r="B370" s="9" t="s">
        <v>73</v>
      </c>
      <c r="C370" s="9" t="s">
        <v>74</v>
      </c>
      <c r="D370" s="9" t="s">
        <v>75</v>
      </c>
      <c r="E370" s="10">
        <v>110.68</v>
      </c>
      <c r="F370" s="10">
        <v>111.32</v>
      </c>
      <c r="G370" s="10">
        <v>110.04</v>
      </c>
      <c r="H370" s="10">
        <v>110.64</v>
      </c>
      <c r="I370" s="11">
        <v>1453157</v>
      </c>
      <c r="J370" s="10">
        <v>24340800000</v>
      </c>
      <c r="K370" s="30">
        <f t="shared" si="30"/>
        <v>-3.6140224069394877E-2</v>
      </c>
      <c r="L370" s="31">
        <f t="shared" si="31"/>
        <v>1.2799999999999869</v>
      </c>
      <c r="M370" s="30">
        <f t="shared" si="32"/>
        <v>1.1564871702204434E-2</v>
      </c>
      <c r="N370" s="20" t="str">
        <f t="shared" si="35"/>
        <v>Normal</v>
      </c>
      <c r="O370" s="32">
        <f t="shared" si="33"/>
        <v>24.340800000000002</v>
      </c>
      <c r="P370" s="20">
        <f t="shared" si="34"/>
        <v>4</v>
      </c>
      <c r="Q370" s="20" t="str" cm="1">
        <f t="array" ref="Q370">_xlfn.IFS(P370&lt;=3,"Q1",P370&lt;=6,"Q2",P370&lt;=9,"Q3",P370&lt;=12,"Q4")</f>
        <v>Q2</v>
      </c>
    </row>
    <row r="371" spans="1:17" x14ac:dyDescent="0.25">
      <c r="A371" s="14">
        <v>45762</v>
      </c>
      <c r="B371" s="15" t="s">
        <v>76</v>
      </c>
      <c r="C371" s="15" t="s">
        <v>77</v>
      </c>
      <c r="D371" s="15" t="s">
        <v>75</v>
      </c>
      <c r="E371" s="16">
        <v>132.07</v>
      </c>
      <c r="F371" s="16">
        <v>133.41</v>
      </c>
      <c r="G371" s="16">
        <v>132.03</v>
      </c>
      <c r="H371" s="16">
        <v>133.31</v>
      </c>
      <c r="I371" s="17">
        <v>3713387</v>
      </c>
      <c r="J371" s="16">
        <v>26662000000</v>
      </c>
      <c r="K371" s="30">
        <f t="shared" si="30"/>
        <v>0.938896039978806</v>
      </c>
      <c r="L371" s="31">
        <f t="shared" si="31"/>
        <v>1.3799999999999955</v>
      </c>
      <c r="M371" s="30">
        <f t="shared" si="32"/>
        <v>1.0449004315893053E-2</v>
      </c>
      <c r="N371" s="20" t="str">
        <f t="shared" si="35"/>
        <v>High volume</v>
      </c>
      <c r="O371" s="32">
        <f t="shared" si="33"/>
        <v>26.661999999999999</v>
      </c>
      <c r="P371" s="20">
        <f t="shared" si="34"/>
        <v>4</v>
      </c>
      <c r="Q371" s="20" t="str" cm="1">
        <f t="array" ref="Q371">_xlfn.IFS(P371&lt;=3,"Q1",P371&lt;=6,"Q2",P371&lt;=9,"Q3",P371&lt;=12,"Q4")</f>
        <v>Q2</v>
      </c>
    </row>
    <row r="372" spans="1:17" x14ac:dyDescent="0.25">
      <c r="A372" s="8">
        <v>45763</v>
      </c>
      <c r="B372" s="9" t="s">
        <v>60</v>
      </c>
      <c r="C372" s="9" t="s">
        <v>61</v>
      </c>
      <c r="D372" s="9" t="s">
        <v>62</v>
      </c>
      <c r="E372" s="10">
        <v>2710.39</v>
      </c>
      <c r="F372" s="10">
        <v>2747.03</v>
      </c>
      <c r="G372" s="10">
        <v>2679.31</v>
      </c>
      <c r="H372" s="10">
        <v>2730.5</v>
      </c>
      <c r="I372" s="11">
        <v>2709586</v>
      </c>
      <c r="J372" s="10">
        <v>3822700000000</v>
      </c>
      <c r="K372" s="30">
        <f t="shared" si="30"/>
        <v>0.74195964418405203</v>
      </c>
      <c r="L372" s="31">
        <f t="shared" si="31"/>
        <v>67.720000000000255</v>
      </c>
      <c r="M372" s="30">
        <f t="shared" si="32"/>
        <v>2.4985334213895514E-2</v>
      </c>
      <c r="N372" s="20" t="str">
        <f t="shared" si="35"/>
        <v>High volume</v>
      </c>
      <c r="O372" s="32">
        <f t="shared" si="33"/>
        <v>3822.7</v>
      </c>
      <c r="P372" s="20">
        <f t="shared" si="34"/>
        <v>4</v>
      </c>
      <c r="Q372" s="20" t="str" cm="1">
        <f t="array" ref="Q372">_xlfn.IFS(P372&lt;=3,"Q1",P372&lt;=6,"Q2",P372&lt;=9,"Q3",P372&lt;=12,"Q4")</f>
        <v>Q2</v>
      </c>
    </row>
    <row r="373" spans="1:17" x14ac:dyDescent="0.25">
      <c r="A373" s="14">
        <v>45763</v>
      </c>
      <c r="B373" s="15" t="s">
        <v>65</v>
      </c>
      <c r="C373" s="15" t="s">
        <v>66</v>
      </c>
      <c r="D373" s="15" t="s">
        <v>67</v>
      </c>
      <c r="E373" s="16">
        <v>212.31</v>
      </c>
      <c r="F373" s="16">
        <v>213.37</v>
      </c>
      <c r="G373" s="16">
        <v>210.1</v>
      </c>
      <c r="H373" s="16">
        <v>213.07</v>
      </c>
      <c r="I373" s="17">
        <v>1050450</v>
      </c>
      <c r="J373" s="16">
        <v>53267500000</v>
      </c>
      <c r="K373" s="30">
        <f t="shared" si="30"/>
        <v>0.35796712354575427</v>
      </c>
      <c r="L373" s="31">
        <f t="shared" si="31"/>
        <v>3.2700000000000102</v>
      </c>
      <c r="M373" s="30">
        <f t="shared" si="32"/>
        <v>1.5402006499929396E-2</v>
      </c>
      <c r="N373" s="20" t="str">
        <f t="shared" si="35"/>
        <v>Normal</v>
      </c>
      <c r="O373" s="32">
        <f t="shared" si="33"/>
        <v>53.267499999999998</v>
      </c>
      <c r="P373" s="20">
        <f t="shared" si="34"/>
        <v>4</v>
      </c>
      <c r="Q373" s="20" t="str" cm="1">
        <f t="array" ref="Q373">_xlfn.IFS(P373&lt;=3,"Q1",P373&lt;=6,"Q2",P373&lt;=9,"Q3",P373&lt;=12,"Q4")</f>
        <v>Q2</v>
      </c>
    </row>
    <row r="374" spans="1:17" x14ac:dyDescent="0.25">
      <c r="A374" s="8">
        <v>45763</v>
      </c>
      <c r="B374" s="9" t="s">
        <v>69</v>
      </c>
      <c r="C374" s="9" t="s">
        <v>70</v>
      </c>
      <c r="D374" s="9" t="s">
        <v>71</v>
      </c>
      <c r="E374" s="10">
        <v>595.89</v>
      </c>
      <c r="F374" s="10">
        <v>598.72</v>
      </c>
      <c r="G374" s="10">
        <v>595.23</v>
      </c>
      <c r="H374" s="10">
        <v>595.36</v>
      </c>
      <c r="I374" s="11">
        <v>1768549</v>
      </c>
      <c r="J374" s="10">
        <v>476288000000</v>
      </c>
      <c r="K374" s="30">
        <f t="shared" si="30"/>
        <v>-8.8942590075344899E-2</v>
      </c>
      <c r="L374" s="31">
        <f t="shared" si="31"/>
        <v>3.4900000000000091</v>
      </c>
      <c r="M374" s="30">
        <f t="shared" si="32"/>
        <v>5.856785648357934E-3</v>
      </c>
      <c r="N374" s="20" t="str">
        <f t="shared" si="35"/>
        <v>Normal</v>
      </c>
      <c r="O374" s="32">
        <f t="shared" si="33"/>
        <v>476.28800000000001</v>
      </c>
      <c r="P374" s="20">
        <f t="shared" si="34"/>
        <v>4</v>
      </c>
      <c r="Q374" s="20" t="str" cm="1">
        <f t="array" ref="Q374">_xlfn.IFS(P374&lt;=3,"Q1",P374&lt;=6,"Q2",P374&lt;=9,"Q3",P374&lt;=12,"Q4")</f>
        <v>Q2</v>
      </c>
    </row>
    <row r="375" spans="1:17" x14ac:dyDescent="0.25">
      <c r="A375" s="14">
        <v>45763</v>
      </c>
      <c r="B375" s="15" t="s">
        <v>73</v>
      </c>
      <c r="C375" s="15" t="s">
        <v>74</v>
      </c>
      <c r="D375" s="15" t="s">
        <v>75</v>
      </c>
      <c r="E375" s="16">
        <v>107.44</v>
      </c>
      <c r="F375" s="16">
        <v>108.87</v>
      </c>
      <c r="G375" s="16">
        <v>106.63</v>
      </c>
      <c r="H375" s="16">
        <v>108.72</v>
      </c>
      <c r="I375" s="17">
        <v>604840</v>
      </c>
      <c r="J375" s="16">
        <v>23918400000</v>
      </c>
      <c r="K375" s="30">
        <f t="shared" si="30"/>
        <v>1.1913626209977672</v>
      </c>
      <c r="L375" s="31">
        <f t="shared" si="31"/>
        <v>2.2400000000000091</v>
      </c>
      <c r="M375" s="30">
        <f t="shared" si="32"/>
        <v>2.0848845867460993E-2</v>
      </c>
      <c r="N375" s="20" t="str">
        <f t="shared" si="35"/>
        <v>Normal</v>
      </c>
      <c r="O375" s="32">
        <f t="shared" si="33"/>
        <v>23.918399999999998</v>
      </c>
      <c r="P375" s="20">
        <f t="shared" si="34"/>
        <v>4</v>
      </c>
      <c r="Q375" s="20" t="str" cm="1">
        <f t="array" ref="Q375">_xlfn.IFS(P375&lt;=3,"Q1",P375&lt;=6,"Q2",P375&lt;=9,"Q3",P375&lt;=12,"Q4")</f>
        <v>Q2</v>
      </c>
    </row>
    <row r="376" spans="1:17" x14ac:dyDescent="0.25">
      <c r="A376" s="8">
        <v>45763</v>
      </c>
      <c r="B376" s="9" t="s">
        <v>76</v>
      </c>
      <c r="C376" s="9" t="s">
        <v>77</v>
      </c>
      <c r="D376" s="9" t="s">
        <v>75</v>
      </c>
      <c r="E376" s="10">
        <v>135.35</v>
      </c>
      <c r="F376" s="10">
        <v>135.37</v>
      </c>
      <c r="G376" s="10">
        <v>132.81</v>
      </c>
      <c r="H376" s="10">
        <v>135.27000000000001</v>
      </c>
      <c r="I376" s="11">
        <v>2728224</v>
      </c>
      <c r="J376" s="10">
        <v>27054000000</v>
      </c>
      <c r="K376" s="30">
        <f t="shared" si="30"/>
        <v>-5.9106021425921008E-2</v>
      </c>
      <c r="L376" s="31">
        <f t="shared" si="31"/>
        <v>2.5600000000000023</v>
      </c>
      <c r="M376" s="30">
        <f t="shared" si="32"/>
        <v>1.8913926856298502E-2</v>
      </c>
      <c r="N376" s="20" t="str">
        <f t="shared" si="35"/>
        <v>High volume</v>
      </c>
      <c r="O376" s="32">
        <f t="shared" si="33"/>
        <v>27.053999999999998</v>
      </c>
      <c r="P376" s="20">
        <f t="shared" si="34"/>
        <v>4</v>
      </c>
      <c r="Q376" s="20" t="str" cm="1">
        <f t="array" ref="Q376">_xlfn.IFS(P376&lt;=3,"Q1",P376&lt;=6,"Q2",P376&lt;=9,"Q3",P376&lt;=12,"Q4")</f>
        <v>Q2</v>
      </c>
    </row>
    <row r="377" spans="1:17" x14ac:dyDescent="0.25">
      <c r="A377" s="14">
        <v>45764</v>
      </c>
      <c r="B377" s="15" t="s">
        <v>60</v>
      </c>
      <c r="C377" s="15" t="s">
        <v>61</v>
      </c>
      <c r="D377" s="15" t="s">
        <v>62</v>
      </c>
      <c r="E377" s="16">
        <v>2733.84</v>
      </c>
      <c r="F377" s="16">
        <v>2735.97</v>
      </c>
      <c r="G377" s="16">
        <v>2731.75</v>
      </c>
      <c r="H377" s="16">
        <v>2734.15</v>
      </c>
      <c r="I377" s="17">
        <v>1200103</v>
      </c>
      <c r="J377" s="16">
        <v>3827810000000</v>
      </c>
      <c r="K377" s="30">
        <f t="shared" si="30"/>
        <v>1.1339361484210686E-2</v>
      </c>
      <c r="L377" s="31">
        <f t="shared" si="31"/>
        <v>4.2199999999997999</v>
      </c>
      <c r="M377" s="30">
        <f t="shared" si="32"/>
        <v>1.5436163052701692E-3</v>
      </c>
      <c r="N377" s="20" t="str">
        <f t="shared" si="35"/>
        <v>Normal</v>
      </c>
      <c r="O377" s="32">
        <f t="shared" si="33"/>
        <v>3827.81</v>
      </c>
      <c r="P377" s="20">
        <f t="shared" si="34"/>
        <v>4</v>
      </c>
      <c r="Q377" s="20" t="str" cm="1">
        <f t="array" ref="Q377">_xlfn.IFS(P377&lt;=3,"Q1",P377&lt;=6,"Q2",P377&lt;=9,"Q3",P377&lt;=12,"Q4")</f>
        <v>Q2</v>
      </c>
    </row>
    <row r="378" spans="1:17" x14ac:dyDescent="0.25">
      <c r="A378" s="8">
        <v>45764</v>
      </c>
      <c r="B378" s="9" t="s">
        <v>65</v>
      </c>
      <c r="C378" s="9" t="s">
        <v>66</v>
      </c>
      <c r="D378" s="9" t="s">
        <v>67</v>
      </c>
      <c r="E378" s="10">
        <v>215.71</v>
      </c>
      <c r="F378" s="10">
        <v>216.39</v>
      </c>
      <c r="G378" s="10">
        <v>213.34</v>
      </c>
      <c r="H378" s="10">
        <v>214.94</v>
      </c>
      <c r="I378" s="11">
        <v>1425750</v>
      </c>
      <c r="J378" s="10">
        <v>53735000000</v>
      </c>
      <c r="K378" s="30">
        <f t="shared" si="30"/>
        <v>-0.35696073431922959</v>
      </c>
      <c r="L378" s="31">
        <f t="shared" si="31"/>
        <v>3.0499999999999829</v>
      </c>
      <c r="M378" s="30">
        <f t="shared" si="32"/>
        <v>1.4139353761995191E-2</v>
      </c>
      <c r="N378" s="20" t="str">
        <f t="shared" si="35"/>
        <v>Normal</v>
      </c>
      <c r="O378" s="32">
        <f t="shared" si="33"/>
        <v>53.734999999999999</v>
      </c>
      <c r="P378" s="20">
        <f t="shared" si="34"/>
        <v>4</v>
      </c>
      <c r="Q378" s="20" t="str" cm="1">
        <f t="array" ref="Q378">_xlfn.IFS(P378&lt;=3,"Q1",P378&lt;=6,"Q2",P378&lt;=9,"Q3",P378&lt;=12,"Q4")</f>
        <v>Q2</v>
      </c>
    </row>
    <row r="379" spans="1:17" x14ac:dyDescent="0.25">
      <c r="A379" s="14">
        <v>45764</v>
      </c>
      <c r="B379" s="15" t="s">
        <v>69</v>
      </c>
      <c r="C379" s="15" t="s">
        <v>70</v>
      </c>
      <c r="D379" s="15" t="s">
        <v>71</v>
      </c>
      <c r="E379" s="16">
        <v>599.1</v>
      </c>
      <c r="F379" s="16">
        <v>602.29</v>
      </c>
      <c r="G379" s="16">
        <v>594.76</v>
      </c>
      <c r="H379" s="16">
        <v>596.21</v>
      </c>
      <c r="I379" s="17">
        <v>1244949</v>
      </c>
      <c r="J379" s="16">
        <v>476968000000</v>
      </c>
      <c r="K379" s="30">
        <f t="shared" si="30"/>
        <v>-0.4823902520447314</v>
      </c>
      <c r="L379" s="31">
        <f t="shared" si="31"/>
        <v>7.5299999999999727</v>
      </c>
      <c r="M379" s="30">
        <f t="shared" si="32"/>
        <v>1.2568853279919833E-2</v>
      </c>
      <c r="N379" s="20" t="str">
        <f t="shared" si="35"/>
        <v>Normal</v>
      </c>
      <c r="O379" s="32">
        <f t="shared" si="33"/>
        <v>476.96800000000002</v>
      </c>
      <c r="P379" s="20">
        <f t="shared" si="34"/>
        <v>4</v>
      </c>
      <c r="Q379" s="20" t="str" cm="1">
        <f t="array" ref="Q379">_xlfn.IFS(P379&lt;=3,"Q1",P379&lt;=6,"Q2",P379&lt;=9,"Q3",P379&lt;=12,"Q4")</f>
        <v>Q2</v>
      </c>
    </row>
    <row r="380" spans="1:17" x14ac:dyDescent="0.25">
      <c r="A380" s="8">
        <v>45764</v>
      </c>
      <c r="B380" s="9" t="s">
        <v>73</v>
      </c>
      <c r="C380" s="9" t="s">
        <v>74</v>
      </c>
      <c r="D380" s="9" t="s">
        <v>75</v>
      </c>
      <c r="E380" s="10">
        <v>107.46</v>
      </c>
      <c r="F380" s="10">
        <v>108.68</v>
      </c>
      <c r="G380" s="10">
        <v>106.64</v>
      </c>
      <c r="H380" s="10">
        <v>106.67</v>
      </c>
      <c r="I380" s="11">
        <v>3127901</v>
      </c>
      <c r="J380" s="10">
        <v>23467400000</v>
      </c>
      <c r="K380" s="30">
        <f t="shared" si="30"/>
        <v>-0.735157267820577</v>
      </c>
      <c r="L380" s="31">
        <f t="shared" si="31"/>
        <v>2.0400000000000063</v>
      </c>
      <c r="M380" s="30">
        <f t="shared" si="32"/>
        <v>1.8983807928531608E-2</v>
      </c>
      <c r="N380" s="20" t="str">
        <f t="shared" si="35"/>
        <v>High volume</v>
      </c>
      <c r="O380" s="32">
        <f t="shared" si="33"/>
        <v>23.467400000000001</v>
      </c>
      <c r="P380" s="20">
        <f t="shared" si="34"/>
        <v>4</v>
      </c>
      <c r="Q380" s="20" t="str" cm="1">
        <f t="array" ref="Q380">_xlfn.IFS(P380&lt;=3,"Q1",P380&lt;=6,"Q2",P380&lt;=9,"Q3",P380&lt;=12,"Q4")</f>
        <v>Q2</v>
      </c>
    </row>
    <row r="381" spans="1:17" x14ac:dyDescent="0.25">
      <c r="A381" s="14">
        <v>45764</v>
      </c>
      <c r="B381" s="15" t="s">
        <v>76</v>
      </c>
      <c r="C381" s="15" t="s">
        <v>77</v>
      </c>
      <c r="D381" s="15" t="s">
        <v>75</v>
      </c>
      <c r="E381" s="16">
        <v>132.69999999999999</v>
      </c>
      <c r="F381" s="16">
        <v>133.05000000000001</v>
      </c>
      <c r="G381" s="16">
        <v>131.37</v>
      </c>
      <c r="H381" s="16">
        <v>132.63999999999999</v>
      </c>
      <c r="I381" s="17">
        <v>1772158</v>
      </c>
      <c r="J381" s="16">
        <v>26528000000</v>
      </c>
      <c r="K381" s="30">
        <f t="shared" si="30"/>
        <v>-4.5214770158253412E-2</v>
      </c>
      <c r="L381" s="31">
        <f t="shared" si="31"/>
        <v>1.6800000000000068</v>
      </c>
      <c r="M381" s="30">
        <f t="shared" si="32"/>
        <v>1.2660135644310528E-2</v>
      </c>
      <c r="N381" s="20" t="str">
        <f t="shared" si="35"/>
        <v>Normal</v>
      </c>
      <c r="O381" s="32">
        <f t="shared" si="33"/>
        <v>26.527999999999999</v>
      </c>
      <c r="P381" s="20">
        <f t="shared" si="34"/>
        <v>4</v>
      </c>
      <c r="Q381" s="20" t="str" cm="1">
        <f t="array" ref="Q381">_xlfn.IFS(P381&lt;=3,"Q1",P381&lt;=6,"Q2",P381&lt;=9,"Q3",P381&lt;=12,"Q4")</f>
        <v>Q2</v>
      </c>
    </row>
    <row r="382" spans="1:17" x14ac:dyDescent="0.25">
      <c r="A382" s="8">
        <v>45765</v>
      </c>
      <c r="B382" s="9" t="s">
        <v>60</v>
      </c>
      <c r="C382" s="9" t="s">
        <v>61</v>
      </c>
      <c r="D382" s="9" t="s">
        <v>62</v>
      </c>
      <c r="E382" s="10">
        <v>2689.83</v>
      </c>
      <c r="F382" s="10">
        <v>2709.54</v>
      </c>
      <c r="G382" s="10">
        <v>2670.99</v>
      </c>
      <c r="H382" s="10">
        <v>2683.63</v>
      </c>
      <c r="I382" s="11">
        <v>3662432</v>
      </c>
      <c r="J382" s="10">
        <v>3757082000000</v>
      </c>
      <c r="K382" s="30">
        <f t="shared" si="30"/>
        <v>-0.2304978381533338</v>
      </c>
      <c r="L382" s="31">
        <f t="shared" si="31"/>
        <v>38.550000000000182</v>
      </c>
      <c r="M382" s="30">
        <f t="shared" si="32"/>
        <v>1.4331760743244064E-2</v>
      </c>
      <c r="N382" s="20" t="str">
        <f t="shared" si="35"/>
        <v>High volume</v>
      </c>
      <c r="O382" s="32">
        <f t="shared" si="33"/>
        <v>3757.0819999999999</v>
      </c>
      <c r="P382" s="20">
        <f t="shared" si="34"/>
        <v>4</v>
      </c>
      <c r="Q382" s="20" t="str" cm="1">
        <f t="array" ref="Q382">_xlfn.IFS(P382&lt;=3,"Q1",P382&lt;=6,"Q2",P382&lt;=9,"Q3",P382&lt;=12,"Q4")</f>
        <v>Q2</v>
      </c>
    </row>
    <row r="383" spans="1:17" x14ac:dyDescent="0.25">
      <c r="A383" s="14">
        <v>45765</v>
      </c>
      <c r="B383" s="15" t="s">
        <v>65</v>
      </c>
      <c r="C383" s="15" t="s">
        <v>66</v>
      </c>
      <c r="D383" s="15" t="s">
        <v>67</v>
      </c>
      <c r="E383" s="16">
        <v>216.89</v>
      </c>
      <c r="F383" s="16">
        <v>217.43</v>
      </c>
      <c r="G383" s="16">
        <v>215.92</v>
      </c>
      <c r="H383" s="16">
        <v>216.13</v>
      </c>
      <c r="I383" s="17">
        <v>3014567</v>
      </c>
      <c r="J383" s="16">
        <v>54032500000</v>
      </c>
      <c r="K383" s="30">
        <f t="shared" si="30"/>
        <v>-0.35040804094240902</v>
      </c>
      <c r="L383" s="31">
        <f t="shared" si="31"/>
        <v>1.5100000000000193</v>
      </c>
      <c r="M383" s="30">
        <f t="shared" si="32"/>
        <v>6.9620544976717203E-3</v>
      </c>
      <c r="N383" s="20" t="str">
        <f t="shared" si="35"/>
        <v>High volume</v>
      </c>
      <c r="O383" s="32">
        <f t="shared" si="33"/>
        <v>54.032499999999999</v>
      </c>
      <c r="P383" s="20">
        <f t="shared" si="34"/>
        <v>4</v>
      </c>
      <c r="Q383" s="20" t="str" cm="1">
        <f t="array" ref="Q383">_xlfn.IFS(P383&lt;=3,"Q1",P383&lt;=6,"Q2",P383&lt;=9,"Q3",P383&lt;=12,"Q4")</f>
        <v>Q2</v>
      </c>
    </row>
    <row r="384" spans="1:17" x14ac:dyDescent="0.25">
      <c r="A384" s="8">
        <v>45765</v>
      </c>
      <c r="B384" s="9" t="s">
        <v>69</v>
      </c>
      <c r="C384" s="9" t="s">
        <v>70</v>
      </c>
      <c r="D384" s="9" t="s">
        <v>71</v>
      </c>
      <c r="E384" s="10">
        <v>597.29</v>
      </c>
      <c r="F384" s="10">
        <v>597.51</v>
      </c>
      <c r="G384" s="10">
        <v>593.41999999999996</v>
      </c>
      <c r="H384" s="10">
        <v>594.51</v>
      </c>
      <c r="I384" s="11">
        <v>3065097</v>
      </c>
      <c r="J384" s="10">
        <v>475608000000</v>
      </c>
      <c r="K384" s="30">
        <f t="shared" si="30"/>
        <v>-0.46543555057007036</v>
      </c>
      <c r="L384" s="31">
        <f t="shared" si="31"/>
        <v>4.0900000000000318</v>
      </c>
      <c r="M384" s="30">
        <f t="shared" si="32"/>
        <v>6.847594970617342E-3</v>
      </c>
      <c r="N384" s="20" t="str">
        <f t="shared" si="35"/>
        <v>High volume</v>
      </c>
      <c r="O384" s="32">
        <f t="shared" si="33"/>
        <v>475.608</v>
      </c>
      <c r="P384" s="20">
        <f t="shared" si="34"/>
        <v>4</v>
      </c>
      <c r="Q384" s="20" t="str" cm="1">
        <f t="array" ref="Q384">_xlfn.IFS(P384&lt;=3,"Q1",P384&lt;=6,"Q2",P384&lt;=9,"Q3",P384&lt;=12,"Q4")</f>
        <v>Q2</v>
      </c>
    </row>
    <row r="385" spans="1:17" x14ac:dyDescent="0.25">
      <c r="A385" s="14">
        <v>45765</v>
      </c>
      <c r="B385" s="15" t="s">
        <v>73</v>
      </c>
      <c r="C385" s="15" t="s">
        <v>74</v>
      </c>
      <c r="D385" s="15" t="s">
        <v>75</v>
      </c>
      <c r="E385" s="16">
        <v>107.85</v>
      </c>
      <c r="F385" s="16">
        <v>108.29</v>
      </c>
      <c r="G385" s="16">
        <v>106.54</v>
      </c>
      <c r="H385" s="16">
        <v>106.56</v>
      </c>
      <c r="I385" s="17">
        <v>3316141</v>
      </c>
      <c r="J385" s="16">
        <v>23443200000</v>
      </c>
      <c r="K385" s="30">
        <f t="shared" si="30"/>
        <v>-1.1961057023643877</v>
      </c>
      <c r="L385" s="31">
        <f t="shared" si="31"/>
        <v>1.75</v>
      </c>
      <c r="M385" s="30">
        <f t="shared" si="32"/>
        <v>1.6226240148354196E-2</v>
      </c>
      <c r="N385" s="20" t="str">
        <f t="shared" si="35"/>
        <v>High volume</v>
      </c>
      <c r="O385" s="32">
        <f t="shared" si="33"/>
        <v>23.443200000000001</v>
      </c>
      <c r="P385" s="20">
        <f t="shared" si="34"/>
        <v>4</v>
      </c>
      <c r="Q385" s="20" t="str" cm="1">
        <f t="array" ref="Q385">_xlfn.IFS(P385&lt;=3,"Q1",P385&lt;=6,"Q2",P385&lt;=9,"Q3",P385&lt;=12,"Q4")</f>
        <v>Q2</v>
      </c>
    </row>
    <row r="386" spans="1:17" x14ac:dyDescent="0.25">
      <c r="A386" s="8">
        <v>45765</v>
      </c>
      <c r="B386" s="9" t="s">
        <v>76</v>
      </c>
      <c r="C386" s="9" t="s">
        <v>77</v>
      </c>
      <c r="D386" s="9" t="s">
        <v>75</v>
      </c>
      <c r="E386" s="10">
        <v>132.41999999999999</v>
      </c>
      <c r="F386" s="10">
        <v>132.78</v>
      </c>
      <c r="G386" s="10">
        <v>131.75</v>
      </c>
      <c r="H386" s="10">
        <v>132.16999999999999</v>
      </c>
      <c r="I386" s="11">
        <v>4515447</v>
      </c>
      <c r="J386" s="10">
        <v>26434000000</v>
      </c>
      <c r="K386" s="30">
        <f t="shared" si="30"/>
        <v>-0.18879323365050599</v>
      </c>
      <c r="L386" s="31">
        <f t="shared" si="31"/>
        <v>1.0300000000000011</v>
      </c>
      <c r="M386" s="30">
        <f t="shared" si="32"/>
        <v>7.7782812264008553E-3</v>
      </c>
      <c r="N386" s="20" t="str">
        <f t="shared" si="35"/>
        <v>High volume</v>
      </c>
      <c r="O386" s="32">
        <f t="shared" si="33"/>
        <v>26.434000000000001</v>
      </c>
      <c r="P386" s="20">
        <f t="shared" si="34"/>
        <v>4</v>
      </c>
      <c r="Q386" s="20" t="str" cm="1">
        <f t="array" ref="Q386">_xlfn.IFS(P386&lt;=3,"Q1",P386&lt;=6,"Q2",P386&lt;=9,"Q3",P386&lt;=12,"Q4")</f>
        <v>Q2</v>
      </c>
    </row>
    <row r="387" spans="1:17" x14ac:dyDescent="0.25">
      <c r="A387" s="14">
        <v>45768</v>
      </c>
      <c r="B387" s="15" t="s">
        <v>60</v>
      </c>
      <c r="C387" s="15" t="s">
        <v>61</v>
      </c>
      <c r="D387" s="15" t="s">
        <v>62</v>
      </c>
      <c r="E387" s="16">
        <v>2707.48</v>
      </c>
      <c r="F387" s="16">
        <v>2747.6</v>
      </c>
      <c r="G387" s="16">
        <v>2686.43</v>
      </c>
      <c r="H387" s="16">
        <v>2733.52</v>
      </c>
      <c r="I387" s="17">
        <v>1284954</v>
      </c>
      <c r="J387" s="16">
        <v>3826928000000</v>
      </c>
      <c r="K387" s="30">
        <f t="shared" ref="K387:K450" si="36">((H387-E387)/E387)*100</f>
        <v>0.96177995774668557</v>
      </c>
      <c r="L387" s="31">
        <f t="shared" ref="L387:L450" si="37">F387-G387</f>
        <v>61.170000000000073</v>
      </c>
      <c r="M387" s="30">
        <f t="shared" ref="M387:M450" si="38">L387/E387</f>
        <v>2.2592964675639367E-2</v>
      </c>
      <c r="N387" s="20" t="str">
        <f t="shared" si="35"/>
        <v>Normal</v>
      </c>
      <c r="O387" s="32">
        <f t="shared" ref="O387:O450" si="39">J387/1000000000</f>
        <v>3826.9279999999999</v>
      </c>
      <c r="P387" s="20">
        <f t="shared" ref="P387:P450" si="40">MONTH(A387)</f>
        <v>4</v>
      </c>
      <c r="Q387" s="20" t="str" cm="1">
        <f t="array" ref="Q387">_xlfn.IFS(P387&lt;=3,"Q1",P387&lt;=6,"Q2",P387&lt;=9,"Q3",P387&lt;=12,"Q4")</f>
        <v>Q2</v>
      </c>
    </row>
    <row r="388" spans="1:17" x14ac:dyDescent="0.25">
      <c r="A388" s="8">
        <v>45768</v>
      </c>
      <c r="B388" s="9" t="s">
        <v>65</v>
      </c>
      <c r="C388" s="9" t="s">
        <v>66</v>
      </c>
      <c r="D388" s="9" t="s">
        <v>67</v>
      </c>
      <c r="E388" s="10">
        <v>211.21</v>
      </c>
      <c r="F388" s="10">
        <v>214.28</v>
      </c>
      <c r="G388" s="10">
        <v>210.41</v>
      </c>
      <c r="H388" s="10">
        <v>214.11</v>
      </c>
      <c r="I388" s="11">
        <v>4311280</v>
      </c>
      <c r="J388" s="10">
        <v>53527500000</v>
      </c>
      <c r="K388" s="30">
        <f t="shared" si="36"/>
        <v>1.3730410491927492</v>
      </c>
      <c r="L388" s="31">
        <f t="shared" si="37"/>
        <v>3.8700000000000045</v>
      </c>
      <c r="M388" s="30">
        <f t="shared" si="38"/>
        <v>1.8322996070261846E-2</v>
      </c>
      <c r="N388" s="20" t="str">
        <f t="shared" ref="N388:N451" si="41">IF(I388&gt;2000000,"High volume","Normal")</f>
        <v>High volume</v>
      </c>
      <c r="O388" s="32">
        <f t="shared" si="39"/>
        <v>53.527500000000003</v>
      </c>
      <c r="P388" s="20">
        <f t="shared" si="40"/>
        <v>4</v>
      </c>
      <c r="Q388" s="20" t="str" cm="1">
        <f t="array" ref="Q388">_xlfn.IFS(P388&lt;=3,"Q1",P388&lt;=6,"Q2",P388&lt;=9,"Q3",P388&lt;=12,"Q4")</f>
        <v>Q2</v>
      </c>
    </row>
    <row r="389" spans="1:17" x14ac:dyDescent="0.25">
      <c r="A389" s="14">
        <v>45768</v>
      </c>
      <c r="B389" s="15" t="s">
        <v>69</v>
      </c>
      <c r="C389" s="15" t="s">
        <v>70</v>
      </c>
      <c r="D389" s="15" t="s">
        <v>71</v>
      </c>
      <c r="E389" s="16">
        <v>599.29</v>
      </c>
      <c r="F389" s="16">
        <v>603.84</v>
      </c>
      <c r="G389" s="16">
        <v>592.76</v>
      </c>
      <c r="H389" s="16">
        <v>599.47</v>
      </c>
      <c r="I389" s="17">
        <v>3788365</v>
      </c>
      <c r="J389" s="16">
        <v>479576000000</v>
      </c>
      <c r="K389" s="30">
        <f t="shared" si="36"/>
        <v>3.0035542058112714E-2</v>
      </c>
      <c r="L389" s="31">
        <f t="shared" si="37"/>
        <v>11.080000000000041</v>
      </c>
      <c r="M389" s="30">
        <f t="shared" si="38"/>
        <v>1.8488544777987354E-2</v>
      </c>
      <c r="N389" s="20" t="str">
        <f t="shared" si="41"/>
        <v>High volume</v>
      </c>
      <c r="O389" s="32">
        <f t="shared" si="39"/>
        <v>479.57600000000002</v>
      </c>
      <c r="P389" s="20">
        <f t="shared" si="40"/>
        <v>4</v>
      </c>
      <c r="Q389" s="20" t="str" cm="1">
        <f t="array" ref="Q389">_xlfn.IFS(P389&lt;=3,"Q1",P389&lt;=6,"Q2",P389&lt;=9,"Q3",P389&lt;=12,"Q4")</f>
        <v>Q2</v>
      </c>
    </row>
    <row r="390" spans="1:17" x14ac:dyDescent="0.25">
      <c r="A390" s="8">
        <v>45768</v>
      </c>
      <c r="B390" s="9" t="s">
        <v>73</v>
      </c>
      <c r="C390" s="9" t="s">
        <v>74</v>
      </c>
      <c r="D390" s="9" t="s">
        <v>75</v>
      </c>
      <c r="E390" s="10">
        <v>105.53</v>
      </c>
      <c r="F390" s="10">
        <v>107.31</v>
      </c>
      <c r="G390" s="10">
        <v>105.46</v>
      </c>
      <c r="H390" s="10">
        <v>106.99</v>
      </c>
      <c r="I390" s="11">
        <v>2375890</v>
      </c>
      <c r="J390" s="10">
        <v>23537800000</v>
      </c>
      <c r="K390" s="30">
        <f t="shared" si="36"/>
        <v>1.383492845636306</v>
      </c>
      <c r="L390" s="31">
        <f t="shared" si="37"/>
        <v>1.8500000000000085</v>
      </c>
      <c r="M390" s="30">
        <f t="shared" si="38"/>
        <v>1.753056003032321E-2</v>
      </c>
      <c r="N390" s="20" t="str">
        <f t="shared" si="41"/>
        <v>High volume</v>
      </c>
      <c r="O390" s="32">
        <f t="shared" si="39"/>
        <v>23.537800000000001</v>
      </c>
      <c r="P390" s="20">
        <f t="shared" si="40"/>
        <v>4</v>
      </c>
      <c r="Q390" s="20" t="str" cm="1">
        <f t="array" ref="Q390">_xlfn.IFS(P390&lt;=3,"Q1",P390&lt;=6,"Q2",P390&lt;=9,"Q3",P390&lt;=12,"Q4")</f>
        <v>Q2</v>
      </c>
    </row>
    <row r="391" spans="1:17" x14ac:dyDescent="0.25">
      <c r="A391" s="14">
        <v>45768</v>
      </c>
      <c r="B391" s="15" t="s">
        <v>76</v>
      </c>
      <c r="C391" s="15" t="s">
        <v>77</v>
      </c>
      <c r="D391" s="15" t="s">
        <v>75</v>
      </c>
      <c r="E391" s="16">
        <v>128.63</v>
      </c>
      <c r="F391" s="16">
        <v>129.22</v>
      </c>
      <c r="G391" s="16">
        <v>127.38</v>
      </c>
      <c r="H391" s="16">
        <v>128.83000000000001</v>
      </c>
      <c r="I391" s="17">
        <v>4708269</v>
      </c>
      <c r="J391" s="16">
        <v>25766000000</v>
      </c>
      <c r="K391" s="30">
        <f t="shared" si="36"/>
        <v>0.15548472362591703</v>
      </c>
      <c r="L391" s="31">
        <f t="shared" si="37"/>
        <v>1.8400000000000034</v>
      </c>
      <c r="M391" s="30">
        <f t="shared" si="38"/>
        <v>1.4304594573583173E-2</v>
      </c>
      <c r="N391" s="20" t="str">
        <f t="shared" si="41"/>
        <v>High volume</v>
      </c>
      <c r="O391" s="32">
        <f t="shared" si="39"/>
        <v>25.765999999999998</v>
      </c>
      <c r="P391" s="20">
        <f t="shared" si="40"/>
        <v>4</v>
      </c>
      <c r="Q391" s="20" t="str" cm="1">
        <f t="array" ref="Q391">_xlfn.IFS(P391&lt;=3,"Q1",P391&lt;=6,"Q2",P391&lt;=9,"Q3",P391&lt;=12,"Q4")</f>
        <v>Q2</v>
      </c>
    </row>
    <row r="392" spans="1:17" x14ac:dyDescent="0.25">
      <c r="A392" s="8">
        <v>45769</v>
      </c>
      <c r="B392" s="9" t="s">
        <v>60</v>
      </c>
      <c r="C392" s="9" t="s">
        <v>61</v>
      </c>
      <c r="D392" s="9" t="s">
        <v>62</v>
      </c>
      <c r="E392" s="10">
        <v>2673.65</v>
      </c>
      <c r="F392" s="10">
        <v>2684.61</v>
      </c>
      <c r="G392" s="10">
        <v>2649.34</v>
      </c>
      <c r="H392" s="10">
        <v>2651.52</v>
      </c>
      <c r="I392" s="11">
        <v>4894014</v>
      </c>
      <c r="J392" s="10">
        <v>3712128000000</v>
      </c>
      <c r="K392" s="30">
        <f t="shared" si="36"/>
        <v>-0.82770744113852246</v>
      </c>
      <c r="L392" s="31">
        <f t="shared" si="37"/>
        <v>35.269999999999982</v>
      </c>
      <c r="M392" s="30">
        <f t="shared" si="38"/>
        <v>1.3191704224561921E-2</v>
      </c>
      <c r="N392" s="20" t="str">
        <f t="shared" si="41"/>
        <v>High volume</v>
      </c>
      <c r="O392" s="32">
        <f t="shared" si="39"/>
        <v>3712.1280000000002</v>
      </c>
      <c r="P392" s="20">
        <f t="shared" si="40"/>
        <v>4</v>
      </c>
      <c r="Q392" s="20" t="str" cm="1">
        <f t="array" ref="Q392">_xlfn.IFS(P392&lt;=3,"Q1",P392&lt;=6,"Q2",P392&lt;=9,"Q3",P392&lt;=12,"Q4")</f>
        <v>Q2</v>
      </c>
    </row>
    <row r="393" spans="1:17" x14ac:dyDescent="0.25">
      <c r="A393" s="14">
        <v>45769</v>
      </c>
      <c r="B393" s="15" t="s">
        <v>65</v>
      </c>
      <c r="C393" s="15" t="s">
        <v>66</v>
      </c>
      <c r="D393" s="15" t="s">
        <v>67</v>
      </c>
      <c r="E393" s="16">
        <v>216.1</v>
      </c>
      <c r="F393" s="16">
        <v>217.05</v>
      </c>
      <c r="G393" s="16">
        <v>215.43</v>
      </c>
      <c r="H393" s="16">
        <v>216.3</v>
      </c>
      <c r="I393" s="17">
        <v>1680237</v>
      </c>
      <c r="J393" s="16">
        <v>54075000000</v>
      </c>
      <c r="K393" s="30">
        <f t="shared" si="36"/>
        <v>9.2549745488207796E-2</v>
      </c>
      <c r="L393" s="31">
        <f t="shared" si="37"/>
        <v>1.6200000000000045</v>
      </c>
      <c r="M393" s="30">
        <f t="shared" si="38"/>
        <v>7.4965293845442134E-3</v>
      </c>
      <c r="N393" s="20" t="str">
        <f t="shared" si="41"/>
        <v>Normal</v>
      </c>
      <c r="O393" s="32">
        <f t="shared" si="39"/>
        <v>54.075000000000003</v>
      </c>
      <c r="P393" s="20">
        <f t="shared" si="40"/>
        <v>4</v>
      </c>
      <c r="Q393" s="20" t="str" cm="1">
        <f t="array" ref="Q393">_xlfn.IFS(P393&lt;=3,"Q1",P393&lt;=6,"Q2",P393&lt;=9,"Q3",P393&lt;=12,"Q4")</f>
        <v>Q2</v>
      </c>
    </row>
    <row r="394" spans="1:17" x14ac:dyDescent="0.25">
      <c r="A394" s="8">
        <v>45769</v>
      </c>
      <c r="B394" s="9" t="s">
        <v>69</v>
      </c>
      <c r="C394" s="9" t="s">
        <v>70</v>
      </c>
      <c r="D394" s="9" t="s">
        <v>71</v>
      </c>
      <c r="E394" s="10">
        <v>594.45000000000005</v>
      </c>
      <c r="F394" s="10">
        <v>599.53</v>
      </c>
      <c r="G394" s="10">
        <v>592.04999999999995</v>
      </c>
      <c r="H394" s="10">
        <v>596.41</v>
      </c>
      <c r="I394" s="11">
        <v>1062873</v>
      </c>
      <c r="J394" s="10">
        <v>477128000000</v>
      </c>
      <c r="K394" s="30">
        <f t="shared" si="36"/>
        <v>0.32971654470517664</v>
      </c>
      <c r="L394" s="31">
        <f t="shared" si="37"/>
        <v>7.4800000000000182</v>
      </c>
      <c r="M394" s="30">
        <f t="shared" si="38"/>
        <v>1.2583059971402166E-2</v>
      </c>
      <c r="N394" s="20" t="str">
        <f t="shared" si="41"/>
        <v>Normal</v>
      </c>
      <c r="O394" s="32">
        <f t="shared" si="39"/>
        <v>477.12799999999999</v>
      </c>
      <c r="P394" s="20">
        <f t="shared" si="40"/>
        <v>4</v>
      </c>
      <c r="Q394" s="20" t="str" cm="1">
        <f t="array" ref="Q394">_xlfn.IFS(P394&lt;=3,"Q1",P394&lt;=6,"Q2",P394&lt;=9,"Q3",P394&lt;=12,"Q4")</f>
        <v>Q2</v>
      </c>
    </row>
    <row r="395" spans="1:17" x14ac:dyDescent="0.25">
      <c r="A395" s="14">
        <v>45769</v>
      </c>
      <c r="B395" s="15" t="s">
        <v>73</v>
      </c>
      <c r="C395" s="15" t="s">
        <v>74</v>
      </c>
      <c r="D395" s="15" t="s">
        <v>75</v>
      </c>
      <c r="E395" s="16">
        <v>107.74</v>
      </c>
      <c r="F395" s="16">
        <v>108.49</v>
      </c>
      <c r="G395" s="16">
        <v>107.18</v>
      </c>
      <c r="H395" s="16">
        <v>107.25</v>
      </c>
      <c r="I395" s="17">
        <v>1406829</v>
      </c>
      <c r="J395" s="16">
        <v>23595000000</v>
      </c>
      <c r="K395" s="30">
        <f t="shared" si="36"/>
        <v>-0.45479858919620841</v>
      </c>
      <c r="L395" s="31">
        <f t="shared" si="37"/>
        <v>1.3099999999999881</v>
      </c>
      <c r="M395" s="30">
        <f t="shared" si="38"/>
        <v>1.2158901058102731E-2</v>
      </c>
      <c r="N395" s="20" t="str">
        <f t="shared" si="41"/>
        <v>Normal</v>
      </c>
      <c r="O395" s="32">
        <f t="shared" si="39"/>
        <v>23.594999999999999</v>
      </c>
      <c r="P395" s="20">
        <f t="shared" si="40"/>
        <v>4</v>
      </c>
      <c r="Q395" s="20" t="str" cm="1">
        <f t="array" ref="Q395">_xlfn.IFS(P395&lt;=3,"Q1",P395&lt;=6,"Q2",P395&lt;=9,"Q3",P395&lt;=12,"Q4")</f>
        <v>Q2</v>
      </c>
    </row>
    <row r="396" spans="1:17" x14ac:dyDescent="0.25">
      <c r="A396" s="8">
        <v>45769</v>
      </c>
      <c r="B396" s="9" t="s">
        <v>76</v>
      </c>
      <c r="C396" s="9" t="s">
        <v>77</v>
      </c>
      <c r="D396" s="9" t="s">
        <v>75</v>
      </c>
      <c r="E396" s="10">
        <v>126.73</v>
      </c>
      <c r="F396" s="10">
        <v>126.82</v>
      </c>
      <c r="G396" s="10">
        <v>125.67</v>
      </c>
      <c r="H396" s="10">
        <v>126.6</v>
      </c>
      <c r="I396" s="11">
        <v>482623</v>
      </c>
      <c r="J396" s="10">
        <v>25320000000</v>
      </c>
      <c r="K396" s="30">
        <f t="shared" si="36"/>
        <v>-0.10258028880297455</v>
      </c>
      <c r="L396" s="31">
        <f t="shared" si="37"/>
        <v>1.1499999999999915</v>
      </c>
      <c r="M396" s="30">
        <f t="shared" si="38"/>
        <v>9.0744101633393158E-3</v>
      </c>
      <c r="N396" s="20" t="str">
        <f t="shared" si="41"/>
        <v>Normal</v>
      </c>
      <c r="O396" s="32">
        <f t="shared" si="39"/>
        <v>25.32</v>
      </c>
      <c r="P396" s="20">
        <f t="shared" si="40"/>
        <v>4</v>
      </c>
      <c r="Q396" s="20" t="str" cm="1">
        <f t="array" ref="Q396">_xlfn.IFS(P396&lt;=3,"Q1",P396&lt;=6,"Q2",P396&lt;=9,"Q3",P396&lt;=12,"Q4")</f>
        <v>Q2</v>
      </c>
    </row>
    <row r="397" spans="1:17" x14ac:dyDescent="0.25">
      <c r="A397" s="14">
        <v>45770</v>
      </c>
      <c r="B397" s="15" t="s">
        <v>60</v>
      </c>
      <c r="C397" s="15" t="s">
        <v>61</v>
      </c>
      <c r="D397" s="15" t="s">
        <v>62</v>
      </c>
      <c r="E397" s="16">
        <v>2667.77</v>
      </c>
      <c r="F397" s="16">
        <v>2698.96</v>
      </c>
      <c r="G397" s="16">
        <v>2643.87</v>
      </c>
      <c r="H397" s="16">
        <v>2684.96</v>
      </c>
      <c r="I397" s="17">
        <v>912616</v>
      </c>
      <c r="J397" s="16">
        <v>3758944000000</v>
      </c>
      <c r="K397" s="30">
        <f t="shared" si="36"/>
        <v>0.64435839671336193</v>
      </c>
      <c r="L397" s="31">
        <f t="shared" si="37"/>
        <v>55.090000000000146</v>
      </c>
      <c r="M397" s="30">
        <f t="shared" si="38"/>
        <v>2.0650205977276955E-2</v>
      </c>
      <c r="N397" s="20" t="str">
        <f t="shared" si="41"/>
        <v>Normal</v>
      </c>
      <c r="O397" s="32">
        <f t="shared" si="39"/>
        <v>3758.944</v>
      </c>
      <c r="P397" s="20">
        <f t="shared" si="40"/>
        <v>4</v>
      </c>
      <c r="Q397" s="20" t="str" cm="1">
        <f t="array" ref="Q397">_xlfn.IFS(P397&lt;=3,"Q1",P397&lt;=6,"Q2",P397&lt;=9,"Q3",P397&lt;=12,"Q4")</f>
        <v>Q2</v>
      </c>
    </row>
    <row r="398" spans="1:17" x14ac:dyDescent="0.25">
      <c r="A398" s="8">
        <v>45770</v>
      </c>
      <c r="B398" s="9" t="s">
        <v>65</v>
      </c>
      <c r="C398" s="9" t="s">
        <v>66</v>
      </c>
      <c r="D398" s="9" t="s">
        <v>67</v>
      </c>
      <c r="E398" s="10">
        <v>219.21</v>
      </c>
      <c r="F398" s="10">
        <v>219.66</v>
      </c>
      <c r="G398" s="10">
        <v>214.03</v>
      </c>
      <c r="H398" s="10">
        <v>219.29</v>
      </c>
      <c r="I398" s="11">
        <v>878974</v>
      </c>
      <c r="J398" s="10">
        <v>54822500000</v>
      </c>
      <c r="K398" s="30">
        <f t="shared" si="36"/>
        <v>3.649468546142242E-2</v>
      </c>
      <c r="L398" s="31">
        <f t="shared" si="37"/>
        <v>5.6299999999999955</v>
      </c>
      <c r="M398" s="30">
        <f t="shared" si="38"/>
        <v>2.5683134893481115E-2</v>
      </c>
      <c r="N398" s="20" t="str">
        <f t="shared" si="41"/>
        <v>Normal</v>
      </c>
      <c r="O398" s="32">
        <f t="shared" si="39"/>
        <v>54.822499999999998</v>
      </c>
      <c r="P398" s="20">
        <f t="shared" si="40"/>
        <v>4</v>
      </c>
      <c r="Q398" s="20" t="str" cm="1">
        <f t="array" ref="Q398">_xlfn.IFS(P398&lt;=3,"Q1",P398&lt;=6,"Q2",P398&lt;=9,"Q3",P398&lt;=12,"Q4")</f>
        <v>Q2</v>
      </c>
    </row>
    <row r="399" spans="1:17" x14ac:dyDescent="0.25">
      <c r="A399" s="14">
        <v>45770</v>
      </c>
      <c r="B399" s="15" t="s">
        <v>69</v>
      </c>
      <c r="C399" s="15" t="s">
        <v>70</v>
      </c>
      <c r="D399" s="15" t="s">
        <v>71</v>
      </c>
      <c r="E399" s="16">
        <v>607.71</v>
      </c>
      <c r="F399" s="16">
        <v>613.17999999999995</v>
      </c>
      <c r="G399" s="16">
        <v>607.23</v>
      </c>
      <c r="H399" s="16">
        <v>608.94000000000005</v>
      </c>
      <c r="I399" s="17">
        <v>1809792</v>
      </c>
      <c r="J399" s="16">
        <v>487152000000</v>
      </c>
      <c r="K399" s="30">
        <f t="shared" si="36"/>
        <v>0.20239917065705981</v>
      </c>
      <c r="L399" s="31">
        <f t="shared" si="37"/>
        <v>5.9499999999999318</v>
      </c>
      <c r="M399" s="30">
        <f t="shared" si="38"/>
        <v>9.790854190320929E-3</v>
      </c>
      <c r="N399" s="20" t="str">
        <f t="shared" si="41"/>
        <v>Normal</v>
      </c>
      <c r="O399" s="32">
        <f t="shared" si="39"/>
        <v>487.15199999999999</v>
      </c>
      <c r="P399" s="20">
        <f t="shared" si="40"/>
        <v>4</v>
      </c>
      <c r="Q399" s="20" t="str" cm="1">
        <f t="array" ref="Q399">_xlfn.IFS(P399&lt;=3,"Q1",P399&lt;=6,"Q2",P399&lt;=9,"Q3",P399&lt;=12,"Q4")</f>
        <v>Q2</v>
      </c>
    </row>
    <row r="400" spans="1:17" x14ac:dyDescent="0.25">
      <c r="A400" s="8">
        <v>45770</v>
      </c>
      <c r="B400" s="9" t="s">
        <v>73</v>
      </c>
      <c r="C400" s="9" t="s">
        <v>74</v>
      </c>
      <c r="D400" s="9" t="s">
        <v>75</v>
      </c>
      <c r="E400" s="10">
        <v>107.6</v>
      </c>
      <c r="F400" s="10">
        <v>109.06</v>
      </c>
      <c r="G400" s="10">
        <v>106.37</v>
      </c>
      <c r="H400" s="10">
        <v>107.5</v>
      </c>
      <c r="I400" s="11">
        <v>3508471</v>
      </c>
      <c r="J400" s="10">
        <v>23650000000</v>
      </c>
      <c r="K400" s="30">
        <f t="shared" si="36"/>
        <v>-9.2936802973972416E-2</v>
      </c>
      <c r="L400" s="31">
        <f t="shared" si="37"/>
        <v>2.6899999999999977</v>
      </c>
      <c r="M400" s="30">
        <f t="shared" si="38"/>
        <v>2.4999999999999981E-2</v>
      </c>
      <c r="N400" s="20" t="str">
        <f t="shared" si="41"/>
        <v>High volume</v>
      </c>
      <c r="O400" s="32">
        <f t="shared" si="39"/>
        <v>23.65</v>
      </c>
      <c r="P400" s="20">
        <f t="shared" si="40"/>
        <v>4</v>
      </c>
      <c r="Q400" s="20" t="str" cm="1">
        <f t="array" ref="Q400">_xlfn.IFS(P400&lt;=3,"Q1",P400&lt;=6,"Q2",P400&lt;=9,"Q3",P400&lt;=12,"Q4")</f>
        <v>Q2</v>
      </c>
    </row>
    <row r="401" spans="1:17" x14ac:dyDescent="0.25">
      <c r="A401" s="14">
        <v>45770</v>
      </c>
      <c r="B401" s="15" t="s">
        <v>76</v>
      </c>
      <c r="C401" s="15" t="s">
        <v>77</v>
      </c>
      <c r="D401" s="15" t="s">
        <v>75</v>
      </c>
      <c r="E401" s="16">
        <v>126.25</v>
      </c>
      <c r="F401" s="16">
        <v>128.38999999999999</v>
      </c>
      <c r="G401" s="16">
        <v>125.53</v>
      </c>
      <c r="H401" s="16">
        <v>126.61</v>
      </c>
      <c r="I401" s="17">
        <v>973185</v>
      </c>
      <c r="J401" s="16">
        <v>25322000000</v>
      </c>
      <c r="K401" s="30">
        <f t="shared" si="36"/>
        <v>0.28514851485148474</v>
      </c>
      <c r="L401" s="31">
        <f t="shared" si="37"/>
        <v>2.8599999999999852</v>
      </c>
      <c r="M401" s="30">
        <f t="shared" si="38"/>
        <v>2.2653465346534535E-2</v>
      </c>
      <c r="N401" s="20" t="str">
        <f t="shared" si="41"/>
        <v>Normal</v>
      </c>
      <c r="O401" s="32">
        <f t="shared" si="39"/>
        <v>25.321999999999999</v>
      </c>
      <c r="P401" s="20">
        <f t="shared" si="40"/>
        <v>4</v>
      </c>
      <c r="Q401" s="20" t="str" cm="1">
        <f t="array" ref="Q401">_xlfn.IFS(P401&lt;=3,"Q1",P401&lt;=6,"Q2",P401&lt;=9,"Q3",P401&lt;=12,"Q4")</f>
        <v>Q2</v>
      </c>
    </row>
    <row r="402" spans="1:17" x14ac:dyDescent="0.25">
      <c r="A402" s="8">
        <v>45771</v>
      </c>
      <c r="B402" s="9" t="s">
        <v>60</v>
      </c>
      <c r="C402" s="9" t="s">
        <v>61</v>
      </c>
      <c r="D402" s="9" t="s">
        <v>62</v>
      </c>
      <c r="E402" s="10">
        <v>2661.17</v>
      </c>
      <c r="F402" s="10">
        <v>2689.76</v>
      </c>
      <c r="G402" s="10">
        <v>2631.11</v>
      </c>
      <c r="H402" s="10">
        <v>2651.51</v>
      </c>
      <c r="I402" s="11">
        <v>1797145</v>
      </c>
      <c r="J402" s="10">
        <v>3712114000000</v>
      </c>
      <c r="K402" s="30">
        <f t="shared" si="36"/>
        <v>-0.36299823010179183</v>
      </c>
      <c r="L402" s="31">
        <f t="shared" si="37"/>
        <v>58.650000000000091</v>
      </c>
      <c r="M402" s="30">
        <f t="shared" si="38"/>
        <v>2.2039178256180587E-2</v>
      </c>
      <c r="N402" s="20" t="str">
        <f t="shared" si="41"/>
        <v>Normal</v>
      </c>
      <c r="O402" s="32">
        <f t="shared" si="39"/>
        <v>3712.114</v>
      </c>
      <c r="P402" s="20">
        <f t="shared" si="40"/>
        <v>4</v>
      </c>
      <c r="Q402" s="20" t="str" cm="1">
        <f t="array" ref="Q402">_xlfn.IFS(P402&lt;=3,"Q1",P402&lt;=6,"Q2",P402&lt;=9,"Q3",P402&lt;=12,"Q4")</f>
        <v>Q2</v>
      </c>
    </row>
    <row r="403" spans="1:17" x14ac:dyDescent="0.25">
      <c r="A403" s="14">
        <v>45771</v>
      </c>
      <c r="B403" s="15" t="s">
        <v>65</v>
      </c>
      <c r="C403" s="15" t="s">
        <v>66</v>
      </c>
      <c r="D403" s="15" t="s">
        <v>67</v>
      </c>
      <c r="E403" s="16">
        <v>218.16</v>
      </c>
      <c r="F403" s="16">
        <v>219.9</v>
      </c>
      <c r="G403" s="16">
        <v>218.08</v>
      </c>
      <c r="H403" s="16">
        <v>218.31</v>
      </c>
      <c r="I403" s="17">
        <v>2168060</v>
      </c>
      <c r="J403" s="16">
        <v>54577500000</v>
      </c>
      <c r="K403" s="30">
        <f t="shared" si="36"/>
        <v>6.875687568757137E-2</v>
      </c>
      <c r="L403" s="31">
        <f t="shared" si="37"/>
        <v>1.8199999999999932</v>
      </c>
      <c r="M403" s="30">
        <f t="shared" si="38"/>
        <v>8.3425009167583108E-3</v>
      </c>
      <c r="N403" s="20" t="str">
        <f t="shared" si="41"/>
        <v>High volume</v>
      </c>
      <c r="O403" s="32">
        <f t="shared" si="39"/>
        <v>54.577500000000001</v>
      </c>
      <c r="P403" s="20">
        <f t="shared" si="40"/>
        <v>4</v>
      </c>
      <c r="Q403" s="20" t="str" cm="1">
        <f t="array" ref="Q403">_xlfn.IFS(P403&lt;=3,"Q1",P403&lt;=6,"Q2",P403&lt;=9,"Q3",P403&lt;=12,"Q4")</f>
        <v>Q2</v>
      </c>
    </row>
    <row r="404" spans="1:17" x14ac:dyDescent="0.25">
      <c r="A404" s="8">
        <v>45771</v>
      </c>
      <c r="B404" s="9" t="s">
        <v>69</v>
      </c>
      <c r="C404" s="9" t="s">
        <v>70</v>
      </c>
      <c r="D404" s="9" t="s">
        <v>71</v>
      </c>
      <c r="E404" s="10">
        <v>616.86</v>
      </c>
      <c r="F404" s="10">
        <v>624</v>
      </c>
      <c r="G404" s="10">
        <v>611.41</v>
      </c>
      <c r="H404" s="10">
        <v>620.46</v>
      </c>
      <c r="I404" s="11">
        <v>3857843</v>
      </c>
      <c r="J404" s="10">
        <v>496368000000</v>
      </c>
      <c r="K404" s="30">
        <f t="shared" si="36"/>
        <v>0.58360081704114752</v>
      </c>
      <c r="L404" s="31">
        <f t="shared" si="37"/>
        <v>12.590000000000032</v>
      </c>
      <c r="M404" s="30">
        <f t="shared" si="38"/>
        <v>2.0409817462633387E-2</v>
      </c>
      <c r="N404" s="20" t="str">
        <f t="shared" si="41"/>
        <v>High volume</v>
      </c>
      <c r="O404" s="32">
        <f t="shared" si="39"/>
        <v>496.36799999999999</v>
      </c>
      <c r="P404" s="20">
        <f t="shared" si="40"/>
        <v>4</v>
      </c>
      <c r="Q404" s="20" t="str" cm="1">
        <f t="array" ref="Q404">_xlfn.IFS(P404&lt;=3,"Q1",P404&lt;=6,"Q2",P404&lt;=9,"Q3",P404&lt;=12,"Q4")</f>
        <v>Q2</v>
      </c>
    </row>
    <row r="405" spans="1:17" x14ac:dyDescent="0.25">
      <c r="A405" s="14">
        <v>45771</v>
      </c>
      <c r="B405" s="15" t="s">
        <v>73</v>
      </c>
      <c r="C405" s="15" t="s">
        <v>74</v>
      </c>
      <c r="D405" s="15" t="s">
        <v>75</v>
      </c>
      <c r="E405" s="16">
        <v>107.28</v>
      </c>
      <c r="F405" s="16">
        <v>108.85</v>
      </c>
      <c r="G405" s="16">
        <v>106.96</v>
      </c>
      <c r="H405" s="16">
        <v>107.43</v>
      </c>
      <c r="I405" s="17">
        <v>3203798</v>
      </c>
      <c r="J405" s="16">
        <v>23634600000</v>
      </c>
      <c r="K405" s="30">
        <f t="shared" si="36"/>
        <v>0.13982102908277935</v>
      </c>
      <c r="L405" s="31">
        <f t="shared" si="37"/>
        <v>1.8900000000000006</v>
      </c>
      <c r="M405" s="30">
        <f t="shared" si="38"/>
        <v>1.7617449664429536E-2</v>
      </c>
      <c r="N405" s="20" t="str">
        <f t="shared" si="41"/>
        <v>High volume</v>
      </c>
      <c r="O405" s="32">
        <f t="shared" si="39"/>
        <v>23.634599999999999</v>
      </c>
      <c r="P405" s="20">
        <f t="shared" si="40"/>
        <v>4</v>
      </c>
      <c r="Q405" s="20" t="str" cm="1">
        <f t="array" ref="Q405">_xlfn.IFS(P405&lt;=3,"Q1",P405&lt;=6,"Q2",P405&lt;=9,"Q3",P405&lt;=12,"Q4")</f>
        <v>Q2</v>
      </c>
    </row>
    <row r="406" spans="1:17" x14ac:dyDescent="0.25">
      <c r="A406" s="8">
        <v>45771</v>
      </c>
      <c r="B406" s="9" t="s">
        <v>76</v>
      </c>
      <c r="C406" s="9" t="s">
        <v>77</v>
      </c>
      <c r="D406" s="9" t="s">
        <v>75</v>
      </c>
      <c r="E406" s="10">
        <v>127.32</v>
      </c>
      <c r="F406" s="10">
        <v>127.86</v>
      </c>
      <c r="G406" s="10">
        <v>126.09</v>
      </c>
      <c r="H406" s="10">
        <v>126.15</v>
      </c>
      <c r="I406" s="11">
        <v>3816845</v>
      </c>
      <c r="J406" s="10">
        <v>25230000000</v>
      </c>
      <c r="K406" s="30">
        <f t="shared" si="36"/>
        <v>-0.91894439208293088</v>
      </c>
      <c r="L406" s="31">
        <f t="shared" si="37"/>
        <v>1.769999999999996</v>
      </c>
      <c r="M406" s="30">
        <f t="shared" si="38"/>
        <v>1.3901979264844455E-2</v>
      </c>
      <c r="N406" s="20" t="str">
        <f t="shared" si="41"/>
        <v>High volume</v>
      </c>
      <c r="O406" s="32">
        <f t="shared" si="39"/>
        <v>25.23</v>
      </c>
      <c r="P406" s="20">
        <f t="shared" si="40"/>
        <v>4</v>
      </c>
      <c r="Q406" s="20" t="str" cm="1">
        <f t="array" ref="Q406">_xlfn.IFS(P406&lt;=3,"Q1",P406&lt;=6,"Q2",P406&lt;=9,"Q3",P406&lt;=12,"Q4")</f>
        <v>Q2</v>
      </c>
    </row>
    <row r="407" spans="1:17" x14ac:dyDescent="0.25">
      <c r="A407" s="14">
        <v>45772</v>
      </c>
      <c r="B407" s="15" t="s">
        <v>60</v>
      </c>
      <c r="C407" s="15" t="s">
        <v>61</v>
      </c>
      <c r="D407" s="15" t="s">
        <v>62</v>
      </c>
      <c r="E407" s="16">
        <v>2604.21</v>
      </c>
      <c r="F407" s="16">
        <v>2640.89</v>
      </c>
      <c r="G407" s="16">
        <v>2571.9</v>
      </c>
      <c r="H407" s="16">
        <v>2633.23</v>
      </c>
      <c r="I407" s="17">
        <v>2318855</v>
      </c>
      <c r="J407" s="16">
        <v>3686522000000</v>
      </c>
      <c r="K407" s="30">
        <f t="shared" si="36"/>
        <v>1.114349457225031</v>
      </c>
      <c r="L407" s="31">
        <f t="shared" si="37"/>
        <v>68.989999999999782</v>
      </c>
      <c r="M407" s="30">
        <f t="shared" si="38"/>
        <v>2.6491719177792798E-2</v>
      </c>
      <c r="N407" s="20" t="str">
        <f t="shared" si="41"/>
        <v>High volume</v>
      </c>
      <c r="O407" s="32">
        <f t="shared" si="39"/>
        <v>3686.5219999999999</v>
      </c>
      <c r="P407" s="20">
        <f t="shared" si="40"/>
        <v>4</v>
      </c>
      <c r="Q407" s="20" t="str" cm="1">
        <f t="array" ref="Q407">_xlfn.IFS(P407&lt;=3,"Q1",P407&lt;=6,"Q2",P407&lt;=9,"Q3",P407&lt;=12,"Q4")</f>
        <v>Q2</v>
      </c>
    </row>
    <row r="408" spans="1:17" x14ac:dyDescent="0.25">
      <c r="A408" s="8">
        <v>45772</v>
      </c>
      <c r="B408" s="9" t="s">
        <v>65</v>
      </c>
      <c r="C408" s="9" t="s">
        <v>66</v>
      </c>
      <c r="D408" s="9" t="s">
        <v>67</v>
      </c>
      <c r="E408" s="10">
        <v>218.77</v>
      </c>
      <c r="F408" s="10">
        <v>219.55</v>
      </c>
      <c r="G408" s="10">
        <v>216.46</v>
      </c>
      <c r="H408" s="10">
        <v>218.63</v>
      </c>
      <c r="I408" s="11">
        <v>708326</v>
      </c>
      <c r="J408" s="10">
        <v>54657500000</v>
      </c>
      <c r="K408" s="30">
        <f t="shared" si="36"/>
        <v>-6.3994149106374174E-2</v>
      </c>
      <c r="L408" s="31">
        <f t="shared" si="37"/>
        <v>3.0900000000000034</v>
      </c>
      <c r="M408" s="30">
        <f t="shared" si="38"/>
        <v>1.4124422909905395E-2</v>
      </c>
      <c r="N408" s="20" t="str">
        <f t="shared" si="41"/>
        <v>Normal</v>
      </c>
      <c r="O408" s="32">
        <f t="shared" si="39"/>
        <v>54.657499999999999</v>
      </c>
      <c r="P408" s="20">
        <f t="shared" si="40"/>
        <v>4</v>
      </c>
      <c r="Q408" s="20" t="str" cm="1">
        <f t="array" ref="Q408">_xlfn.IFS(P408&lt;=3,"Q1",P408&lt;=6,"Q2",P408&lt;=9,"Q3",P408&lt;=12,"Q4")</f>
        <v>Q2</v>
      </c>
    </row>
    <row r="409" spans="1:17" x14ac:dyDescent="0.25">
      <c r="A409" s="14">
        <v>45772</v>
      </c>
      <c r="B409" s="15" t="s">
        <v>69</v>
      </c>
      <c r="C409" s="15" t="s">
        <v>70</v>
      </c>
      <c r="D409" s="15" t="s">
        <v>71</v>
      </c>
      <c r="E409" s="16">
        <v>623.21</v>
      </c>
      <c r="F409" s="16">
        <v>623.26</v>
      </c>
      <c r="G409" s="16">
        <v>621.71</v>
      </c>
      <c r="H409" s="16">
        <v>622.39</v>
      </c>
      <c r="I409" s="17">
        <v>4827833</v>
      </c>
      <c r="J409" s="16">
        <v>497912000000</v>
      </c>
      <c r="K409" s="30">
        <f t="shared" si="36"/>
        <v>-0.13157683605847947</v>
      </c>
      <c r="L409" s="31">
        <f t="shared" si="37"/>
        <v>1.5499999999999545</v>
      </c>
      <c r="M409" s="30">
        <f t="shared" si="38"/>
        <v>2.4871231206173754E-3</v>
      </c>
      <c r="N409" s="20" t="str">
        <f t="shared" si="41"/>
        <v>High volume</v>
      </c>
      <c r="O409" s="32">
        <f t="shared" si="39"/>
        <v>497.91199999999998</v>
      </c>
      <c r="P409" s="20">
        <f t="shared" si="40"/>
        <v>4</v>
      </c>
      <c r="Q409" s="20" t="str" cm="1">
        <f t="array" ref="Q409">_xlfn.IFS(P409&lt;=3,"Q1",P409&lt;=6,"Q2",P409&lt;=9,"Q3",P409&lt;=12,"Q4")</f>
        <v>Q2</v>
      </c>
    </row>
    <row r="410" spans="1:17" x14ac:dyDescent="0.25">
      <c r="A410" s="8">
        <v>45772</v>
      </c>
      <c r="B410" s="9" t="s">
        <v>73</v>
      </c>
      <c r="C410" s="9" t="s">
        <v>74</v>
      </c>
      <c r="D410" s="9" t="s">
        <v>75</v>
      </c>
      <c r="E410" s="10">
        <v>108.11</v>
      </c>
      <c r="F410" s="10">
        <v>109.8</v>
      </c>
      <c r="G410" s="10">
        <v>107.15</v>
      </c>
      <c r="H410" s="10">
        <v>107.92</v>
      </c>
      <c r="I410" s="11">
        <v>2975158</v>
      </c>
      <c r="J410" s="10">
        <v>23742400000</v>
      </c>
      <c r="K410" s="30">
        <f t="shared" si="36"/>
        <v>-0.17574692442882039</v>
      </c>
      <c r="L410" s="31">
        <f t="shared" si="37"/>
        <v>2.6499999999999915</v>
      </c>
      <c r="M410" s="30">
        <f t="shared" si="38"/>
        <v>2.4512071038756744E-2</v>
      </c>
      <c r="N410" s="20" t="str">
        <f t="shared" si="41"/>
        <v>High volume</v>
      </c>
      <c r="O410" s="32">
        <f t="shared" si="39"/>
        <v>23.7424</v>
      </c>
      <c r="P410" s="20">
        <f t="shared" si="40"/>
        <v>4</v>
      </c>
      <c r="Q410" s="20" t="str" cm="1">
        <f t="array" ref="Q410">_xlfn.IFS(P410&lt;=3,"Q1",P410&lt;=6,"Q2",P410&lt;=9,"Q3",P410&lt;=12,"Q4")</f>
        <v>Q2</v>
      </c>
    </row>
    <row r="411" spans="1:17" x14ac:dyDescent="0.25">
      <c r="A411" s="14">
        <v>45772</v>
      </c>
      <c r="B411" s="15" t="s">
        <v>76</v>
      </c>
      <c r="C411" s="15" t="s">
        <v>77</v>
      </c>
      <c r="D411" s="15" t="s">
        <v>75</v>
      </c>
      <c r="E411" s="16">
        <v>126.95</v>
      </c>
      <c r="F411" s="16">
        <v>128.49</v>
      </c>
      <c r="G411" s="16">
        <v>126.13</v>
      </c>
      <c r="H411" s="16">
        <v>128.06</v>
      </c>
      <c r="I411" s="17">
        <v>2287295</v>
      </c>
      <c r="J411" s="16">
        <v>25612000000</v>
      </c>
      <c r="K411" s="30">
        <f t="shared" si="36"/>
        <v>0.87435998424576555</v>
      </c>
      <c r="L411" s="31">
        <f t="shared" si="37"/>
        <v>2.3600000000000136</v>
      </c>
      <c r="M411" s="30">
        <f t="shared" si="38"/>
        <v>1.858999606144162E-2</v>
      </c>
      <c r="N411" s="20" t="str">
        <f t="shared" si="41"/>
        <v>High volume</v>
      </c>
      <c r="O411" s="32">
        <f t="shared" si="39"/>
        <v>25.611999999999998</v>
      </c>
      <c r="P411" s="20">
        <f t="shared" si="40"/>
        <v>4</v>
      </c>
      <c r="Q411" s="20" t="str" cm="1">
        <f t="array" ref="Q411">_xlfn.IFS(P411&lt;=3,"Q1",P411&lt;=6,"Q2",P411&lt;=9,"Q3",P411&lt;=12,"Q4")</f>
        <v>Q2</v>
      </c>
    </row>
    <row r="412" spans="1:17" x14ac:dyDescent="0.25">
      <c r="A412" s="8">
        <v>45775</v>
      </c>
      <c r="B412" s="9" t="s">
        <v>60</v>
      </c>
      <c r="C412" s="9" t="s">
        <v>61</v>
      </c>
      <c r="D412" s="9" t="s">
        <v>62</v>
      </c>
      <c r="E412" s="10">
        <v>2626.74</v>
      </c>
      <c r="F412" s="10">
        <v>2637.81</v>
      </c>
      <c r="G412" s="10">
        <v>2618.8000000000002</v>
      </c>
      <c r="H412" s="10">
        <v>2624.51</v>
      </c>
      <c r="I412" s="11">
        <v>811349</v>
      </c>
      <c r="J412" s="10">
        <v>3674314000000</v>
      </c>
      <c r="K412" s="30">
        <f t="shared" si="36"/>
        <v>-8.4896106961464157E-2</v>
      </c>
      <c r="L412" s="31">
        <f t="shared" si="37"/>
        <v>19.009999999999764</v>
      </c>
      <c r="M412" s="30">
        <f t="shared" si="38"/>
        <v>7.2371075934427329E-3</v>
      </c>
      <c r="N412" s="20" t="str">
        <f t="shared" si="41"/>
        <v>Normal</v>
      </c>
      <c r="O412" s="32">
        <f t="shared" si="39"/>
        <v>3674.3139999999999</v>
      </c>
      <c r="P412" s="20">
        <f t="shared" si="40"/>
        <v>4</v>
      </c>
      <c r="Q412" s="20" t="str" cm="1">
        <f t="array" ref="Q412">_xlfn.IFS(P412&lt;=3,"Q1",P412&lt;=6,"Q2",P412&lt;=9,"Q3",P412&lt;=12,"Q4")</f>
        <v>Q2</v>
      </c>
    </row>
    <row r="413" spans="1:17" x14ac:dyDescent="0.25">
      <c r="A413" s="14">
        <v>45775</v>
      </c>
      <c r="B413" s="15" t="s">
        <v>65</v>
      </c>
      <c r="C413" s="15" t="s">
        <v>66</v>
      </c>
      <c r="D413" s="15" t="s">
        <v>67</v>
      </c>
      <c r="E413" s="16">
        <v>216.71</v>
      </c>
      <c r="F413" s="16">
        <v>218.88</v>
      </c>
      <c r="G413" s="16">
        <v>215.9</v>
      </c>
      <c r="H413" s="16">
        <v>218.09</v>
      </c>
      <c r="I413" s="17">
        <v>1769123</v>
      </c>
      <c r="J413" s="16">
        <v>54522500000</v>
      </c>
      <c r="K413" s="30">
        <f t="shared" si="36"/>
        <v>0.63679571777951893</v>
      </c>
      <c r="L413" s="31">
        <f t="shared" si="37"/>
        <v>2.9799999999999898</v>
      </c>
      <c r="M413" s="30">
        <f t="shared" si="38"/>
        <v>1.3751095934659174E-2</v>
      </c>
      <c r="N413" s="20" t="str">
        <f t="shared" si="41"/>
        <v>Normal</v>
      </c>
      <c r="O413" s="32">
        <f t="shared" si="39"/>
        <v>54.522500000000001</v>
      </c>
      <c r="P413" s="20">
        <f t="shared" si="40"/>
        <v>4</v>
      </c>
      <c r="Q413" s="20" t="str" cm="1">
        <f t="array" ref="Q413">_xlfn.IFS(P413&lt;=3,"Q1",P413&lt;=6,"Q2",P413&lt;=9,"Q3",P413&lt;=12,"Q4")</f>
        <v>Q2</v>
      </c>
    </row>
    <row r="414" spans="1:17" x14ac:dyDescent="0.25">
      <c r="A414" s="8">
        <v>45775</v>
      </c>
      <c r="B414" s="9" t="s">
        <v>69</v>
      </c>
      <c r="C414" s="9" t="s">
        <v>70</v>
      </c>
      <c r="D414" s="9" t="s">
        <v>71</v>
      </c>
      <c r="E414" s="10">
        <v>615.59</v>
      </c>
      <c r="F414" s="10">
        <v>619.29</v>
      </c>
      <c r="G414" s="10">
        <v>602.41</v>
      </c>
      <c r="H414" s="10">
        <v>618.29999999999995</v>
      </c>
      <c r="I414" s="11">
        <v>3497356</v>
      </c>
      <c r="J414" s="10">
        <v>494640000000</v>
      </c>
      <c r="K414" s="30">
        <f t="shared" si="36"/>
        <v>0.44022807388032986</v>
      </c>
      <c r="L414" s="31">
        <f t="shared" si="37"/>
        <v>16.879999999999995</v>
      </c>
      <c r="M414" s="30">
        <f t="shared" si="38"/>
        <v>2.7420848291882575E-2</v>
      </c>
      <c r="N414" s="20" t="str">
        <f t="shared" si="41"/>
        <v>High volume</v>
      </c>
      <c r="O414" s="32">
        <f t="shared" si="39"/>
        <v>494.64</v>
      </c>
      <c r="P414" s="20">
        <f t="shared" si="40"/>
        <v>4</v>
      </c>
      <c r="Q414" s="20" t="str" cm="1">
        <f t="array" ref="Q414">_xlfn.IFS(P414&lt;=3,"Q1",P414&lt;=6,"Q2",P414&lt;=9,"Q3",P414&lt;=12,"Q4")</f>
        <v>Q2</v>
      </c>
    </row>
    <row r="415" spans="1:17" x14ac:dyDescent="0.25">
      <c r="A415" s="14">
        <v>45775</v>
      </c>
      <c r="B415" s="15" t="s">
        <v>73</v>
      </c>
      <c r="C415" s="15" t="s">
        <v>74</v>
      </c>
      <c r="D415" s="15" t="s">
        <v>75</v>
      </c>
      <c r="E415" s="16">
        <v>108.06</v>
      </c>
      <c r="F415" s="16">
        <v>108.23</v>
      </c>
      <c r="G415" s="16">
        <v>107.32</v>
      </c>
      <c r="H415" s="16">
        <v>107.7</v>
      </c>
      <c r="I415" s="17">
        <v>1551728</v>
      </c>
      <c r="J415" s="16">
        <v>23694000000</v>
      </c>
      <c r="K415" s="30">
        <f t="shared" si="36"/>
        <v>-0.33314825097168188</v>
      </c>
      <c r="L415" s="31">
        <f t="shared" si="37"/>
        <v>0.9100000000000108</v>
      </c>
      <c r="M415" s="30">
        <f t="shared" si="38"/>
        <v>8.4212474551176274E-3</v>
      </c>
      <c r="N415" s="20" t="str">
        <f t="shared" si="41"/>
        <v>Normal</v>
      </c>
      <c r="O415" s="32">
        <f t="shared" si="39"/>
        <v>23.693999999999999</v>
      </c>
      <c r="P415" s="20">
        <f t="shared" si="40"/>
        <v>4</v>
      </c>
      <c r="Q415" s="20" t="str" cm="1">
        <f t="array" ref="Q415">_xlfn.IFS(P415&lt;=3,"Q1",P415&lt;=6,"Q2",P415&lt;=9,"Q3",P415&lt;=12,"Q4")</f>
        <v>Q2</v>
      </c>
    </row>
    <row r="416" spans="1:17" x14ac:dyDescent="0.25">
      <c r="A416" s="8">
        <v>45775</v>
      </c>
      <c r="B416" s="9" t="s">
        <v>76</v>
      </c>
      <c r="C416" s="9" t="s">
        <v>77</v>
      </c>
      <c r="D416" s="9" t="s">
        <v>75</v>
      </c>
      <c r="E416" s="10">
        <v>127.71</v>
      </c>
      <c r="F416" s="10">
        <v>128.33000000000001</v>
      </c>
      <c r="G416" s="10">
        <v>126.97</v>
      </c>
      <c r="H416" s="10">
        <v>127.28</v>
      </c>
      <c r="I416" s="11">
        <v>1510910</v>
      </c>
      <c r="J416" s="10">
        <v>25456000000</v>
      </c>
      <c r="K416" s="30">
        <f t="shared" si="36"/>
        <v>-0.33670033670033089</v>
      </c>
      <c r="L416" s="31">
        <f t="shared" si="37"/>
        <v>1.3600000000000136</v>
      </c>
      <c r="M416" s="30">
        <f t="shared" si="38"/>
        <v>1.0649126928196802E-2</v>
      </c>
      <c r="N416" s="20" t="str">
        <f t="shared" si="41"/>
        <v>Normal</v>
      </c>
      <c r="O416" s="32">
        <f t="shared" si="39"/>
        <v>25.456</v>
      </c>
      <c r="P416" s="20">
        <f t="shared" si="40"/>
        <v>4</v>
      </c>
      <c r="Q416" s="20" t="str" cm="1">
        <f t="array" ref="Q416">_xlfn.IFS(P416&lt;=3,"Q1",P416&lt;=6,"Q2",P416&lt;=9,"Q3",P416&lt;=12,"Q4")</f>
        <v>Q2</v>
      </c>
    </row>
    <row r="417" spans="1:17" x14ac:dyDescent="0.25">
      <c r="A417" s="14">
        <v>45776</v>
      </c>
      <c r="B417" s="15" t="s">
        <v>60</v>
      </c>
      <c r="C417" s="15" t="s">
        <v>61</v>
      </c>
      <c r="D417" s="15" t="s">
        <v>62</v>
      </c>
      <c r="E417" s="16">
        <v>2618.13</v>
      </c>
      <c r="F417" s="16">
        <v>2634.09</v>
      </c>
      <c r="G417" s="16">
        <v>2574.48</v>
      </c>
      <c r="H417" s="16">
        <v>2608</v>
      </c>
      <c r="I417" s="17">
        <v>3793921</v>
      </c>
      <c r="J417" s="16">
        <v>3651200000000</v>
      </c>
      <c r="K417" s="30">
        <f t="shared" si="36"/>
        <v>-0.38691737996203812</v>
      </c>
      <c r="L417" s="31">
        <f t="shared" si="37"/>
        <v>59.610000000000127</v>
      </c>
      <c r="M417" s="30">
        <f t="shared" si="38"/>
        <v>2.2768158953145996E-2</v>
      </c>
      <c r="N417" s="20" t="str">
        <f t="shared" si="41"/>
        <v>High volume</v>
      </c>
      <c r="O417" s="32">
        <f t="shared" si="39"/>
        <v>3651.2</v>
      </c>
      <c r="P417" s="20">
        <f t="shared" si="40"/>
        <v>4</v>
      </c>
      <c r="Q417" s="20" t="str" cm="1">
        <f t="array" ref="Q417">_xlfn.IFS(P417&lt;=3,"Q1",P417&lt;=6,"Q2",P417&lt;=9,"Q3",P417&lt;=12,"Q4")</f>
        <v>Q2</v>
      </c>
    </row>
    <row r="418" spans="1:17" x14ac:dyDescent="0.25">
      <c r="A418" s="8">
        <v>45776</v>
      </c>
      <c r="B418" s="9" t="s">
        <v>65</v>
      </c>
      <c r="C418" s="9" t="s">
        <v>66</v>
      </c>
      <c r="D418" s="9" t="s">
        <v>67</v>
      </c>
      <c r="E418" s="10">
        <v>216.49</v>
      </c>
      <c r="F418" s="10">
        <v>216.82</v>
      </c>
      <c r="G418" s="10">
        <v>216.44</v>
      </c>
      <c r="H418" s="10">
        <v>216.69</v>
      </c>
      <c r="I418" s="11">
        <v>4073085</v>
      </c>
      <c r="J418" s="10">
        <v>54172500000</v>
      </c>
      <c r="K418" s="30">
        <f t="shared" si="36"/>
        <v>9.2383020000918567E-2</v>
      </c>
      <c r="L418" s="31">
        <f t="shared" si="37"/>
        <v>0.37999999999999545</v>
      </c>
      <c r="M418" s="30">
        <f t="shared" si="38"/>
        <v>1.7552773800175317E-3</v>
      </c>
      <c r="N418" s="20" t="str">
        <f t="shared" si="41"/>
        <v>High volume</v>
      </c>
      <c r="O418" s="32">
        <f t="shared" si="39"/>
        <v>54.172499999999999</v>
      </c>
      <c r="P418" s="20">
        <f t="shared" si="40"/>
        <v>4</v>
      </c>
      <c r="Q418" s="20" t="str" cm="1">
        <f t="array" ref="Q418">_xlfn.IFS(P418&lt;=3,"Q1",P418&lt;=6,"Q2",P418&lt;=9,"Q3",P418&lt;=12,"Q4")</f>
        <v>Q2</v>
      </c>
    </row>
    <row r="419" spans="1:17" x14ac:dyDescent="0.25">
      <c r="A419" s="14">
        <v>45776</v>
      </c>
      <c r="B419" s="15" t="s">
        <v>69</v>
      </c>
      <c r="C419" s="15" t="s">
        <v>70</v>
      </c>
      <c r="D419" s="15" t="s">
        <v>71</v>
      </c>
      <c r="E419" s="16">
        <v>624.66999999999996</v>
      </c>
      <c r="F419" s="16">
        <v>625.92999999999995</v>
      </c>
      <c r="G419" s="16">
        <v>622.87</v>
      </c>
      <c r="H419" s="16">
        <v>625.09</v>
      </c>
      <c r="I419" s="17">
        <v>1897875</v>
      </c>
      <c r="J419" s="16">
        <v>500072000000</v>
      </c>
      <c r="K419" s="30">
        <f t="shared" si="36"/>
        <v>6.7235500344193386E-2</v>
      </c>
      <c r="L419" s="31">
        <f t="shared" si="37"/>
        <v>3.0599999999999454</v>
      </c>
      <c r="M419" s="30">
        <f t="shared" si="38"/>
        <v>4.898586453647439E-3</v>
      </c>
      <c r="N419" s="20" t="str">
        <f t="shared" si="41"/>
        <v>Normal</v>
      </c>
      <c r="O419" s="32">
        <f t="shared" si="39"/>
        <v>500.072</v>
      </c>
      <c r="P419" s="20">
        <f t="shared" si="40"/>
        <v>4</v>
      </c>
      <c r="Q419" s="20" t="str" cm="1">
        <f t="array" ref="Q419">_xlfn.IFS(P419&lt;=3,"Q1",P419&lt;=6,"Q2",P419&lt;=9,"Q3",P419&lt;=12,"Q4")</f>
        <v>Q2</v>
      </c>
    </row>
    <row r="420" spans="1:17" x14ac:dyDescent="0.25">
      <c r="A420" s="8">
        <v>45776</v>
      </c>
      <c r="B420" s="9" t="s">
        <v>73</v>
      </c>
      <c r="C420" s="9" t="s">
        <v>74</v>
      </c>
      <c r="D420" s="9" t="s">
        <v>75</v>
      </c>
      <c r="E420" s="10">
        <v>109.21</v>
      </c>
      <c r="F420" s="10">
        <v>109.48</v>
      </c>
      <c r="G420" s="10">
        <v>109.01</v>
      </c>
      <c r="H420" s="10">
        <v>109.04</v>
      </c>
      <c r="I420" s="11">
        <v>4987977</v>
      </c>
      <c r="J420" s="10">
        <v>23988800000</v>
      </c>
      <c r="K420" s="30">
        <f t="shared" si="36"/>
        <v>-0.15566340078746221</v>
      </c>
      <c r="L420" s="31">
        <f t="shared" si="37"/>
        <v>0.46999999999999886</v>
      </c>
      <c r="M420" s="30">
        <f t="shared" si="38"/>
        <v>4.3036351982419091E-3</v>
      </c>
      <c r="N420" s="20" t="str">
        <f t="shared" si="41"/>
        <v>High volume</v>
      </c>
      <c r="O420" s="32">
        <f t="shared" si="39"/>
        <v>23.988800000000001</v>
      </c>
      <c r="P420" s="20">
        <f t="shared" si="40"/>
        <v>4</v>
      </c>
      <c r="Q420" s="20" t="str" cm="1">
        <f t="array" ref="Q420">_xlfn.IFS(P420&lt;=3,"Q1",P420&lt;=6,"Q2",P420&lt;=9,"Q3",P420&lt;=12,"Q4")</f>
        <v>Q2</v>
      </c>
    </row>
    <row r="421" spans="1:17" x14ac:dyDescent="0.25">
      <c r="A421" s="14">
        <v>45776</v>
      </c>
      <c r="B421" s="15" t="s">
        <v>76</v>
      </c>
      <c r="C421" s="15" t="s">
        <v>77</v>
      </c>
      <c r="D421" s="15" t="s">
        <v>75</v>
      </c>
      <c r="E421" s="16">
        <v>126.97</v>
      </c>
      <c r="F421" s="16">
        <v>127.11</v>
      </c>
      <c r="G421" s="16">
        <v>126.29</v>
      </c>
      <c r="H421" s="16">
        <v>127.03</v>
      </c>
      <c r="I421" s="17">
        <v>2843325</v>
      </c>
      <c r="J421" s="16">
        <v>25406000000</v>
      </c>
      <c r="K421" s="30">
        <f t="shared" si="36"/>
        <v>4.7255257147359439E-2</v>
      </c>
      <c r="L421" s="31">
        <f t="shared" si="37"/>
        <v>0.81999999999999318</v>
      </c>
      <c r="M421" s="30">
        <f t="shared" si="38"/>
        <v>6.4582184768054909E-3</v>
      </c>
      <c r="N421" s="20" t="str">
        <f t="shared" si="41"/>
        <v>High volume</v>
      </c>
      <c r="O421" s="32">
        <f t="shared" si="39"/>
        <v>25.405999999999999</v>
      </c>
      <c r="P421" s="20">
        <f t="shared" si="40"/>
        <v>4</v>
      </c>
      <c r="Q421" s="20" t="str" cm="1">
        <f t="array" ref="Q421">_xlfn.IFS(P421&lt;=3,"Q1",P421&lt;=6,"Q2",P421&lt;=9,"Q3",P421&lt;=12,"Q4")</f>
        <v>Q2</v>
      </c>
    </row>
    <row r="422" spans="1:17" x14ac:dyDescent="0.25">
      <c r="A422" s="8">
        <v>45777</v>
      </c>
      <c r="B422" s="9" t="s">
        <v>60</v>
      </c>
      <c r="C422" s="9" t="s">
        <v>61</v>
      </c>
      <c r="D422" s="9" t="s">
        <v>62</v>
      </c>
      <c r="E422" s="10">
        <v>2615.15</v>
      </c>
      <c r="F422" s="10">
        <v>2616.13</v>
      </c>
      <c r="G422" s="10">
        <v>2565.75</v>
      </c>
      <c r="H422" s="10">
        <v>2571.66</v>
      </c>
      <c r="I422" s="11">
        <v>4317479</v>
      </c>
      <c r="J422" s="10">
        <v>3600324000000</v>
      </c>
      <c r="K422" s="30">
        <f t="shared" si="36"/>
        <v>-1.6630021222492106</v>
      </c>
      <c r="L422" s="31">
        <f t="shared" si="37"/>
        <v>50.380000000000109</v>
      </c>
      <c r="M422" s="30">
        <f t="shared" si="38"/>
        <v>1.926466933063117E-2</v>
      </c>
      <c r="N422" s="20" t="str">
        <f t="shared" si="41"/>
        <v>High volume</v>
      </c>
      <c r="O422" s="32">
        <f t="shared" si="39"/>
        <v>3600.3240000000001</v>
      </c>
      <c r="P422" s="20">
        <f t="shared" si="40"/>
        <v>4</v>
      </c>
      <c r="Q422" s="20" t="str" cm="1">
        <f t="array" ref="Q422">_xlfn.IFS(P422&lt;=3,"Q1",P422&lt;=6,"Q2",P422&lt;=9,"Q3",P422&lt;=12,"Q4")</f>
        <v>Q2</v>
      </c>
    </row>
    <row r="423" spans="1:17" x14ac:dyDescent="0.25">
      <c r="A423" s="14">
        <v>45777</v>
      </c>
      <c r="B423" s="15" t="s">
        <v>65</v>
      </c>
      <c r="C423" s="15" t="s">
        <v>66</v>
      </c>
      <c r="D423" s="15" t="s">
        <v>67</v>
      </c>
      <c r="E423" s="16">
        <v>213.53</v>
      </c>
      <c r="F423" s="16">
        <v>215.79</v>
      </c>
      <c r="G423" s="16">
        <v>212.18</v>
      </c>
      <c r="H423" s="16">
        <v>214.72</v>
      </c>
      <c r="I423" s="17">
        <v>3627190</v>
      </c>
      <c r="J423" s="16">
        <v>53680000000</v>
      </c>
      <c r="K423" s="30">
        <f t="shared" si="36"/>
        <v>0.55729874022385506</v>
      </c>
      <c r="L423" s="31">
        <f t="shared" si="37"/>
        <v>3.6099999999999852</v>
      </c>
      <c r="M423" s="30">
        <f t="shared" si="38"/>
        <v>1.6906289514353887E-2</v>
      </c>
      <c r="N423" s="20" t="str">
        <f t="shared" si="41"/>
        <v>High volume</v>
      </c>
      <c r="O423" s="32">
        <f t="shared" si="39"/>
        <v>53.68</v>
      </c>
      <c r="P423" s="20">
        <f t="shared" si="40"/>
        <v>4</v>
      </c>
      <c r="Q423" s="20" t="str" cm="1">
        <f t="array" ref="Q423">_xlfn.IFS(P423&lt;=3,"Q1",P423&lt;=6,"Q2",P423&lt;=9,"Q3",P423&lt;=12,"Q4")</f>
        <v>Q2</v>
      </c>
    </row>
    <row r="424" spans="1:17" x14ac:dyDescent="0.25">
      <c r="A424" s="8">
        <v>45777</v>
      </c>
      <c r="B424" s="9" t="s">
        <v>69</v>
      </c>
      <c r="C424" s="9" t="s">
        <v>70</v>
      </c>
      <c r="D424" s="9" t="s">
        <v>71</v>
      </c>
      <c r="E424" s="10">
        <v>635.45000000000005</v>
      </c>
      <c r="F424" s="10">
        <v>638.73</v>
      </c>
      <c r="G424" s="10">
        <v>634.66</v>
      </c>
      <c r="H424" s="10">
        <v>636.83000000000004</v>
      </c>
      <c r="I424" s="11">
        <v>3313687</v>
      </c>
      <c r="J424" s="10">
        <v>509464000000</v>
      </c>
      <c r="K424" s="30">
        <f t="shared" si="36"/>
        <v>0.21716893540010943</v>
      </c>
      <c r="L424" s="31">
        <f t="shared" si="37"/>
        <v>4.07000000000005</v>
      </c>
      <c r="M424" s="30">
        <f t="shared" si="38"/>
        <v>6.404909906365646E-3</v>
      </c>
      <c r="N424" s="20" t="str">
        <f t="shared" si="41"/>
        <v>High volume</v>
      </c>
      <c r="O424" s="32">
        <f t="shared" si="39"/>
        <v>509.464</v>
      </c>
      <c r="P424" s="20">
        <f t="shared" si="40"/>
        <v>4</v>
      </c>
      <c r="Q424" s="20" t="str" cm="1">
        <f t="array" ref="Q424">_xlfn.IFS(P424&lt;=3,"Q1",P424&lt;=6,"Q2",P424&lt;=9,"Q3",P424&lt;=12,"Q4")</f>
        <v>Q2</v>
      </c>
    </row>
    <row r="425" spans="1:17" x14ac:dyDescent="0.25">
      <c r="A425" s="14">
        <v>45777</v>
      </c>
      <c r="B425" s="15" t="s">
        <v>73</v>
      </c>
      <c r="C425" s="15" t="s">
        <v>74</v>
      </c>
      <c r="D425" s="15" t="s">
        <v>75</v>
      </c>
      <c r="E425" s="16">
        <v>107.48</v>
      </c>
      <c r="F425" s="16">
        <v>107.77</v>
      </c>
      <c r="G425" s="16">
        <v>106.72</v>
      </c>
      <c r="H425" s="16">
        <v>107.65</v>
      </c>
      <c r="I425" s="17">
        <v>4209125</v>
      </c>
      <c r="J425" s="16">
        <v>23683000000</v>
      </c>
      <c r="K425" s="30">
        <f t="shared" si="36"/>
        <v>0.1581689616672885</v>
      </c>
      <c r="L425" s="31">
        <f t="shared" si="37"/>
        <v>1.0499999999999972</v>
      </c>
      <c r="M425" s="30">
        <f t="shared" si="38"/>
        <v>9.7692593970971076E-3</v>
      </c>
      <c r="N425" s="20" t="str">
        <f t="shared" si="41"/>
        <v>High volume</v>
      </c>
      <c r="O425" s="32">
        <f t="shared" si="39"/>
        <v>23.683</v>
      </c>
      <c r="P425" s="20">
        <f t="shared" si="40"/>
        <v>4</v>
      </c>
      <c r="Q425" s="20" t="str" cm="1">
        <f t="array" ref="Q425">_xlfn.IFS(P425&lt;=3,"Q1",P425&lt;=6,"Q2",P425&lt;=9,"Q3",P425&lt;=12,"Q4")</f>
        <v>Q2</v>
      </c>
    </row>
    <row r="426" spans="1:17" x14ac:dyDescent="0.25">
      <c r="A426" s="8">
        <v>45777</v>
      </c>
      <c r="B426" s="9" t="s">
        <v>76</v>
      </c>
      <c r="C426" s="9" t="s">
        <v>77</v>
      </c>
      <c r="D426" s="9" t="s">
        <v>75</v>
      </c>
      <c r="E426" s="10">
        <v>131.43</v>
      </c>
      <c r="F426" s="10">
        <v>133.15</v>
      </c>
      <c r="G426" s="10">
        <v>129.44999999999999</v>
      </c>
      <c r="H426" s="10">
        <v>132.83000000000001</v>
      </c>
      <c r="I426" s="11">
        <v>3409698</v>
      </c>
      <c r="J426" s="10">
        <v>26566000000</v>
      </c>
      <c r="K426" s="30">
        <f t="shared" si="36"/>
        <v>1.0652058129802979</v>
      </c>
      <c r="L426" s="31">
        <f t="shared" si="37"/>
        <v>3.7000000000000171</v>
      </c>
      <c r="M426" s="30">
        <f t="shared" si="38"/>
        <v>2.8151867914479319E-2</v>
      </c>
      <c r="N426" s="20" t="str">
        <f t="shared" si="41"/>
        <v>High volume</v>
      </c>
      <c r="O426" s="32">
        <f t="shared" si="39"/>
        <v>26.565999999999999</v>
      </c>
      <c r="P426" s="20">
        <f t="shared" si="40"/>
        <v>4</v>
      </c>
      <c r="Q426" s="20" t="str" cm="1">
        <f t="array" ref="Q426">_xlfn.IFS(P426&lt;=3,"Q1",P426&lt;=6,"Q2",P426&lt;=9,"Q3",P426&lt;=12,"Q4")</f>
        <v>Q2</v>
      </c>
    </row>
    <row r="427" spans="1:17" x14ac:dyDescent="0.25">
      <c r="A427" s="14">
        <v>45778</v>
      </c>
      <c r="B427" s="15" t="s">
        <v>60</v>
      </c>
      <c r="C427" s="15" t="s">
        <v>61</v>
      </c>
      <c r="D427" s="15" t="s">
        <v>62</v>
      </c>
      <c r="E427" s="16">
        <v>2586.2399999999998</v>
      </c>
      <c r="F427" s="16">
        <v>2588.6799999999998</v>
      </c>
      <c r="G427" s="16">
        <v>2580.4</v>
      </c>
      <c r="H427" s="16">
        <v>2587.5500000000002</v>
      </c>
      <c r="I427" s="17">
        <v>1524088</v>
      </c>
      <c r="J427" s="16">
        <v>3622570000000</v>
      </c>
      <c r="K427" s="30">
        <f t="shared" si="36"/>
        <v>5.065268497898108E-2</v>
      </c>
      <c r="L427" s="31">
        <f t="shared" si="37"/>
        <v>8.2799999999997453</v>
      </c>
      <c r="M427" s="30">
        <f t="shared" si="38"/>
        <v>3.2015590200444454E-3</v>
      </c>
      <c r="N427" s="20" t="str">
        <f t="shared" si="41"/>
        <v>Normal</v>
      </c>
      <c r="O427" s="32">
        <f t="shared" si="39"/>
        <v>3622.57</v>
      </c>
      <c r="P427" s="20">
        <f t="shared" si="40"/>
        <v>5</v>
      </c>
      <c r="Q427" s="20" t="str" cm="1">
        <f t="array" ref="Q427">_xlfn.IFS(P427&lt;=3,"Q1",P427&lt;=6,"Q2",P427&lt;=9,"Q3",P427&lt;=12,"Q4")</f>
        <v>Q2</v>
      </c>
    </row>
    <row r="428" spans="1:17" x14ac:dyDescent="0.25">
      <c r="A428" s="8">
        <v>45778</v>
      </c>
      <c r="B428" s="9" t="s">
        <v>65</v>
      </c>
      <c r="C428" s="9" t="s">
        <v>66</v>
      </c>
      <c r="D428" s="9" t="s">
        <v>67</v>
      </c>
      <c r="E428" s="10">
        <v>218.83</v>
      </c>
      <c r="F428" s="10">
        <v>219.06</v>
      </c>
      <c r="G428" s="10">
        <v>216.42</v>
      </c>
      <c r="H428" s="10">
        <v>217.2</v>
      </c>
      <c r="I428" s="11">
        <v>1945775</v>
      </c>
      <c r="J428" s="10">
        <v>54300000000</v>
      </c>
      <c r="K428" s="30">
        <f t="shared" si="36"/>
        <v>-0.74487044737925501</v>
      </c>
      <c r="L428" s="31">
        <f t="shared" si="37"/>
        <v>2.6400000000000148</v>
      </c>
      <c r="M428" s="30">
        <f t="shared" si="38"/>
        <v>1.2064159393136291E-2</v>
      </c>
      <c r="N428" s="20" t="str">
        <f t="shared" si="41"/>
        <v>Normal</v>
      </c>
      <c r="O428" s="32">
        <f t="shared" si="39"/>
        <v>54.3</v>
      </c>
      <c r="P428" s="20">
        <f t="shared" si="40"/>
        <v>5</v>
      </c>
      <c r="Q428" s="20" t="str" cm="1">
        <f t="array" ref="Q428">_xlfn.IFS(P428&lt;=3,"Q1",P428&lt;=6,"Q2",P428&lt;=9,"Q3",P428&lt;=12,"Q4")</f>
        <v>Q2</v>
      </c>
    </row>
    <row r="429" spans="1:17" x14ac:dyDescent="0.25">
      <c r="A429" s="14">
        <v>45778</v>
      </c>
      <c r="B429" s="15" t="s">
        <v>69</v>
      </c>
      <c r="C429" s="15" t="s">
        <v>70</v>
      </c>
      <c r="D429" s="15" t="s">
        <v>71</v>
      </c>
      <c r="E429" s="16">
        <v>629.28</v>
      </c>
      <c r="F429" s="16">
        <v>631.65</v>
      </c>
      <c r="G429" s="16">
        <v>624.97</v>
      </c>
      <c r="H429" s="16">
        <v>630.54</v>
      </c>
      <c r="I429" s="17">
        <v>4488444</v>
      </c>
      <c r="J429" s="16">
        <v>504432000000</v>
      </c>
      <c r="K429" s="30">
        <f t="shared" si="36"/>
        <v>0.20022883295194366</v>
      </c>
      <c r="L429" s="31">
        <f t="shared" si="37"/>
        <v>6.67999999999995</v>
      </c>
      <c r="M429" s="30">
        <f t="shared" si="38"/>
        <v>1.0615306381896691E-2</v>
      </c>
      <c r="N429" s="20" t="str">
        <f t="shared" si="41"/>
        <v>High volume</v>
      </c>
      <c r="O429" s="32">
        <f t="shared" si="39"/>
        <v>504.43200000000002</v>
      </c>
      <c r="P429" s="20">
        <f t="shared" si="40"/>
        <v>5</v>
      </c>
      <c r="Q429" s="20" t="str" cm="1">
        <f t="array" ref="Q429">_xlfn.IFS(P429&lt;=3,"Q1",P429&lt;=6,"Q2",P429&lt;=9,"Q3",P429&lt;=12,"Q4")</f>
        <v>Q2</v>
      </c>
    </row>
    <row r="430" spans="1:17" x14ac:dyDescent="0.25">
      <c r="A430" s="8">
        <v>45778</v>
      </c>
      <c r="B430" s="9" t="s">
        <v>73</v>
      </c>
      <c r="C430" s="9" t="s">
        <v>74</v>
      </c>
      <c r="D430" s="9" t="s">
        <v>75</v>
      </c>
      <c r="E430" s="10">
        <v>104</v>
      </c>
      <c r="F430" s="10">
        <v>104.62</v>
      </c>
      <c r="G430" s="10">
        <v>103.26</v>
      </c>
      <c r="H430" s="10">
        <v>103.92</v>
      </c>
      <c r="I430" s="11">
        <v>4415414</v>
      </c>
      <c r="J430" s="10">
        <v>22862400000</v>
      </c>
      <c r="K430" s="30">
        <f t="shared" si="36"/>
        <v>-7.692307692307529E-2</v>
      </c>
      <c r="L430" s="31">
        <f t="shared" si="37"/>
        <v>1.3599999999999994</v>
      </c>
      <c r="M430" s="30">
        <f t="shared" si="38"/>
        <v>1.3076923076923071E-2</v>
      </c>
      <c r="N430" s="20" t="str">
        <f t="shared" si="41"/>
        <v>High volume</v>
      </c>
      <c r="O430" s="32">
        <f t="shared" si="39"/>
        <v>22.862400000000001</v>
      </c>
      <c r="P430" s="20">
        <f t="shared" si="40"/>
        <v>5</v>
      </c>
      <c r="Q430" s="20" t="str" cm="1">
        <f t="array" ref="Q430">_xlfn.IFS(P430&lt;=3,"Q1",P430&lt;=6,"Q2",P430&lt;=9,"Q3",P430&lt;=12,"Q4")</f>
        <v>Q2</v>
      </c>
    </row>
    <row r="431" spans="1:17" x14ac:dyDescent="0.25">
      <c r="A431" s="14">
        <v>45778</v>
      </c>
      <c r="B431" s="15" t="s">
        <v>76</v>
      </c>
      <c r="C431" s="15" t="s">
        <v>77</v>
      </c>
      <c r="D431" s="15" t="s">
        <v>75</v>
      </c>
      <c r="E431" s="16">
        <v>135.74</v>
      </c>
      <c r="F431" s="16">
        <v>137.44999999999999</v>
      </c>
      <c r="G431" s="16">
        <v>135.31</v>
      </c>
      <c r="H431" s="16">
        <v>136.06</v>
      </c>
      <c r="I431" s="17">
        <v>1474057</v>
      </c>
      <c r="J431" s="16">
        <v>27212000000</v>
      </c>
      <c r="K431" s="30">
        <f t="shared" si="36"/>
        <v>0.23574480624723232</v>
      </c>
      <c r="L431" s="31">
        <f t="shared" si="37"/>
        <v>2.1399999999999864</v>
      </c>
      <c r="M431" s="30">
        <f t="shared" si="38"/>
        <v>1.5765433917783896E-2</v>
      </c>
      <c r="N431" s="20" t="str">
        <f t="shared" si="41"/>
        <v>Normal</v>
      </c>
      <c r="O431" s="32">
        <f t="shared" si="39"/>
        <v>27.212</v>
      </c>
      <c r="P431" s="20">
        <f t="shared" si="40"/>
        <v>5</v>
      </c>
      <c r="Q431" s="20" t="str" cm="1">
        <f t="array" ref="Q431">_xlfn.IFS(P431&lt;=3,"Q1",P431&lt;=6,"Q2",P431&lt;=9,"Q3",P431&lt;=12,"Q4")</f>
        <v>Q2</v>
      </c>
    </row>
    <row r="432" spans="1:17" x14ac:dyDescent="0.25">
      <c r="A432" s="8">
        <v>45779</v>
      </c>
      <c r="B432" s="9" t="s">
        <v>60</v>
      </c>
      <c r="C432" s="9" t="s">
        <v>61</v>
      </c>
      <c r="D432" s="9" t="s">
        <v>62</v>
      </c>
      <c r="E432" s="10">
        <v>2579.7399999999998</v>
      </c>
      <c r="F432" s="10">
        <v>2603.2199999999998</v>
      </c>
      <c r="G432" s="10">
        <v>2557.38</v>
      </c>
      <c r="H432" s="10">
        <v>2586.8000000000002</v>
      </c>
      <c r="I432" s="11">
        <v>792680</v>
      </c>
      <c r="J432" s="10">
        <v>3621520000000</v>
      </c>
      <c r="K432" s="30">
        <f t="shared" si="36"/>
        <v>0.27367099009979301</v>
      </c>
      <c r="L432" s="31">
        <f t="shared" si="37"/>
        <v>45.839999999999691</v>
      </c>
      <c r="M432" s="30">
        <f t="shared" si="38"/>
        <v>1.7769232558319713E-2</v>
      </c>
      <c r="N432" s="20" t="str">
        <f t="shared" si="41"/>
        <v>Normal</v>
      </c>
      <c r="O432" s="32">
        <f t="shared" si="39"/>
        <v>3621.52</v>
      </c>
      <c r="P432" s="20">
        <f t="shared" si="40"/>
        <v>5</v>
      </c>
      <c r="Q432" s="20" t="str" cm="1">
        <f t="array" ref="Q432">_xlfn.IFS(P432&lt;=3,"Q1",P432&lt;=6,"Q2",P432&lt;=9,"Q3",P432&lt;=12,"Q4")</f>
        <v>Q2</v>
      </c>
    </row>
    <row r="433" spans="1:17" x14ac:dyDescent="0.25">
      <c r="A433" s="14">
        <v>45779</v>
      </c>
      <c r="B433" s="15" t="s">
        <v>65</v>
      </c>
      <c r="C433" s="15" t="s">
        <v>66</v>
      </c>
      <c r="D433" s="15" t="s">
        <v>67</v>
      </c>
      <c r="E433" s="16">
        <v>215.21</v>
      </c>
      <c r="F433" s="16">
        <v>218.46</v>
      </c>
      <c r="G433" s="16">
        <v>214.72</v>
      </c>
      <c r="H433" s="16">
        <v>215</v>
      </c>
      <c r="I433" s="17">
        <v>706968</v>
      </c>
      <c r="J433" s="16">
        <v>53750000000</v>
      </c>
      <c r="K433" s="30">
        <f t="shared" si="36"/>
        <v>-9.7579108777476858E-2</v>
      </c>
      <c r="L433" s="31">
        <f t="shared" si="37"/>
        <v>3.7400000000000091</v>
      </c>
      <c r="M433" s="30">
        <f t="shared" si="38"/>
        <v>1.7378374610845262E-2</v>
      </c>
      <c r="N433" s="20" t="str">
        <f t="shared" si="41"/>
        <v>Normal</v>
      </c>
      <c r="O433" s="32">
        <f t="shared" si="39"/>
        <v>53.75</v>
      </c>
      <c r="P433" s="20">
        <f t="shared" si="40"/>
        <v>5</v>
      </c>
      <c r="Q433" s="20" t="str" cm="1">
        <f t="array" ref="Q433">_xlfn.IFS(P433&lt;=3,"Q1",P433&lt;=6,"Q2",P433&lt;=9,"Q3",P433&lt;=12,"Q4")</f>
        <v>Q2</v>
      </c>
    </row>
    <row r="434" spans="1:17" x14ac:dyDescent="0.25">
      <c r="A434" s="8">
        <v>45779</v>
      </c>
      <c r="B434" s="9" t="s">
        <v>69</v>
      </c>
      <c r="C434" s="9" t="s">
        <v>70</v>
      </c>
      <c r="D434" s="9" t="s">
        <v>71</v>
      </c>
      <c r="E434" s="10">
        <v>631.54</v>
      </c>
      <c r="F434" s="10">
        <v>636.73</v>
      </c>
      <c r="G434" s="10">
        <v>629.53</v>
      </c>
      <c r="H434" s="10">
        <v>634.62</v>
      </c>
      <c r="I434" s="11">
        <v>376684</v>
      </c>
      <c r="J434" s="10">
        <v>507696000000</v>
      </c>
      <c r="K434" s="30">
        <f t="shared" si="36"/>
        <v>0.48769674129905327</v>
      </c>
      <c r="L434" s="31">
        <f t="shared" si="37"/>
        <v>7.2000000000000455</v>
      </c>
      <c r="M434" s="30">
        <f t="shared" si="38"/>
        <v>1.1400703043354414E-2</v>
      </c>
      <c r="N434" s="20" t="str">
        <f t="shared" si="41"/>
        <v>Normal</v>
      </c>
      <c r="O434" s="32">
        <f t="shared" si="39"/>
        <v>507.69600000000003</v>
      </c>
      <c r="P434" s="20">
        <f t="shared" si="40"/>
        <v>5</v>
      </c>
      <c r="Q434" s="20" t="str" cm="1">
        <f t="array" ref="Q434">_xlfn.IFS(P434&lt;=3,"Q1",P434&lt;=6,"Q2",P434&lt;=9,"Q3",P434&lt;=12,"Q4")</f>
        <v>Q2</v>
      </c>
    </row>
    <row r="435" spans="1:17" x14ac:dyDescent="0.25">
      <c r="A435" s="14">
        <v>45779</v>
      </c>
      <c r="B435" s="15" t="s">
        <v>73</v>
      </c>
      <c r="C435" s="15" t="s">
        <v>74</v>
      </c>
      <c r="D435" s="15" t="s">
        <v>75</v>
      </c>
      <c r="E435" s="16">
        <v>103</v>
      </c>
      <c r="F435" s="16">
        <v>103.18</v>
      </c>
      <c r="G435" s="16">
        <v>102.11</v>
      </c>
      <c r="H435" s="16">
        <v>102.17</v>
      </c>
      <c r="I435" s="17">
        <v>4353410</v>
      </c>
      <c r="J435" s="16">
        <v>22477400000</v>
      </c>
      <c r="K435" s="30">
        <f t="shared" si="36"/>
        <v>-0.80582524271844491</v>
      </c>
      <c r="L435" s="31">
        <f t="shared" si="37"/>
        <v>1.0700000000000074</v>
      </c>
      <c r="M435" s="30">
        <f t="shared" si="38"/>
        <v>1.0388349514563178E-2</v>
      </c>
      <c r="N435" s="20" t="str">
        <f t="shared" si="41"/>
        <v>High volume</v>
      </c>
      <c r="O435" s="32">
        <f t="shared" si="39"/>
        <v>22.477399999999999</v>
      </c>
      <c r="P435" s="20">
        <f t="shared" si="40"/>
        <v>5</v>
      </c>
      <c r="Q435" s="20" t="str" cm="1">
        <f t="array" ref="Q435">_xlfn.IFS(P435&lt;=3,"Q1",P435&lt;=6,"Q2",P435&lt;=9,"Q3",P435&lt;=12,"Q4")</f>
        <v>Q2</v>
      </c>
    </row>
    <row r="436" spans="1:17" x14ac:dyDescent="0.25">
      <c r="A436" s="8">
        <v>45779</v>
      </c>
      <c r="B436" s="9" t="s">
        <v>76</v>
      </c>
      <c r="C436" s="9" t="s">
        <v>77</v>
      </c>
      <c r="D436" s="9" t="s">
        <v>75</v>
      </c>
      <c r="E436" s="10">
        <v>135.88999999999999</v>
      </c>
      <c r="F436" s="10">
        <v>136.05000000000001</v>
      </c>
      <c r="G436" s="10">
        <v>134.79</v>
      </c>
      <c r="H436" s="10">
        <v>134.81</v>
      </c>
      <c r="I436" s="11">
        <v>2604692</v>
      </c>
      <c r="J436" s="10">
        <v>26962000000</v>
      </c>
      <c r="K436" s="30">
        <f t="shared" si="36"/>
        <v>-0.7947604680255973</v>
      </c>
      <c r="L436" s="31">
        <f t="shared" si="37"/>
        <v>1.2600000000000193</v>
      </c>
      <c r="M436" s="30">
        <f t="shared" si="38"/>
        <v>9.2722054602989139E-3</v>
      </c>
      <c r="N436" s="20" t="str">
        <f t="shared" si="41"/>
        <v>High volume</v>
      </c>
      <c r="O436" s="32">
        <f t="shared" si="39"/>
        <v>26.962</v>
      </c>
      <c r="P436" s="20">
        <f t="shared" si="40"/>
        <v>5</v>
      </c>
      <c r="Q436" s="20" t="str" cm="1">
        <f t="array" ref="Q436">_xlfn.IFS(P436&lt;=3,"Q1",P436&lt;=6,"Q2",P436&lt;=9,"Q3",P436&lt;=12,"Q4")</f>
        <v>Q2</v>
      </c>
    </row>
    <row r="437" spans="1:17" x14ac:dyDescent="0.25">
      <c r="A437" s="14">
        <v>45782</v>
      </c>
      <c r="B437" s="15" t="s">
        <v>60</v>
      </c>
      <c r="C437" s="15" t="s">
        <v>61</v>
      </c>
      <c r="D437" s="15" t="s">
        <v>62</v>
      </c>
      <c r="E437" s="16">
        <v>2579.29</v>
      </c>
      <c r="F437" s="16">
        <v>2595.83</v>
      </c>
      <c r="G437" s="16">
        <v>2575.5100000000002</v>
      </c>
      <c r="H437" s="16">
        <v>2585.7199999999998</v>
      </c>
      <c r="I437" s="17">
        <v>3911909</v>
      </c>
      <c r="J437" s="16">
        <v>3620008000000</v>
      </c>
      <c r="K437" s="30">
        <f t="shared" si="36"/>
        <v>0.249293410202026</v>
      </c>
      <c r="L437" s="31">
        <f t="shared" si="37"/>
        <v>20.319999999999709</v>
      </c>
      <c r="M437" s="30">
        <f t="shared" si="38"/>
        <v>7.8781370066955281E-3</v>
      </c>
      <c r="N437" s="20" t="str">
        <f t="shared" si="41"/>
        <v>High volume</v>
      </c>
      <c r="O437" s="32">
        <f t="shared" si="39"/>
        <v>3620.0079999999998</v>
      </c>
      <c r="P437" s="20">
        <f t="shared" si="40"/>
        <v>5</v>
      </c>
      <c r="Q437" s="20" t="str" cm="1">
        <f t="array" ref="Q437">_xlfn.IFS(P437&lt;=3,"Q1",P437&lt;=6,"Q2",P437&lt;=9,"Q3",P437&lt;=12,"Q4")</f>
        <v>Q2</v>
      </c>
    </row>
    <row r="438" spans="1:17" x14ac:dyDescent="0.25">
      <c r="A438" s="8">
        <v>45782</v>
      </c>
      <c r="B438" s="9" t="s">
        <v>65</v>
      </c>
      <c r="C438" s="9" t="s">
        <v>66</v>
      </c>
      <c r="D438" s="9" t="s">
        <v>67</v>
      </c>
      <c r="E438" s="10">
        <v>217.49</v>
      </c>
      <c r="F438" s="10">
        <v>221.07</v>
      </c>
      <c r="G438" s="10">
        <v>216.88</v>
      </c>
      <c r="H438" s="10">
        <v>217.5</v>
      </c>
      <c r="I438" s="11">
        <v>1910042</v>
      </c>
      <c r="J438" s="10">
        <v>54375000000</v>
      </c>
      <c r="K438" s="30">
        <f t="shared" si="36"/>
        <v>4.5979125476991603E-3</v>
      </c>
      <c r="L438" s="31">
        <f t="shared" si="37"/>
        <v>4.1899999999999977</v>
      </c>
      <c r="M438" s="30">
        <f t="shared" si="38"/>
        <v>1.9265253574876996E-2</v>
      </c>
      <c r="N438" s="20" t="str">
        <f t="shared" si="41"/>
        <v>Normal</v>
      </c>
      <c r="O438" s="32">
        <f t="shared" si="39"/>
        <v>54.375</v>
      </c>
      <c r="P438" s="20">
        <f t="shared" si="40"/>
        <v>5</v>
      </c>
      <c r="Q438" s="20" t="str" cm="1">
        <f t="array" ref="Q438">_xlfn.IFS(P438&lt;=3,"Q1",P438&lt;=6,"Q2",P438&lt;=9,"Q3",P438&lt;=12,"Q4")</f>
        <v>Q2</v>
      </c>
    </row>
    <row r="439" spans="1:17" x14ac:dyDescent="0.25">
      <c r="A439" s="14">
        <v>45782</v>
      </c>
      <c r="B439" s="15" t="s">
        <v>69</v>
      </c>
      <c r="C439" s="15" t="s">
        <v>70</v>
      </c>
      <c r="D439" s="15" t="s">
        <v>71</v>
      </c>
      <c r="E439" s="16">
        <v>637.41999999999996</v>
      </c>
      <c r="F439" s="16">
        <v>640.26</v>
      </c>
      <c r="G439" s="16">
        <v>634.76</v>
      </c>
      <c r="H439" s="16">
        <v>636.71</v>
      </c>
      <c r="I439" s="17">
        <v>3629408</v>
      </c>
      <c r="J439" s="16">
        <v>509368000000</v>
      </c>
      <c r="K439" s="30">
        <f t="shared" si="36"/>
        <v>-0.11138652693670151</v>
      </c>
      <c r="L439" s="31">
        <f t="shared" si="37"/>
        <v>5.5</v>
      </c>
      <c r="M439" s="30">
        <f t="shared" si="38"/>
        <v>8.6285337767876766E-3</v>
      </c>
      <c r="N439" s="20" t="str">
        <f t="shared" si="41"/>
        <v>High volume</v>
      </c>
      <c r="O439" s="32">
        <f t="shared" si="39"/>
        <v>509.36799999999999</v>
      </c>
      <c r="P439" s="20">
        <f t="shared" si="40"/>
        <v>5</v>
      </c>
      <c r="Q439" s="20" t="str" cm="1">
        <f t="array" ref="Q439">_xlfn.IFS(P439&lt;=3,"Q1",P439&lt;=6,"Q2",P439&lt;=9,"Q3",P439&lt;=12,"Q4")</f>
        <v>Q2</v>
      </c>
    </row>
    <row r="440" spans="1:17" x14ac:dyDescent="0.25">
      <c r="A440" s="8">
        <v>45782</v>
      </c>
      <c r="B440" s="9" t="s">
        <v>73</v>
      </c>
      <c r="C440" s="9" t="s">
        <v>74</v>
      </c>
      <c r="D440" s="9" t="s">
        <v>75</v>
      </c>
      <c r="E440" s="10">
        <v>105.6</v>
      </c>
      <c r="F440" s="10">
        <v>106.62</v>
      </c>
      <c r="G440" s="10">
        <v>104.99</v>
      </c>
      <c r="H440" s="10">
        <v>106.13</v>
      </c>
      <c r="I440" s="11">
        <v>2816369</v>
      </c>
      <c r="J440" s="10">
        <v>23348600000</v>
      </c>
      <c r="K440" s="30">
        <f t="shared" si="36"/>
        <v>0.50189393939394045</v>
      </c>
      <c r="L440" s="31">
        <f t="shared" si="37"/>
        <v>1.6300000000000097</v>
      </c>
      <c r="M440" s="30">
        <f t="shared" si="38"/>
        <v>1.5435606060606153E-2</v>
      </c>
      <c r="N440" s="20" t="str">
        <f t="shared" si="41"/>
        <v>High volume</v>
      </c>
      <c r="O440" s="32">
        <f t="shared" si="39"/>
        <v>23.348600000000001</v>
      </c>
      <c r="P440" s="20">
        <f t="shared" si="40"/>
        <v>5</v>
      </c>
      <c r="Q440" s="20" t="str" cm="1">
        <f t="array" ref="Q440">_xlfn.IFS(P440&lt;=3,"Q1",P440&lt;=6,"Q2",P440&lt;=9,"Q3",P440&lt;=12,"Q4")</f>
        <v>Q2</v>
      </c>
    </row>
    <row r="441" spans="1:17" x14ac:dyDescent="0.25">
      <c r="A441" s="14">
        <v>45782</v>
      </c>
      <c r="B441" s="15" t="s">
        <v>76</v>
      </c>
      <c r="C441" s="15" t="s">
        <v>77</v>
      </c>
      <c r="D441" s="15" t="s">
        <v>75</v>
      </c>
      <c r="E441" s="16">
        <v>135.22</v>
      </c>
      <c r="F441" s="16">
        <v>136.07</v>
      </c>
      <c r="G441" s="16">
        <v>133.30000000000001</v>
      </c>
      <c r="H441" s="16">
        <v>135.11000000000001</v>
      </c>
      <c r="I441" s="17">
        <v>565788</v>
      </c>
      <c r="J441" s="16">
        <v>27022000000</v>
      </c>
      <c r="K441" s="30">
        <f t="shared" si="36"/>
        <v>-8.1348912882698729E-2</v>
      </c>
      <c r="L441" s="31">
        <f t="shared" si="37"/>
        <v>2.7699999999999818</v>
      </c>
      <c r="M441" s="30">
        <f t="shared" si="38"/>
        <v>2.048513533500948E-2</v>
      </c>
      <c r="N441" s="20" t="str">
        <f t="shared" si="41"/>
        <v>Normal</v>
      </c>
      <c r="O441" s="32">
        <f t="shared" si="39"/>
        <v>27.021999999999998</v>
      </c>
      <c r="P441" s="20">
        <f t="shared" si="40"/>
        <v>5</v>
      </c>
      <c r="Q441" s="20" t="str" cm="1">
        <f t="array" ref="Q441">_xlfn.IFS(P441&lt;=3,"Q1",P441&lt;=6,"Q2",P441&lt;=9,"Q3",P441&lt;=12,"Q4")</f>
        <v>Q2</v>
      </c>
    </row>
    <row r="442" spans="1:17" x14ac:dyDescent="0.25">
      <c r="A442" s="8">
        <v>45783</v>
      </c>
      <c r="B442" s="9" t="s">
        <v>60</v>
      </c>
      <c r="C442" s="9" t="s">
        <v>61</v>
      </c>
      <c r="D442" s="9" t="s">
        <v>62</v>
      </c>
      <c r="E442" s="10">
        <v>2617.7600000000002</v>
      </c>
      <c r="F442" s="10">
        <v>2629.1</v>
      </c>
      <c r="G442" s="10">
        <v>2611.0300000000002</v>
      </c>
      <c r="H442" s="10">
        <v>2611.1999999999998</v>
      </c>
      <c r="I442" s="11">
        <v>1737669</v>
      </c>
      <c r="J442" s="10">
        <v>3655680000000</v>
      </c>
      <c r="K442" s="30">
        <f t="shared" si="36"/>
        <v>-0.2505959293441874</v>
      </c>
      <c r="L442" s="31">
        <f t="shared" si="37"/>
        <v>18.069999999999709</v>
      </c>
      <c r="M442" s="30">
        <f t="shared" si="38"/>
        <v>6.9028482366602388E-3</v>
      </c>
      <c r="N442" s="20" t="str">
        <f t="shared" si="41"/>
        <v>Normal</v>
      </c>
      <c r="O442" s="32">
        <f t="shared" si="39"/>
        <v>3655.68</v>
      </c>
      <c r="P442" s="20">
        <f t="shared" si="40"/>
        <v>5</v>
      </c>
      <c r="Q442" s="20" t="str" cm="1">
        <f t="array" ref="Q442">_xlfn.IFS(P442&lt;=3,"Q1",P442&lt;=6,"Q2",P442&lt;=9,"Q3",P442&lt;=12,"Q4")</f>
        <v>Q2</v>
      </c>
    </row>
    <row r="443" spans="1:17" x14ac:dyDescent="0.25">
      <c r="A443" s="14">
        <v>45783</v>
      </c>
      <c r="B443" s="15" t="s">
        <v>65</v>
      </c>
      <c r="C443" s="15" t="s">
        <v>66</v>
      </c>
      <c r="D443" s="15" t="s">
        <v>67</v>
      </c>
      <c r="E443" s="16">
        <v>217.18</v>
      </c>
      <c r="F443" s="16">
        <v>220.09</v>
      </c>
      <c r="G443" s="16">
        <v>215.51</v>
      </c>
      <c r="H443" s="16">
        <v>218.46</v>
      </c>
      <c r="I443" s="17">
        <v>3078899</v>
      </c>
      <c r="J443" s="16">
        <v>54615000000</v>
      </c>
      <c r="K443" s="30">
        <f t="shared" si="36"/>
        <v>0.58937287043005848</v>
      </c>
      <c r="L443" s="31">
        <f t="shared" si="37"/>
        <v>4.5800000000000125</v>
      </c>
      <c r="M443" s="30">
        <f t="shared" si="38"/>
        <v>2.108849802007557E-2</v>
      </c>
      <c r="N443" s="20" t="str">
        <f t="shared" si="41"/>
        <v>High volume</v>
      </c>
      <c r="O443" s="32">
        <f t="shared" si="39"/>
        <v>54.615000000000002</v>
      </c>
      <c r="P443" s="20">
        <f t="shared" si="40"/>
        <v>5</v>
      </c>
      <c r="Q443" s="20" t="str" cm="1">
        <f t="array" ref="Q443">_xlfn.IFS(P443&lt;=3,"Q1",P443&lt;=6,"Q2",P443&lt;=9,"Q3",P443&lt;=12,"Q4")</f>
        <v>Q2</v>
      </c>
    </row>
    <row r="444" spans="1:17" x14ac:dyDescent="0.25">
      <c r="A444" s="8">
        <v>45783</v>
      </c>
      <c r="B444" s="9" t="s">
        <v>69</v>
      </c>
      <c r="C444" s="9" t="s">
        <v>70</v>
      </c>
      <c r="D444" s="9" t="s">
        <v>71</v>
      </c>
      <c r="E444" s="10">
        <v>619.55999999999995</v>
      </c>
      <c r="F444" s="10">
        <v>623.5</v>
      </c>
      <c r="G444" s="10">
        <v>614.54</v>
      </c>
      <c r="H444" s="10">
        <v>614.91999999999996</v>
      </c>
      <c r="I444" s="11">
        <v>2073494</v>
      </c>
      <c r="J444" s="10">
        <v>491936000000</v>
      </c>
      <c r="K444" s="30">
        <f t="shared" si="36"/>
        <v>-0.74891858738459338</v>
      </c>
      <c r="L444" s="31">
        <f t="shared" si="37"/>
        <v>8.9600000000000364</v>
      </c>
      <c r="M444" s="30">
        <f t="shared" si="38"/>
        <v>1.4461876170185352E-2</v>
      </c>
      <c r="N444" s="20" t="str">
        <f t="shared" si="41"/>
        <v>High volume</v>
      </c>
      <c r="O444" s="32">
        <f t="shared" si="39"/>
        <v>491.93599999999998</v>
      </c>
      <c r="P444" s="20">
        <f t="shared" si="40"/>
        <v>5</v>
      </c>
      <c r="Q444" s="20" t="str" cm="1">
        <f t="array" ref="Q444">_xlfn.IFS(P444&lt;=3,"Q1",P444&lt;=6,"Q2",P444&lt;=9,"Q3",P444&lt;=12,"Q4")</f>
        <v>Q2</v>
      </c>
    </row>
    <row r="445" spans="1:17" x14ac:dyDescent="0.25">
      <c r="A445" s="14">
        <v>45783</v>
      </c>
      <c r="B445" s="15" t="s">
        <v>73</v>
      </c>
      <c r="C445" s="15" t="s">
        <v>74</v>
      </c>
      <c r="D445" s="15" t="s">
        <v>75</v>
      </c>
      <c r="E445" s="16">
        <v>107.25</v>
      </c>
      <c r="F445" s="16">
        <v>108.32</v>
      </c>
      <c r="G445" s="16">
        <v>106.48</v>
      </c>
      <c r="H445" s="16">
        <v>107.52</v>
      </c>
      <c r="I445" s="17">
        <v>2574110</v>
      </c>
      <c r="J445" s="16">
        <v>23654400000</v>
      </c>
      <c r="K445" s="30">
        <f t="shared" si="36"/>
        <v>0.251748251748248</v>
      </c>
      <c r="L445" s="31">
        <f t="shared" si="37"/>
        <v>1.8399999999999892</v>
      </c>
      <c r="M445" s="30">
        <f t="shared" si="38"/>
        <v>1.7156177156177056E-2</v>
      </c>
      <c r="N445" s="20" t="str">
        <f t="shared" si="41"/>
        <v>High volume</v>
      </c>
      <c r="O445" s="32">
        <f t="shared" si="39"/>
        <v>23.654399999999999</v>
      </c>
      <c r="P445" s="20">
        <f t="shared" si="40"/>
        <v>5</v>
      </c>
      <c r="Q445" s="20" t="str" cm="1">
        <f t="array" ref="Q445">_xlfn.IFS(P445&lt;=3,"Q1",P445&lt;=6,"Q2",P445&lt;=9,"Q3",P445&lt;=12,"Q4")</f>
        <v>Q2</v>
      </c>
    </row>
    <row r="446" spans="1:17" x14ac:dyDescent="0.25">
      <c r="A446" s="8">
        <v>45783</v>
      </c>
      <c r="B446" s="9" t="s">
        <v>76</v>
      </c>
      <c r="C446" s="9" t="s">
        <v>77</v>
      </c>
      <c r="D446" s="9" t="s">
        <v>75</v>
      </c>
      <c r="E446" s="10">
        <v>135.9</v>
      </c>
      <c r="F446" s="10">
        <v>136.02000000000001</v>
      </c>
      <c r="G446" s="10">
        <v>133.82</v>
      </c>
      <c r="H446" s="10">
        <v>135.06</v>
      </c>
      <c r="I446" s="11">
        <v>576000</v>
      </c>
      <c r="J446" s="10">
        <v>27012000000</v>
      </c>
      <c r="K446" s="30">
        <f t="shared" si="36"/>
        <v>-0.61810154525386563</v>
      </c>
      <c r="L446" s="31">
        <f t="shared" si="37"/>
        <v>2.2000000000000171</v>
      </c>
      <c r="M446" s="30">
        <f t="shared" si="38"/>
        <v>1.6188373804267967E-2</v>
      </c>
      <c r="N446" s="20" t="str">
        <f t="shared" si="41"/>
        <v>Normal</v>
      </c>
      <c r="O446" s="32">
        <f t="shared" si="39"/>
        <v>27.012</v>
      </c>
      <c r="P446" s="20">
        <f t="shared" si="40"/>
        <v>5</v>
      </c>
      <c r="Q446" s="20" t="str" cm="1">
        <f t="array" ref="Q446">_xlfn.IFS(P446&lt;=3,"Q1",P446&lt;=6,"Q2",P446&lt;=9,"Q3",P446&lt;=12,"Q4")</f>
        <v>Q2</v>
      </c>
    </row>
    <row r="447" spans="1:17" x14ac:dyDescent="0.25">
      <c r="A447" s="14">
        <v>45784</v>
      </c>
      <c r="B447" s="15" t="s">
        <v>60</v>
      </c>
      <c r="C447" s="15" t="s">
        <v>61</v>
      </c>
      <c r="D447" s="15" t="s">
        <v>62</v>
      </c>
      <c r="E447" s="16">
        <v>2573.89</v>
      </c>
      <c r="F447" s="16">
        <v>2591.13</v>
      </c>
      <c r="G447" s="16">
        <v>2537.64</v>
      </c>
      <c r="H447" s="16">
        <v>2538.48</v>
      </c>
      <c r="I447" s="17">
        <v>2037768</v>
      </c>
      <c r="J447" s="16">
        <v>3553872000000</v>
      </c>
      <c r="K447" s="30">
        <f t="shared" si="36"/>
        <v>-1.3757386679306363</v>
      </c>
      <c r="L447" s="31">
        <f t="shared" si="37"/>
        <v>53.490000000000236</v>
      </c>
      <c r="M447" s="30">
        <f t="shared" si="38"/>
        <v>2.0781773890881209E-2</v>
      </c>
      <c r="N447" s="20" t="str">
        <f t="shared" si="41"/>
        <v>High volume</v>
      </c>
      <c r="O447" s="32">
        <f t="shared" si="39"/>
        <v>3553.8719999999998</v>
      </c>
      <c r="P447" s="20">
        <f t="shared" si="40"/>
        <v>5</v>
      </c>
      <c r="Q447" s="20" t="str" cm="1">
        <f t="array" ref="Q447">_xlfn.IFS(P447&lt;=3,"Q1",P447&lt;=6,"Q2",P447&lt;=9,"Q3",P447&lt;=12,"Q4")</f>
        <v>Q2</v>
      </c>
    </row>
    <row r="448" spans="1:17" x14ac:dyDescent="0.25">
      <c r="A448" s="8">
        <v>45784</v>
      </c>
      <c r="B448" s="9" t="s">
        <v>65</v>
      </c>
      <c r="C448" s="9" t="s">
        <v>66</v>
      </c>
      <c r="D448" s="9" t="s">
        <v>67</v>
      </c>
      <c r="E448" s="10">
        <v>213.83</v>
      </c>
      <c r="F448" s="10">
        <v>215.32</v>
      </c>
      <c r="G448" s="10">
        <v>213.43</v>
      </c>
      <c r="H448" s="10">
        <v>213.58</v>
      </c>
      <c r="I448" s="11">
        <v>1662731</v>
      </c>
      <c r="J448" s="10">
        <v>53395000000</v>
      </c>
      <c r="K448" s="30">
        <f t="shared" si="36"/>
        <v>-0.11691530655193379</v>
      </c>
      <c r="L448" s="31">
        <f t="shared" si="37"/>
        <v>1.8899999999999864</v>
      </c>
      <c r="M448" s="30">
        <f t="shared" si="38"/>
        <v>8.8387971753261293E-3</v>
      </c>
      <c r="N448" s="20" t="str">
        <f t="shared" si="41"/>
        <v>Normal</v>
      </c>
      <c r="O448" s="32">
        <f t="shared" si="39"/>
        <v>53.395000000000003</v>
      </c>
      <c r="P448" s="20">
        <f t="shared" si="40"/>
        <v>5</v>
      </c>
      <c r="Q448" s="20" t="str" cm="1">
        <f t="array" ref="Q448">_xlfn.IFS(P448&lt;=3,"Q1",P448&lt;=6,"Q2",P448&lt;=9,"Q3",P448&lt;=12,"Q4")</f>
        <v>Q2</v>
      </c>
    </row>
    <row r="449" spans="1:17" x14ac:dyDescent="0.25">
      <c r="A449" s="14">
        <v>45784</v>
      </c>
      <c r="B449" s="15" t="s">
        <v>69</v>
      </c>
      <c r="C449" s="15" t="s">
        <v>70</v>
      </c>
      <c r="D449" s="15" t="s">
        <v>71</v>
      </c>
      <c r="E449" s="16">
        <v>606</v>
      </c>
      <c r="F449" s="16">
        <v>611.77</v>
      </c>
      <c r="G449" s="16">
        <v>603.54999999999995</v>
      </c>
      <c r="H449" s="16">
        <v>610.53</v>
      </c>
      <c r="I449" s="17">
        <v>4834566</v>
      </c>
      <c r="J449" s="16">
        <v>488424000000</v>
      </c>
      <c r="K449" s="30">
        <f t="shared" si="36"/>
        <v>0.74752475247524297</v>
      </c>
      <c r="L449" s="31">
        <f t="shared" si="37"/>
        <v>8.2200000000000273</v>
      </c>
      <c r="M449" s="30">
        <f t="shared" si="38"/>
        <v>1.3564356435643609E-2</v>
      </c>
      <c r="N449" s="20" t="str">
        <f t="shared" si="41"/>
        <v>High volume</v>
      </c>
      <c r="O449" s="32">
        <f t="shared" si="39"/>
        <v>488.42399999999998</v>
      </c>
      <c r="P449" s="20">
        <f t="shared" si="40"/>
        <v>5</v>
      </c>
      <c r="Q449" s="20" t="str" cm="1">
        <f t="array" ref="Q449">_xlfn.IFS(P449&lt;=3,"Q1",P449&lt;=6,"Q2",P449&lt;=9,"Q3",P449&lt;=12,"Q4")</f>
        <v>Q2</v>
      </c>
    </row>
    <row r="450" spans="1:17" x14ac:dyDescent="0.25">
      <c r="A450" s="8">
        <v>45784</v>
      </c>
      <c r="B450" s="9" t="s">
        <v>73</v>
      </c>
      <c r="C450" s="9" t="s">
        <v>74</v>
      </c>
      <c r="D450" s="9" t="s">
        <v>75</v>
      </c>
      <c r="E450" s="10">
        <v>106.21</v>
      </c>
      <c r="F450" s="10">
        <v>107.45</v>
      </c>
      <c r="G450" s="10">
        <v>104.59</v>
      </c>
      <c r="H450" s="10">
        <v>106.66</v>
      </c>
      <c r="I450" s="11">
        <v>4500954</v>
      </c>
      <c r="J450" s="10">
        <v>23465200000</v>
      </c>
      <c r="K450" s="30">
        <f t="shared" si="36"/>
        <v>0.42368891818096494</v>
      </c>
      <c r="L450" s="31">
        <f t="shared" si="37"/>
        <v>2.8599999999999994</v>
      </c>
      <c r="M450" s="30">
        <f t="shared" si="38"/>
        <v>2.6927784577723376E-2</v>
      </c>
      <c r="N450" s="20" t="str">
        <f t="shared" si="41"/>
        <v>High volume</v>
      </c>
      <c r="O450" s="32">
        <f t="shared" si="39"/>
        <v>23.465199999999999</v>
      </c>
      <c r="P450" s="20">
        <f t="shared" si="40"/>
        <v>5</v>
      </c>
      <c r="Q450" s="20" t="str" cm="1">
        <f t="array" ref="Q450">_xlfn.IFS(P450&lt;=3,"Q1",P450&lt;=6,"Q2",P450&lt;=9,"Q3",P450&lt;=12,"Q4")</f>
        <v>Q2</v>
      </c>
    </row>
    <row r="451" spans="1:17" x14ac:dyDescent="0.25">
      <c r="A451" s="14">
        <v>45784</v>
      </c>
      <c r="B451" s="15" t="s">
        <v>76</v>
      </c>
      <c r="C451" s="15" t="s">
        <v>77</v>
      </c>
      <c r="D451" s="15" t="s">
        <v>75</v>
      </c>
      <c r="E451" s="16">
        <v>139.75</v>
      </c>
      <c r="F451" s="16">
        <v>139.78</v>
      </c>
      <c r="G451" s="16">
        <v>138.72</v>
      </c>
      <c r="H451" s="16">
        <v>138.82</v>
      </c>
      <c r="I451" s="17">
        <v>2247365</v>
      </c>
      <c r="J451" s="16">
        <v>27764000000</v>
      </c>
      <c r="K451" s="30">
        <f t="shared" ref="K451:K514" si="42">((H451-E451)/E451)*100</f>
        <v>-0.66547406082290284</v>
      </c>
      <c r="L451" s="31">
        <f t="shared" ref="L451:L514" si="43">F451-G451</f>
        <v>1.0600000000000023</v>
      </c>
      <c r="M451" s="30">
        <f t="shared" ref="M451:M514" si="44">L451/E451</f>
        <v>7.5849731663685319E-3</v>
      </c>
      <c r="N451" s="20" t="str">
        <f t="shared" si="41"/>
        <v>High volume</v>
      </c>
      <c r="O451" s="32">
        <f t="shared" ref="O451:O514" si="45">J451/1000000000</f>
        <v>27.763999999999999</v>
      </c>
      <c r="P451" s="20">
        <f t="shared" ref="P451:P514" si="46">MONTH(A451)</f>
        <v>5</v>
      </c>
      <c r="Q451" s="20" t="str" cm="1">
        <f t="array" ref="Q451">_xlfn.IFS(P451&lt;=3,"Q1",P451&lt;=6,"Q2",P451&lt;=9,"Q3",P451&lt;=12,"Q4")</f>
        <v>Q2</v>
      </c>
    </row>
    <row r="452" spans="1:17" x14ac:dyDescent="0.25">
      <c r="A452" s="8">
        <v>45785</v>
      </c>
      <c r="B452" s="9" t="s">
        <v>60</v>
      </c>
      <c r="C452" s="9" t="s">
        <v>61</v>
      </c>
      <c r="D452" s="9" t="s">
        <v>62</v>
      </c>
      <c r="E452" s="10">
        <v>2557.36</v>
      </c>
      <c r="F452" s="10">
        <v>2573.21</v>
      </c>
      <c r="G452" s="10">
        <v>2551.29</v>
      </c>
      <c r="H452" s="10">
        <v>2559.9899999999998</v>
      </c>
      <c r="I452" s="11">
        <v>3037845</v>
      </c>
      <c r="J452" s="10">
        <v>3583986000000</v>
      </c>
      <c r="K452" s="30">
        <f t="shared" si="42"/>
        <v>0.10284042919259134</v>
      </c>
      <c r="L452" s="31">
        <f t="shared" si="43"/>
        <v>21.920000000000073</v>
      </c>
      <c r="M452" s="30">
        <f t="shared" si="44"/>
        <v>8.5713391935433696E-3</v>
      </c>
      <c r="N452" s="20" t="str">
        <f t="shared" ref="N452:N515" si="47">IF(I452&gt;2000000,"High volume","Normal")</f>
        <v>High volume</v>
      </c>
      <c r="O452" s="32">
        <f t="shared" si="45"/>
        <v>3583.9859999999999</v>
      </c>
      <c r="P452" s="20">
        <f t="shared" si="46"/>
        <v>5</v>
      </c>
      <c r="Q452" s="20" t="str" cm="1">
        <f t="array" ref="Q452">_xlfn.IFS(P452&lt;=3,"Q1",P452&lt;=6,"Q2",P452&lt;=9,"Q3",P452&lt;=12,"Q4")</f>
        <v>Q2</v>
      </c>
    </row>
    <row r="453" spans="1:17" x14ac:dyDescent="0.25">
      <c r="A453" s="14">
        <v>45785</v>
      </c>
      <c r="B453" s="15" t="s">
        <v>65</v>
      </c>
      <c r="C453" s="15" t="s">
        <v>66</v>
      </c>
      <c r="D453" s="15" t="s">
        <v>67</v>
      </c>
      <c r="E453" s="16">
        <v>205.7</v>
      </c>
      <c r="F453" s="16">
        <v>206.99</v>
      </c>
      <c r="G453" s="16">
        <v>205.46</v>
      </c>
      <c r="H453" s="16">
        <v>206.98</v>
      </c>
      <c r="I453" s="17">
        <v>4415480</v>
      </c>
      <c r="J453" s="16">
        <v>51745000000</v>
      </c>
      <c r="K453" s="30">
        <f t="shared" si="42"/>
        <v>0.62226543509966026</v>
      </c>
      <c r="L453" s="31">
        <f t="shared" si="43"/>
        <v>1.5300000000000011</v>
      </c>
      <c r="M453" s="30">
        <f t="shared" si="44"/>
        <v>7.4380165289256259E-3</v>
      </c>
      <c r="N453" s="20" t="str">
        <f t="shared" si="47"/>
        <v>High volume</v>
      </c>
      <c r="O453" s="32">
        <f t="shared" si="45"/>
        <v>51.744999999999997</v>
      </c>
      <c r="P453" s="20">
        <f t="shared" si="46"/>
        <v>5</v>
      </c>
      <c r="Q453" s="20" t="str" cm="1">
        <f t="array" ref="Q453">_xlfn.IFS(P453&lt;=3,"Q1",P453&lt;=6,"Q2",P453&lt;=9,"Q3",P453&lt;=12,"Q4")</f>
        <v>Q2</v>
      </c>
    </row>
    <row r="454" spans="1:17" x14ac:dyDescent="0.25">
      <c r="A454" s="8">
        <v>45785</v>
      </c>
      <c r="B454" s="9" t="s">
        <v>69</v>
      </c>
      <c r="C454" s="9" t="s">
        <v>70</v>
      </c>
      <c r="D454" s="9" t="s">
        <v>71</v>
      </c>
      <c r="E454" s="10">
        <v>612.24</v>
      </c>
      <c r="F454" s="10">
        <v>618.4</v>
      </c>
      <c r="G454" s="10">
        <v>610.01</v>
      </c>
      <c r="H454" s="10">
        <v>614.92999999999995</v>
      </c>
      <c r="I454" s="11">
        <v>3488281</v>
      </c>
      <c r="J454" s="10">
        <v>491944000000</v>
      </c>
      <c r="K454" s="30">
        <f t="shared" si="42"/>
        <v>0.43937018162810998</v>
      </c>
      <c r="L454" s="31">
        <f t="shared" si="43"/>
        <v>8.3899999999999864</v>
      </c>
      <c r="M454" s="30">
        <f t="shared" si="44"/>
        <v>1.3703776296877019E-2</v>
      </c>
      <c r="N454" s="20" t="str">
        <f t="shared" si="47"/>
        <v>High volume</v>
      </c>
      <c r="O454" s="32">
        <f t="shared" si="45"/>
        <v>491.94400000000002</v>
      </c>
      <c r="P454" s="20">
        <f t="shared" si="46"/>
        <v>5</v>
      </c>
      <c r="Q454" s="20" t="str" cm="1">
        <f t="array" ref="Q454">_xlfn.IFS(P454&lt;=3,"Q1",P454&lt;=6,"Q2",P454&lt;=9,"Q3",P454&lt;=12,"Q4")</f>
        <v>Q2</v>
      </c>
    </row>
    <row r="455" spans="1:17" x14ac:dyDescent="0.25">
      <c r="A455" s="14">
        <v>45785</v>
      </c>
      <c r="B455" s="15" t="s">
        <v>73</v>
      </c>
      <c r="C455" s="15" t="s">
        <v>74</v>
      </c>
      <c r="D455" s="15" t="s">
        <v>75</v>
      </c>
      <c r="E455" s="16">
        <v>107.4</v>
      </c>
      <c r="F455" s="16">
        <v>108.42</v>
      </c>
      <c r="G455" s="16">
        <v>106.79</v>
      </c>
      <c r="H455" s="16">
        <v>108.09</v>
      </c>
      <c r="I455" s="17">
        <v>916618</v>
      </c>
      <c r="J455" s="16">
        <v>23779800000</v>
      </c>
      <c r="K455" s="30">
        <f t="shared" si="42"/>
        <v>0.64245810055865704</v>
      </c>
      <c r="L455" s="31">
        <f t="shared" si="43"/>
        <v>1.6299999999999955</v>
      </c>
      <c r="M455" s="30">
        <f t="shared" si="44"/>
        <v>1.5176908752327703E-2</v>
      </c>
      <c r="N455" s="20" t="str">
        <f t="shared" si="47"/>
        <v>Normal</v>
      </c>
      <c r="O455" s="32">
        <f t="shared" si="45"/>
        <v>23.779800000000002</v>
      </c>
      <c r="P455" s="20">
        <f t="shared" si="46"/>
        <v>5</v>
      </c>
      <c r="Q455" s="20" t="str" cm="1">
        <f t="array" ref="Q455">_xlfn.IFS(P455&lt;=3,"Q1",P455&lt;=6,"Q2",P455&lt;=9,"Q3",P455&lt;=12,"Q4")</f>
        <v>Q2</v>
      </c>
    </row>
    <row r="456" spans="1:17" x14ac:dyDescent="0.25">
      <c r="A456" s="8">
        <v>45785</v>
      </c>
      <c r="B456" s="9" t="s">
        <v>76</v>
      </c>
      <c r="C456" s="9" t="s">
        <v>77</v>
      </c>
      <c r="D456" s="9" t="s">
        <v>75</v>
      </c>
      <c r="E456" s="10">
        <v>139.9</v>
      </c>
      <c r="F456" s="10">
        <v>140.22</v>
      </c>
      <c r="G456" s="10">
        <v>139.52000000000001</v>
      </c>
      <c r="H456" s="10">
        <v>140.04</v>
      </c>
      <c r="I456" s="11">
        <v>2956489</v>
      </c>
      <c r="J456" s="10">
        <v>28008000000</v>
      </c>
      <c r="K456" s="30">
        <f t="shared" si="42"/>
        <v>0.10007147962829618</v>
      </c>
      <c r="L456" s="31">
        <f t="shared" si="43"/>
        <v>0.69999999999998863</v>
      </c>
      <c r="M456" s="30">
        <f t="shared" si="44"/>
        <v>5.0035739814152155E-3</v>
      </c>
      <c r="N456" s="20" t="str">
        <f t="shared" si="47"/>
        <v>High volume</v>
      </c>
      <c r="O456" s="32">
        <f t="shared" si="45"/>
        <v>28.007999999999999</v>
      </c>
      <c r="P456" s="20">
        <f t="shared" si="46"/>
        <v>5</v>
      </c>
      <c r="Q456" s="20" t="str" cm="1">
        <f t="array" ref="Q456">_xlfn.IFS(P456&lt;=3,"Q1",P456&lt;=6,"Q2",P456&lt;=9,"Q3",P456&lt;=12,"Q4")</f>
        <v>Q2</v>
      </c>
    </row>
    <row r="457" spans="1:17" x14ac:dyDescent="0.25">
      <c r="A457" s="14">
        <v>45786</v>
      </c>
      <c r="B457" s="15" t="s">
        <v>60</v>
      </c>
      <c r="C457" s="15" t="s">
        <v>61</v>
      </c>
      <c r="D457" s="15" t="s">
        <v>62</v>
      </c>
      <c r="E457" s="16">
        <v>2507.64</v>
      </c>
      <c r="F457" s="16">
        <v>2513.27</v>
      </c>
      <c r="G457" s="16">
        <v>2500.89</v>
      </c>
      <c r="H457" s="16">
        <v>2512.56</v>
      </c>
      <c r="I457" s="17">
        <v>4030714</v>
      </c>
      <c r="J457" s="16">
        <v>3517584000000</v>
      </c>
      <c r="K457" s="30">
        <f t="shared" si="42"/>
        <v>0.19620041154232959</v>
      </c>
      <c r="L457" s="31">
        <f t="shared" si="43"/>
        <v>12.380000000000109</v>
      </c>
      <c r="M457" s="30">
        <f t="shared" si="44"/>
        <v>4.9369127945000516E-3</v>
      </c>
      <c r="N457" s="20" t="str">
        <f t="shared" si="47"/>
        <v>High volume</v>
      </c>
      <c r="O457" s="32">
        <f t="shared" si="45"/>
        <v>3517.5839999999998</v>
      </c>
      <c r="P457" s="20">
        <f t="shared" si="46"/>
        <v>5</v>
      </c>
      <c r="Q457" s="20" t="str" cm="1">
        <f t="array" ref="Q457">_xlfn.IFS(P457&lt;=3,"Q1",P457&lt;=6,"Q2",P457&lt;=9,"Q3",P457&lt;=12,"Q4")</f>
        <v>Q2</v>
      </c>
    </row>
    <row r="458" spans="1:17" x14ac:dyDescent="0.25">
      <c r="A458" s="8">
        <v>45786</v>
      </c>
      <c r="B458" s="9" t="s">
        <v>65</v>
      </c>
      <c r="C458" s="9" t="s">
        <v>66</v>
      </c>
      <c r="D458" s="9" t="s">
        <v>67</v>
      </c>
      <c r="E458" s="10">
        <v>205.45</v>
      </c>
      <c r="F458" s="10">
        <v>206.45</v>
      </c>
      <c r="G458" s="10">
        <v>204.74</v>
      </c>
      <c r="H458" s="10">
        <v>205.51</v>
      </c>
      <c r="I458" s="11">
        <v>4953496</v>
      </c>
      <c r="J458" s="10">
        <v>51377500000</v>
      </c>
      <c r="K458" s="30">
        <f t="shared" si="42"/>
        <v>2.9204185933318218E-2</v>
      </c>
      <c r="L458" s="31">
        <f t="shared" si="43"/>
        <v>1.7099999999999795</v>
      </c>
      <c r="M458" s="30">
        <f t="shared" si="44"/>
        <v>8.3231929909952772E-3</v>
      </c>
      <c r="N458" s="20" t="str">
        <f t="shared" si="47"/>
        <v>High volume</v>
      </c>
      <c r="O458" s="32">
        <f t="shared" si="45"/>
        <v>51.377499999999998</v>
      </c>
      <c r="P458" s="20">
        <f t="shared" si="46"/>
        <v>5</v>
      </c>
      <c r="Q458" s="20" t="str" cm="1">
        <f t="array" ref="Q458">_xlfn.IFS(P458&lt;=3,"Q1",P458&lt;=6,"Q2",P458&lt;=9,"Q3",P458&lt;=12,"Q4")</f>
        <v>Q2</v>
      </c>
    </row>
    <row r="459" spans="1:17" x14ac:dyDescent="0.25">
      <c r="A459" s="14">
        <v>45786</v>
      </c>
      <c r="B459" s="15" t="s">
        <v>69</v>
      </c>
      <c r="C459" s="15" t="s">
        <v>70</v>
      </c>
      <c r="D459" s="15" t="s">
        <v>71</v>
      </c>
      <c r="E459" s="16">
        <v>619.45000000000005</v>
      </c>
      <c r="F459" s="16">
        <v>621.76</v>
      </c>
      <c r="G459" s="16">
        <v>619.27</v>
      </c>
      <c r="H459" s="16">
        <v>619.49</v>
      </c>
      <c r="I459" s="17">
        <v>4949132</v>
      </c>
      <c r="J459" s="16">
        <v>495592000000</v>
      </c>
      <c r="K459" s="30">
        <f t="shared" si="42"/>
        <v>6.4573411897592406E-3</v>
      </c>
      <c r="L459" s="31">
        <f t="shared" si="43"/>
        <v>2.4900000000000091</v>
      </c>
      <c r="M459" s="30">
        <f t="shared" si="44"/>
        <v>4.019694890628798E-3</v>
      </c>
      <c r="N459" s="20" t="str">
        <f t="shared" si="47"/>
        <v>High volume</v>
      </c>
      <c r="O459" s="32">
        <f t="shared" si="45"/>
        <v>495.59199999999998</v>
      </c>
      <c r="P459" s="20">
        <f t="shared" si="46"/>
        <v>5</v>
      </c>
      <c r="Q459" s="20" t="str" cm="1">
        <f t="array" ref="Q459">_xlfn.IFS(P459&lt;=3,"Q1",P459&lt;=6,"Q2",P459&lt;=9,"Q3",P459&lt;=12,"Q4")</f>
        <v>Q2</v>
      </c>
    </row>
    <row r="460" spans="1:17" x14ac:dyDescent="0.25">
      <c r="A460" s="8">
        <v>45786</v>
      </c>
      <c r="B460" s="9" t="s">
        <v>73</v>
      </c>
      <c r="C460" s="9" t="s">
        <v>74</v>
      </c>
      <c r="D460" s="9" t="s">
        <v>75</v>
      </c>
      <c r="E460" s="10">
        <v>109.94</v>
      </c>
      <c r="F460" s="10">
        <v>110.6</v>
      </c>
      <c r="G460" s="10">
        <v>109.55</v>
      </c>
      <c r="H460" s="10">
        <v>109.86</v>
      </c>
      <c r="I460" s="11">
        <v>3553098</v>
      </c>
      <c r="J460" s="10">
        <v>24169200000</v>
      </c>
      <c r="K460" s="30">
        <f t="shared" si="42"/>
        <v>-7.2766963798433962E-2</v>
      </c>
      <c r="L460" s="31">
        <f t="shared" si="43"/>
        <v>1.0499999999999972</v>
      </c>
      <c r="M460" s="30">
        <f t="shared" si="44"/>
        <v>9.550663998544635E-3</v>
      </c>
      <c r="N460" s="20" t="str">
        <f t="shared" si="47"/>
        <v>High volume</v>
      </c>
      <c r="O460" s="32">
        <f t="shared" si="45"/>
        <v>24.1692</v>
      </c>
      <c r="P460" s="20">
        <f t="shared" si="46"/>
        <v>5</v>
      </c>
      <c r="Q460" s="20" t="str" cm="1">
        <f t="array" ref="Q460">_xlfn.IFS(P460&lt;=3,"Q1",P460&lt;=6,"Q2",P460&lt;=9,"Q3",P460&lt;=12,"Q4")</f>
        <v>Q2</v>
      </c>
    </row>
    <row r="461" spans="1:17" x14ac:dyDescent="0.25">
      <c r="A461" s="14">
        <v>45786</v>
      </c>
      <c r="B461" s="15" t="s">
        <v>76</v>
      </c>
      <c r="C461" s="15" t="s">
        <v>77</v>
      </c>
      <c r="D461" s="15" t="s">
        <v>75</v>
      </c>
      <c r="E461" s="16">
        <v>141.91999999999999</v>
      </c>
      <c r="F461" s="16">
        <v>142.25</v>
      </c>
      <c r="G461" s="16">
        <v>140.13</v>
      </c>
      <c r="H461" s="16">
        <v>141.32</v>
      </c>
      <c r="I461" s="17">
        <v>2336271</v>
      </c>
      <c r="J461" s="16">
        <v>28264000000</v>
      </c>
      <c r="K461" s="30">
        <f t="shared" si="42"/>
        <v>-0.42277339346110082</v>
      </c>
      <c r="L461" s="31">
        <f t="shared" si="43"/>
        <v>2.1200000000000045</v>
      </c>
      <c r="M461" s="30">
        <f t="shared" si="44"/>
        <v>1.4937993235625738E-2</v>
      </c>
      <c r="N461" s="20" t="str">
        <f t="shared" si="47"/>
        <v>High volume</v>
      </c>
      <c r="O461" s="32">
        <f t="shared" si="45"/>
        <v>28.263999999999999</v>
      </c>
      <c r="P461" s="20">
        <f t="shared" si="46"/>
        <v>5</v>
      </c>
      <c r="Q461" s="20" t="str" cm="1">
        <f t="array" ref="Q461">_xlfn.IFS(P461&lt;=3,"Q1",P461&lt;=6,"Q2",P461&lt;=9,"Q3",P461&lt;=12,"Q4")</f>
        <v>Q2</v>
      </c>
    </row>
    <row r="462" spans="1:17" x14ac:dyDescent="0.25">
      <c r="A462" s="8">
        <v>45789</v>
      </c>
      <c r="B462" s="9" t="s">
        <v>60</v>
      </c>
      <c r="C462" s="9" t="s">
        <v>61</v>
      </c>
      <c r="D462" s="9" t="s">
        <v>62</v>
      </c>
      <c r="E462" s="10">
        <v>2492.4</v>
      </c>
      <c r="F462" s="10">
        <v>2497.71</v>
      </c>
      <c r="G462" s="10">
        <v>2484.42</v>
      </c>
      <c r="H462" s="10">
        <v>2488.42</v>
      </c>
      <c r="I462" s="11">
        <v>4436623</v>
      </c>
      <c r="J462" s="10">
        <v>3483788000000</v>
      </c>
      <c r="K462" s="30">
        <f t="shared" si="42"/>
        <v>-0.15968544374899768</v>
      </c>
      <c r="L462" s="31">
        <f t="shared" si="43"/>
        <v>13.289999999999964</v>
      </c>
      <c r="M462" s="30">
        <f t="shared" si="44"/>
        <v>5.3322099181511646E-3</v>
      </c>
      <c r="N462" s="20" t="str">
        <f t="shared" si="47"/>
        <v>High volume</v>
      </c>
      <c r="O462" s="32">
        <f t="shared" si="45"/>
        <v>3483.788</v>
      </c>
      <c r="P462" s="20">
        <f t="shared" si="46"/>
        <v>5</v>
      </c>
      <c r="Q462" s="20" t="str" cm="1">
        <f t="array" ref="Q462">_xlfn.IFS(P462&lt;=3,"Q1",P462&lt;=6,"Q2",P462&lt;=9,"Q3",P462&lt;=12,"Q4")</f>
        <v>Q2</v>
      </c>
    </row>
    <row r="463" spans="1:17" x14ac:dyDescent="0.25">
      <c r="A463" s="14">
        <v>45789</v>
      </c>
      <c r="B463" s="15" t="s">
        <v>65</v>
      </c>
      <c r="C463" s="15" t="s">
        <v>66</v>
      </c>
      <c r="D463" s="15" t="s">
        <v>67</v>
      </c>
      <c r="E463" s="16">
        <v>206.7</v>
      </c>
      <c r="F463" s="16">
        <v>207.31</v>
      </c>
      <c r="G463" s="16">
        <v>205.91</v>
      </c>
      <c r="H463" s="16">
        <v>206.3</v>
      </c>
      <c r="I463" s="17">
        <v>2814504</v>
      </c>
      <c r="J463" s="16">
        <v>51575000000</v>
      </c>
      <c r="K463" s="30">
        <f t="shared" si="42"/>
        <v>-0.19351717464923915</v>
      </c>
      <c r="L463" s="31">
        <f t="shared" si="43"/>
        <v>1.4000000000000057</v>
      </c>
      <c r="M463" s="30">
        <f t="shared" si="44"/>
        <v>6.7731011127237818E-3</v>
      </c>
      <c r="N463" s="20" t="str">
        <f t="shared" si="47"/>
        <v>High volume</v>
      </c>
      <c r="O463" s="32">
        <f t="shared" si="45"/>
        <v>51.575000000000003</v>
      </c>
      <c r="P463" s="20">
        <f t="shared" si="46"/>
        <v>5</v>
      </c>
      <c r="Q463" s="20" t="str" cm="1">
        <f t="array" ref="Q463">_xlfn.IFS(P463&lt;=3,"Q1",P463&lt;=6,"Q2",P463&lt;=9,"Q3",P463&lt;=12,"Q4")</f>
        <v>Q2</v>
      </c>
    </row>
    <row r="464" spans="1:17" x14ac:dyDescent="0.25">
      <c r="A464" s="8">
        <v>45789</v>
      </c>
      <c r="B464" s="9" t="s">
        <v>69</v>
      </c>
      <c r="C464" s="9" t="s">
        <v>70</v>
      </c>
      <c r="D464" s="9" t="s">
        <v>71</v>
      </c>
      <c r="E464" s="10">
        <v>615.91</v>
      </c>
      <c r="F464" s="10">
        <v>616.11</v>
      </c>
      <c r="G464" s="10">
        <v>615.87</v>
      </c>
      <c r="H464" s="10">
        <v>616.02</v>
      </c>
      <c r="I464" s="11">
        <v>1940377</v>
      </c>
      <c r="J464" s="10">
        <v>492816000000</v>
      </c>
      <c r="K464" s="30">
        <f t="shared" si="42"/>
        <v>1.7859752236530281E-2</v>
      </c>
      <c r="L464" s="31">
        <f t="shared" si="43"/>
        <v>0.24000000000000909</v>
      </c>
      <c r="M464" s="30">
        <f t="shared" si="44"/>
        <v>3.8966732152426344E-4</v>
      </c>
      <c r="N464" s="20" t="str">
        <f t="shared" si="47"/>
        <v>Normal</v>
      </c>
      <c r="O464" s="32">
        <f t="shared" si="45"/>
        <v>492.81599999999997</v>
      </c>
      <c r="P464" s="20">
        <f t="shared" si="46"/>
        <v>5</v>
      </c>
      <c r="Q464" s="20" t="str" cm="1">
        <f t="array" ref="Q464">_xlfn.IFS(P464&lt;=3,"Q1",P464&lt;=6,"Q2",P464&lt;=9,"Q3",P464&lt;=12,"Q4")</f>
        <v>Q2</v>
      </c>
    </row>
    <row r="465" spans="1:17" x14ac:dyDescent="0.25">
      <c r="A465" s="14">
        <v>45789</v>
      </c>
      <c r="B465" s="15" t="s">
        <v>73</v>
      </c>
      <c r="C465" s="15" t="s">
        <v>74</v>
      </c>
      <c r="D465" s="15" t="s">
        <v>75</v>
      </c>
      <c r="E465" s="16">
        <v>111.12</v>
      </c>
      <c r="F465" s="16">
        <v>111.58</v>
      </c>
      <c r="G465" s="16">
        <v>110.99</v>
      </c>
      <c r="H465" s="16">
        <v>110.99</v>
      </c>
      <c r="I465" s="17">
        <v>3619304</v>
      </c>
      <c r="J465" s="16">
        <v>24417800000</v>
      </c>
      <c r="K465" s="30">
        <f t="shared" si="42"/>
        <v>-0.11699064074874878</v>
      </c>
      <c r="L465" s="31">
        <f t="shared" si="43"/>
        <v>0.59000000000000341</v>
      </c>
      <c r="M465" s="30">
        <f t="shared" si="44"/>
        <v>5.3095752339813122E-3</v>
      </c>
      <c r="N465" s="20" t="str">
        <f t="shared" si="47"/>
        <v>High volume</v>
      </c>
      <c r="O465" s="32">
        <f t="shared" si="45"/>
        <v>24.4178</v>
      </c>
      <c r="P465" s="20">
        <f t="shared" si="46"/>
        <v>5</v>
      </c>
      <c r="Q465" s="20" t="str" cm="1">
        <f t="array" ref="Q465">_xlfn.IFS(P465&lt;=3,"Q1",P465&lt;=6,"Q2",P465&lt;=9,"Q3",P465&lt;=12,"Q4")</f>
        <v>Q2</v>
      </c>
    </row>
    <row r="466" spans="1:17" x14ac:dyDescent="0.25">
      <c r="A466" s="8">
        <v>45789</v>
      </c>
      <c r="B466" s="9" t="s">
        <v>76</v>
      </c>
      <c r="C466" s="9" t="s">
        <v>77</v>
      </c>
      <c r="D466" s="9" t="s">
        <v>75</v>
      </c>
      <c r="E466" s="10">
        <v>139.88999999999999</v>
      </c>
      <c r="F466" s="10">
        <v>141.24</v>
      </c>
      <c r="G466" s="10">
        <v>139.56</v>
      </c>
      <c r="H466" s="10">
        <v>140.12</v>
      </c>
      <c r="I466" s="11">
        <v>1441894</v>
      </c>
      <c r="J466" s="10">
        <v>28024000000</v>
      </c>
      <c r="K466" s="30">
        <f t="shared" si="42"/>
        <v>0.16441489741941398</v>
      </c>
      <c r="L466" s="31">
        <f t="shared" si="43"/>
        <v>1.6800000000000068</v>
      </c>
      <c r="M466" s="30">
        <f t="shared" si="44"/>
        <v>1.2009435985417163E-2</v>
      </c>
      <c r="N466" s="20" t="str">
        <f t="shared" si="47"/>
        <v>Normal</v>
      </c>
      <c r="O466" s="32">
        <f t="shared" si="45"/>
        <v>28.024000000000001</v>
      </c>
      <c r="P466" s="20">
        <f t="shared" si="46"/>
        <v>5</v>
      </c>
      <c r="Q466" s="20" t="str" cm="1">
        <f t="array" ref="Q466">_xlfn.IFS(P466&lt;=3,"Q1",P466&lt;=6,"Q2",P466&lt;=9,"Q3",P466&lt;=12,"Q4")</f>
        <v>Q2</v>
      </c>
    </row>
    <row r="467" spans="1:17" x14ac:dyDescent="0.25">
      <c r="A467" s="14">
        <v>45790</v>
      </c>
      <c r="B467" s="15" t="s">
        <v>60</v>
      </c>
      <c r="C467" s="15" t="s">
        <v>61</v>
      </c>
      <c r="D467" s="15" t="s">
        <v>62</v>
      </c>
      <c r="E467" s="16">
        <v>2457.4499999999998</v>
      </c>
      <c r="F467" s="16">
        <v>2465.7800000000002</v>
      </c>
      <c r="G467" s="16">
        <v>2432.0500000000002</v>
      </c>
      <c r="H467" s="16">
        <v>2455.5</v>
      </c>
      <c r="I467" s="17">
        <v>4318224</v>
      </c>
      <c r="J467" s="16">
        <v>3437700000000</v>
      </c>
      <c r="K467" s="30">
        <f t="shared" si="42"/>
        <v>-7.9350546297984423E-2</v>
      </c>
      <c r="L467" s="31">
        <f t="shared" si="43"/>
        <v>33.730000000000018</v>
      </c>
      <c r="M467" s="30">
        <f t="shared" si="44"/>
        <v>1.3725609880160337E-2</v>
      </c>
      <c r="N467" s="20" t="str">
        <f t="shared" si="47"/>
        <v>High volume</v>
      </c>
      <c r="O467" s="32">
        <f t="shared" si="45"/>
        <v>3437.7</v>
      </c>
      <c r="P467" s="20">
        <f t="shared" si="46"/>
        <v>5</v>
      </c>
      <c r="Q467" s="20" t="str" cm="1">
        <f t="array" ref="Q467">_xlfn.IFS(P467&lt;=3,"Q1",P467&lt;=6,"Q2",P467&lt;=9,"Q3",P467&lt;=12,"Q4")</f>
        <v>Q2</v>
      </c>
    </row>
    <row r="468" spans="1:17" x14ac:dyDescent="0.25">
      <c r="A468" s="8">
        <v>45790</v>
      </c>
      <c r="B468" s="9" t="s">
        <v>65</v>
      </c>
      <c r="C468" s="9" t="s">
        <v>66</v>
      </c>
      <c r="D468" s="9" t="s">
        <v>67</v>
      </c>
      <c r="E468" s="10">
        <v>203.2</v>
      </c>
      <c r="F468" s="10">
        <v>207.06</v>
      </c>
      <c r="G468" s="10">
        <v>201.88</v>
      </c>
      <c r="H468" s="10">
        <v>205.48</v>
      </c>
      <c r="I468" s="11">
        <v>4418867</v>
      </c>
      <c r="J468" s="10">
        <v>51370000000</v>
      </c>
      <c r="K468" s="30">
        <f t="shared" si="42"/>
        <v>1.1220472440944889</v>
      </c>
      <c r="L468" s="31">
        <f t="shared" si="43"/>
        <v>5.1800000000000068</v>
      </c>
      <c r="M468" s="30">
        <f t="shared" si="44"/>
        <v>2.5492125984252004E-2</v>
      </c>
      <c r="N468" s="20" t="str">
        <f t="shared" si="47"/>
        <v>High volume</v>
      </c>
      <c r="O468" s="32">
        <f t="shared" si="45"/>
        <v>51.37</v>
      </c>
      <c r="P468" s="20">
        <f t="shared" si="46"/>
        <v>5</v>
      </c>
      <c r="Q468" s="20" t="str" cm="1">
        <f t="array" ref="Q468">_xlfn.IFS(P468&lt;=3,"Q1",P468&lt;=6,"Q2",P468&lt;=9,"Q3",P468&lt;=12,"Q4")</f>
        <v>Q2</v>
      </c>
    </row>
    <row r="469" spans="1:17" x14ac:dyDescent="0.25">
      <c r="A469" s="14">
        <v>45790</v>
      </c>
      <c r="B469" s="15" t="s">
        <v>69</v>
      </c>
      <c r="C469" s="15" t="s">
        <v>70</v>
      </c>
      <c r="D469" s="15" t="s">
        <v>71</v>
      </c>
      <c r="E469" s="16">
        <v>614.65</v>
      </c>
      <c r="F469" s="16">
        <v>623.05999999999995</v>
      </c>
      <c r="G469" s="16">
        <v>612.91999999999996</v>
      </c>
      <c r="H469" s="16">
        <v>616.22</v>
      </c>
      <c r="I469" s="17">
        <v>2651328</v>
      </c>
      <c r="J469" s="16">
        <v>492976000000</v>
      </c>
      <c r="K469" s="30">
        <f t="shared" si="42"/>
        <v>0.25542991946637111</v>
      </c>
      <c r="L469" s="31">
        <f t="shared" si="43"/>
        <v>10.139999999999986</v>
      </c>
      <c r="M469" s="30">
        <f t="shared" si="44"/>
        <v>1.6497193524770172E-2</v>
      </c>
      <c r="N469" s="20" t="str">
        <f t="shared" si="47"/>
        <v>High volume</v>
      </c>
      <c r="O469" s="32">
        <f t="shared" si="45"/>
        <v>492.976</v>
      </c>
      <c r="P469" s="20">
        <f t="shared" si="46"/>
        <v>5</v>
      </c>
      <c r="Q469" s="20" t="str" cm="1">
        <f t="array" ref="Q469">_xlfn.IFS(P469&lt;=3,"Q1",P469&lt;=6,"Q2",P469&lt;=9,"Q3",P469&lt;=12,"Q4")</f>
        <v>Q2</v>
      </c>
    </row>
    <row r="470" spans="1:17" x14ac:dyDescent="0.25">
      <c r="A470" s="8">
        <v>45790</v>
      </c>
      <c r="B470" s="9" t="s">
        <v>73</v>
      </c>
      <c r="C470" s="9" t="s">
        <v>74</v>
      </c>
      <c r="D470" s="9" t="s">
        <v>75</v>
      </c>
      <c r="E470" s="10">
        <v>111.69</v>
      </c>
      <c r="F470" s="10">
        <v>112.51</v>
      </c>
      <c r="G470" s="10">
        <v>110.82</v>
      </c>
      <c r="H470" s="10">
        <v>111.82</v>
      </c>
      <c r="I470" s="11">
        <v>4877068</v>
      </c>
      <c r="J470" s="10">
        <v>24600400000</v>
      </c>
      <c r="K470" s="30">
        <f t="shared" si="42"/>
        <v>0.11639358939922594</v>
      </c>
      <c r="L470" s="31">
        <f t="shared" si="43"/>
        <v>1.6900000000000119</v>
      </c>
      <c r="M470" s="30">
        <f t="shared" si="44"/>
        <v>1.5131166621900009E-2</v>
      </c>
      <c r="N470" s="20" t="str">
        <f t="shared" si="47"/>
        <v>High volume</v>
      </c>
      <c r="O470" s="32">
        <f t="shared" si="45"/>
        <v>24.6004</v>
      </c>
      <c r="P470" s="20">
        <f t="shared" si="46"/>
        <v>5</v>
      </c>
      <c r="Q470" s="20" t="str" cm="1">
        <f t="array" ref="Q470">_xlfn.IFS(P470&lt;=3,"Q1",P470&lt;=6,"Q2",P470&lt;=9,"Q3",P470&lt;=12,"Q4")</f>
        <v>Q2</v>
      </c>
    </row>
    <row r="471" spans="1:17" x14ac:dyDescent="0.25">
      <c r="A471" s="14">
        <v>45790</v>
      </c>
      <c r="B471" s="15" t="s">
        <v>76</v>
      </c>
      <c r="C471" s="15" t="s">
        <v>77</v>
      </c>
      <c r="D471" s="15" t="s">
        <v>75</v>
      </c>
      <c r="E471" s="16">
        <v>141.91999999999999</v>
      </c>
      <c r="F471" s="16">
        <v>142.75</v>
      </c>
      <c r="G471" s="16">
        <v>140.16999999999999</v>
      </c>
      <c r="H471" s="16">
        <v>140.24</v>
      </c>
      <c r="I471" s="17">
        <v>4172367</v>
      </c>
      <c r="J471" s="16">
        <v>28048000000</v>
      </c>
      <c r="K471" s="30">
        <f t="shared" si="42"/>
        <v>-1.1837655016910784</v>
      </c>
      <c r="L471" s="31">
        <f t="shared" si="43"/>
        <v>2.5800000000000125</v>
      </c>
      <c r="M471" s="30">
        <f t="shared" si="44"/>
        <v>1.8179255918827599E-2</v>
      </c>
      <c r="N471" s="20" t="str">
        <f t="shared" si="47"/>
        <v>High volume</v>
      </c>
      <c r="O471" s="32">
        <f t="shared" si="45"/>
        <v>28.047999999999998</v>
      </c>
      <c r="P471" s="20">
        <f t="shared" si="46"/>
        <v>5</v>
      </c>
      <c r="Q471" s="20" t="str" cm="1">
        <f t="array" ref="Q471">_xlfn.IFS(P471&lt;=3,"Q1",P471&lt;=6,"Q2",P471&lt;=9,"Q3",P471&lt;=12,"Q4")</f>
        <v>Q2</v>
      </c>
    </row>
    <row r="472" spans="1:17" x14ac:dyDescent="0.25">
      <c r="A472" s="8">
        <v>45791</v>
      </c>
      <c r="B472" s="9" t="s">
        <v>60</v>
      </c>
      <c r="C472" s="9" t="s">
        <v>61</v>
      </c>
      <c r="D472" s="9" t="s">
        <v>62</v>
      </c>
      <c r="E472" s="10">
        <v>2479.65</v>
      </c>
      <c r="F472" s="10">
        <v>2484.42</v>
      </c>
      <c r="G472" s="10">
        <v>2468.6</v>
      </c>
      <c r="H472" s="10">
        <v>2469.69</v>
      </c>
      <c r="I472" s="11">
        <v>3732128</v>
      </c>
      <c r="J472" s="10">
        <v>3457566000000</v>
      </c>
      <c r="K472" s="30">
        <f t="shared" si="42"/>
        <v>-0.40166959046639789</v>
      </c>
      <c r="L472" s="31">
        <f t="shared" si="43"/>
        <v>15.820000000000164</v>
      </c>
      <c r="M472" s="30">
        <f t="shared" si="44"/>
        <v>6.3799326517855999E-3</v>
      </c>
      <c r="N472" s="20" t="str">
        <f t="shared" si="47"/>
        <v>High volume</v>
      </c>
      <c r="O472" s="32">
        <f t="shared" si="45"/>
        <v>3457.5659999999998</v>
      </c>
      <c r="P472" s="20">
        <f t="shared" si="46"/>
        <v>5</v>
      </c>
      <c r="Q472" s="20" t="str" cm="1">
        <f t="array" ref="Q472">_xlfn.IFS(P472&lt;=3,"Q1",P472&lt;=6,"Q2",P472&lt;=9,"Q3",P472&lt;=12,"Q4")</f>
        <v>Q2</v>
      </c>
    </row>
    <row r="473" spans="1:17" x14ac:dyDescent="0.25">
      <c r="A473" s="14">
        <v>45791</v>
      </c>
      <c r="B473" s="15" t="s">
        <v>65</v>
      </c>
      <c r="C473" s="15" t="s">
        <v>66</v>
      </c>
      <c r="D473" s="15" t="s">
        <v>67</v>
      </c>
      <c r="E473" s="16">
        <v>199.97</v>
      </c>
      <c r="F473" s="16">
        <v>200.38</v>
      </c>
      <c r="G473" s="16">
        <v>199.19</v>
      </c>
      <c r="H473" s="16">
        <v>199.55</v>
      </c>
      <c r="I473" s="17">
        <v>2419647</v>
      </c>
      <c r="J473" s="16">
        <v>49887500000</v>
      </c>
      <c r="K473" s="30">
        <f t="shared" si="42"/>
        <v>-0.21003150472570262</v>
      </c>
      <c r="L473" s="31">
        <f t="shared" si="43"/>
        <v>1.1899999999999977</v>
      </c>
      <c r="M473" s="30">
        <f t="shared" si="44"/>
        <v>5.9508926338950729E-3</v>
      </c>
      <c r="N473" s="20" t="str">
        <f t="shared" si="47"/>
        <v>High volume</v>
      </c>
      <c r="O473" s="32">
        <f t="shared" si="45"/>
        <v>49.887500000000003</v>
      </c>
      <c r="P473" s="20">
        <f t="shared" si="46"/>
        <v>5</v>
      </c>
      <c r="Q473" s="20" t="str" cm="1">
        <f t="array" ref="Q473">_xlfn.IFS(P473&lt;=3,"Q1",P473&lt;=6,"Q2",P473&lt;=9,"Q3",P473&lt;=12,"Q4")</f>
        <v>Q2</v>
      </c>
    </row>
    <row r="474" spans="1:17" x14ac:dyDescent="0.25">
      <c r="A474" s="8">
        <v>45791</v>
      </c>
      <c r="B474" s="9" t="s">
        <v>69</v>
      </c>
      <c r="C474" s="9" t="s">
        <v>70</v>
      </c>
      <c r="D474" s="9" t="s">
        <v>71</v>
      </c>
      <c r="E474" s="10">
        <v>608.39</v>
      </c>
      <c r="F474" s="10">
        <v>614.87</v>
      </c>
      <c r="G474" s="10">
        <v>607.92999999999995</v>
      </c>
      <c r="H474" s="10">
        <v>614.80999999999995</v>
      </c>
      <c r="I474" s="11">
        <v>4320112</v>
      </c>
      <c r="J474" s="10">
        <v>491848000000</v>
      </c>
      <c r="K474" s="30">
        <f t="shared" si="42"/>
        <v>1.0552441690363024</v>
      </c>
      <c r="L474" s="31">
        <f t="shared" si="43"/>
        <v>6.9400000000000546</v>
      </c>
      <c r="M474" s="30">
        <f t="shared" si="44"/>
        <v>1.1407156593632464E-2</v>
      </c>
      <c r="N474" s="20" t="str">
        <f t="shared" si="47"/>
        <v>High volume</v>
      </c>
      <c r="O474" s="32">
        <f t="shared" si="45"/>
        <v>491.84800000000001</v>
      </c>
      <c r="P474" s="20">
        <f t="shared" si="46"/>
        <v>5</v>
      </c>
      <c r="Q474" s="20" t="str" cm="1">
        <f t="array" ref="Q474">_xlfn.IFS(P474&lt;=3,"Q1",P474&lt;=6,"Q2",P474&lt;=9,"Q3",P474&lt;=12,"Q4")</f>
        <v>Q2</v>
      </c>
    </row>
    <row r="475" spans="1:17" x14ac:dyDescent="0.25">
      <c r="A475" s="14">
        <v>45791</v>
      </c>
      <c r="B475" s="15" t="s">
        <v>73</v>
      </c>
      <c r="C475" s="15" t="s">
        <v>74</v>
      </c>
      <c r="D475" s="15" t="s">
        <v>75</v>
      </c>
      <c r="E475" s="16">
        <v>111.2</v>
      </c>
      <c r="F475" s="16">
        <v>112.16</v>
      </c>
      <c r="G475" s="16">
        <v>110.66</v>
      </c>
      <c r="H475" s="16">
        <v>112.05</v>
      </c>
      <c r="I475" s="17">
        <v>3808960</v>
      </c>
      <c r="J475" s="16">
        <v>24651000000</v>
      </c>
      <c r="K475" s="30">
        <f t="shared" si="42"/>
        <v>0.76438848920862801</v>
      </c>
      <c r="L475" s="31">
        <f t="shared" si="43"/>
        <v>1.5</v>
      </c>
      <c r="M475" s="30">
        <f t="shared" si="44"/>
        <v>1.3489208633093525E-2</v>
      </c>
      <c r="N475" s="20" t="str">
        <f t="shared" si="47"/>
        <v>High volume</v>
      </c>
      <c r="O475" s="32">
        <f t="shared" si="45"/>
        <v>24.651</v>
      </c>
      <c r="P475" s="20">
        <f t="shared" si="46"/>
        <v>5</v>
      </c>
      <c r="Q475" s="20" t="str" cm="1">
        <f t="array" ref="Q475">_xlfn.IFS(P475&lt;=3,"Q1",P475&lt;=6,"Q2",P475&lt;=9,"Q3",P475&lt;=12,"Q4")</f>
        <v>Q2</v>
      </c>
    </row>
    <row r="476" spans="1:17" x14ac:dyDescent="0.25">
      <c r="A476" s="8">
        <v>45791</v>
      </c>
      <c r="B476" s="9" t="s">
        <v>76</v>
      </c>
      <c r="C476" s="9" t="s">
        <v>77</v>
      </c>
      <c r="D476" s="9" t="s">
        <v>75</v>
      </c>
      <c r="E476" s="10">
        <v>136.69</v>
      </c>
      <c r="F476" s="10">
        <v>137.21</v>
      </c>
      <c r="G476" s="10">
        <v>135.21</v>
      </c>
      <c r="H476" s="10">
        <v>136.28</v>
      </c>
      <c r="I476" s="11">
        <v>1012880</v>
      </c>
      <c r="J476" s="10">
        <v>27256000000</v>
      </c>
      <c r="K476" s="30">
        <f t="shared" si="42"/>
        <v>-0.29994878923110441</v>
      </c>
      <c r="L476" s="31">
        <f t="shared" si="43"/>
        <v>2</v>
      </c>
      <c r="M476" s="30">
        <f t="shared" si="44"/>
        <v>1.4631648255175945E-2</v>
      </c>
      <c r="N476" s="20" t="str">
        <f t="shared" si="47"/>
        <v>Normal</v>
      </c>
      <c r="O476" s="32">
        <f t="shared" si="45"/>
        <v>27.256</v>
      </c>
      <c r="P476" s="20">
        <f t="shared" si="46"/>
        <v>5</v>
      </c>
      <c r="Q476" s="20" t="str" cm="1">
        <f t="array" ref="Q476">_xlfn.IFS(P476&lt;=3,"Q1",P476&lt;=6,"Q2",P476&lt;=9,"Q3",P476&lt;=12,"Q4")</f>
        <v>Q2</v>
      </c>
    </row>
    <row r="477" spans="1:17" x14ac:dyDescent="0.25">
      <c r="A477" s="14">
        <v>45792</v>
      </c>
      <c r="B477" s="15" t="s">
        <v>60</v>
      </c>
      <c r="C477" s="15" t="s">
        <v>61</v>
      </c>
      <c r="D477" s="15" t="s">
        <v>62</v>
      </c>
      <c r="E477" s="16">
        <v>2531</v>
      </c>
      <c r="F477" s="16">
        <v>2542.8200000000002</v>
      </c>
      <c r="G477" s="16">
        <v>2521.3000000000002</v>
      </c>
      <c r="H477" s="16">
        <v>2535.6</v>
      </c>
      <c r="I477" s="17">
        <v>1695348</v>
      </c>
      <c r="J477" s="16">
        <v>3549840000000</v>
      </c>
      <c r="K477" s="30">
        <f t="shared" si="42"/>
        <v>0.1817463453180525</v>
      </c>
      <c r="L477" s="31">
        <f t="shared" si="43"/>
        <v>21.519999999999982</v>
      </c>
      <c r="M477" s="30">
        <f t="shared" si="44"/>
        <v>8.5025681548794863E-3</v>
      </c>
      <c r="N477" s="20" t="str">
        <f t="shared" si="47"/>
        <v>Normal</v>
      </c>
      <c r="O477" s="32">
        <f t="shared" si="45"/>
        <v>3549.84</v>
      </c>
      <c r="P477" s="20">
        <f t="shared" si="46"/>
        <v>5</v>
      </c>
      <c r="Q477" s="20" t="str" cm="1">
        <f t="array" ref="Q477">_xlfn.IFS(P477&lt;=3,"Q1",P477&lt;=6,"Q2",P477&lt;=9,"Q3",P477&lt;=12,"Q4")</f>
        <v>Q2</v>
      </c>
    </row>
    <row r="478" spans="1:17" x14ac:dyDescent="0.25">
      <c r="A478" s="8">
        <v>45792</v>
      </c>
      <c r="B478" s="9" t="s">
        <v>65</v>
      </c>
      <c r="C478" s="9" t="s">
        <v>66</v>
      </c>
      <c r="D478" s="9" t="s">
        <v>67</v>
      </c>
      <c r="E478" s="10">
        <v>199.05</v>
      </c>
      <c r="F478" s="10">
        <v>199.43</v>
      </c>
      <c r="G478" s="10">
        <v>196.67</v>
      </c>
      <c r="H478" s="10">
        <v>197.77</v>
      </c>
      <c r="I478" s="11">
        <v>3081634</v>
      </c>
      <c r="J478" s="10">
        <v>49442500000</v>
      </c>
      <c r="K478" s="30">
        <f t="shared" si="42"/>
        <v>-0.64305450891735805</v>
      </c>
      <c r="L478" s="31">
        <f t="shared" si="43"/>
        <v>2.7600000000000193</v>
      </c>
      <c r="M478" s="30">
        <f t="shared" si="44"/>
        <v>1.3865862848530617E-2</v>
      </c>
      <c r="N478" s="20" t="str">
        <f t="shared" si="47"/>
        <v>High volume</v>
      </c>
      <c r="O478" s="32">
        <f t="shared" si="45"/>
        <v>49.442500000000003</v>
      </c>
      <c r="P478" s="20">
        <f t="shared" si="46"/>
        <v>5</v>
      </c>
      <c r="Q478" s="20" t="str" cm="1">
        <f t="array" ref="Q478">_xlfn.IFS(P478&lt;=3,"Q1",P478&lt;=6,"Q2",P478&lt;=9,"Q3",P478&lt;=12,"Q4")</f>
        <v>Q2</v>
      </c>
    </row>
    <row r="479" spans="1:17" x14ac:dyDescent="0.25">
      <c r="A479" s="14">
        <v>45792</v>
      </c>
      <c r="B479" s="15" t="s">
        <v>69</v>
      </c>
      <c r="C479" s="15" t="s">
        <v>70</v>
      </c>
      <c r="D479" s="15" t="s">
        <v>71</v>
      </c>
      <c r="E479" s="16">
        <v>613.51</v>
      </c>
      <c r="F479" s="16">
        <v>618.6</v>
      </c>
      <c r="G479" s="16">
        <v>612.4</v>
      </c>
      <c r="H479" s="16">
        <v>612.47</v>
      </c>
      <c r="I479" s="17">
        <v>2470454</v>
      </c>
      <c r="J479" s="16">
        <v>489976000000</v>
      </c>
      <c r="K479" s="30">
        <f t="shared" si="42"/>
        <v>-0.16951638930090196</v>
      </c>
      <c r="L479" s="31">
        <f t="shared" si="43"/>
        <v>6.2000000000000455</v>
      </c>
      <c r="M479" s="30">
        <f t="shared" si="44"/>
        <v>1.0105784746784969E-2</v>
      </c>
      <c r="N479" s="20" t="str">
        <f t="shared" si="47"/>
        <v>High volume</v>
      </c>
      <c r="O479" s="32">
        <f t="shared" si="45"/>
        <v>489.976</v>
      </c>
      <c r="P479" s="20">
        <f t="shared" si="46"/>
        <v>5</v>
      </c>
      <c r="Q479" s="20" t="str" cm="1">
        <f t="array" ref="Q479">_xlfn.IFS(P479&lt;=3,"Q1",P479&lt;=6,"Q2",P479&lt;=9,"Q3",P479&lt;=12,"Q4")</f>
        <v>Q2</v>
      </c>
    </row>
    <row r="480" spans="1:17" x14ac:dyDescent="0.25">
      <c r="A480" s="8">
        <v>45792</v>
      </c>
      <c r="B480" s="9" t="s">
        <v>73</v>
      </c>
      <c r="C480" s="9" t="s">
        <v>74</v>
      </c>
      <c r="D480" s="9" t="s">
        <v>75</v>
      </c>
      <c r="E480" s="10">
        <v>112.56</v>
      </c>
      <c r="F480" s="10">
        <v>114.03</v>
      </c>
      <c r="G480" s="10">
        <v>111.28</v>
      </c>
      <c r="H480" s="10">
        <v>111.89</v>
      </c>
      <c r="I480" s="11">
        <v>3438342</v>
      </c>
      <c r="J480" s="10">
        <v>24615800000</v>
      </c>
      <c r="K480" s="30">
        <f t="shared" si="42"/>
        <v>-0.59523809523809679</v>
      </c>
      <c r="L480" s="31">
        <f t="shared" si="43"/>
        <v>2.75</v>
      </c>
      <c r="M480" s="30">
        <f t="shared" si="44"/>
        <v>2.443141435678749E-2</v>
      </c>
      <c r="N480" s="20" t="str">
        <f t="shared" si="47"/>
        <v>High volume</v>
      </c>
      <c r="O480" s="32">
        <f t="shared" si="45"/>
        <v>24.6158</v>
      </c>
      <c r="P480" s="20">
        <f t="shared" si="46"/>
        <v>5</v>
      </c>
      <c r="Q480" s="20" t="str" cm="1">
        <f t="array" ref="Q480">_xlfn.IFS(P480&lt;=3,"Q1",P480&lt;=6,"Q2",P480&lt;=9,"Q3",P480&lt;=12,"Q4")</f>
        <v>Q2</v>
      </c>
    </row>
    <row r="481" spans="1:17" x14ac:dyDescent="0.25">
      <c r="A481" s="14">
        <v>45792</v>
      </c>
      <c r="B481" s="15" t="s">
        <v>76</v>
      </c>
      <c r="C481" s="15" t="s">
        <v>77</v>
      </c>
      <c r="D481" s="15" t="s">
        <v>75</v>
      </c>
      <c r="E481" s="16">
        <v>135.19999999999999</v>
      </c>
      <c r="F481" s="16">
        <v>136.63999999999999</v>
      </c>
      <c r="G481" s="16">
        <v>134.02000000000001</v>
      </c>
      <c r="H481" s="16">
        <v>135.56</v>
      </c>
      <c r="I481" s="17">
        <v>4498211</v>
      </c>
      <c r="J481" s="16">
        <v>27112000000</v>
      </c>
      <c r="K481" s="30">
        <f t="shared" si="42"/>
        <v>0.26627218934912256</v>
      </c>
      <c r="L481" s="31">
        <f t="shared" si="43"/>
        <v>2.6199999999999761</v>
      </c>
      <c r="M481" s="30">
        <f t="shared" si="44"/>
        <v>1.9378698224851897E-2</v>
      </c>
      <c r="N481" s="20" t="str">
        <f t="shared" si="47"/>
        <v>High volume</v>
      </c>
      <c r="O481" s="32">
        <f t="shared" si="45"/>
        <v>27.111999999999998</v>
      </c>
      <c r="P481" s="20">
        <f t="shared" si="46"/>
        <v>5</v>
      </c>
      <c r="Q481" s="20" t="str" cm="1">
        <f t="array" ref="Q481">_xlfn.IFS(P481&lt;=3,"Q1",P481&lt;=6,"Q2",P481&lt;=9,"Q3",P481&lt;=12,"Q4")</f>
        <v>Q2</v>
      </c>
    </row>
    <row r="482" spans="1:17" x14ac:dyDescent="0.25">
      <c r="A482" s="8">
        <v>45793</v>
      </c>
      <c r="B482" s="9" t="s">
        <v>60</v>
      </c>
      <c r="C482" s="9" t="s">
        <v>61</v>
      </c>
      <c r="D482" s="9" t="s">
        <v>62</v>
      </c>
      <c r="E482" s="10">
        <v>2613.54</v>
      </c>
      <c r="F482" s="10">
        <v>2672.71</v>
      </c>
      <c r="G482" s="10">
        <v>2596.15</v>
      </c>
      <c r="H482" s="10">
        <v>2666.63</v>
      </c>
      <c r="I482" s="11">
        <v>1020202</v>
      </c>
      <c r="J482" s="10">
        <v>3733282000000</v>
      </c>
      <c r="K482" s="30">
        <f t="shared" si="42"/>
        <v>2.0313444600044441</v>
      </c>
      <c r="L482" s="31">
        <f t="shared" si="43"/>
        <v>76.559999999999945</v>
      </c>
      <c r="M482" s="30">
        <f t="shared" si="44"/>
        <v>2.9293601781491749E-2</v>
      </c>
      <c r="N482" s="20" t="str">
        <f t="shared" si="47"/>
        <v>Normal</v>
      </c>
      <c r="O482" s="32">
        <f t="shared" si="45"/>
        <v>3733.2820000000002</v>
      </c>
      <c r="P482" s="20">
        <f t="shared" si="46"/>
        <v>5</v>
      </c>
      <c r="Q482" s="20" t="str" cm="1">
        <f t="array" ref="Q482">_xlfn.IFS(P482&lt;=3,"Q1",P482&lt;=6,"Q2",P482&lt;=9,"Q3",P482&lt;=12,"Q4")</f>
        <v>Q2</v>
      </c>
    </row>
    <row r="483" spans="1:17" x14ac:dyDescent="0.25">
      <c r="A483" s="14">
        <v>45793</v>
      </c>
      <c r="B483" s="15" t="s">
        <v>65</v>
      </c>
      <c r="C483" s="15" t="s">
        <v>66</v>
      </c>
      <c r="D483" s="15" t="s">
        <v>67</v>
      </c>
      <c r="E483" s="16">
        <v>198.08</v>
      </c>
      <c r="F483" s="16">
        <v>200.89</v>
      </c>
      <c r="G483" s="16">
        <v>195.57</v>
      </c>
      <c r="H483" s="16">
        <v>196.32</v>
      </c>
      <c r="I483" s="17">
        <v>2916325</v>
      </c>
      <c r="J483" s="16">
        <v>49080000000</v>
      </c>
      <c r="K483" s="30">
        <f t="shared" si="42"/>
        <v>-0.88852988691438761</v>
      </c>
      <c r="L483" s="31">
        <f t="shared" si="43"/>
        <v>5.3199999999999932</v>
      </c>
      <c r="M483" s="30">
        <f t="shared" si="44"/>
        <v>2.6857835218093665E-2</v>
      </c>
      <c r="N483" s="20" t="str">
        <f t="shared" si="47"/>
        <v>High volume</v>
      </c>
      <c r="O483" s="32">
        <f t="shared" si="45"/>
        <v>49.08</v>
      </c>
      <c r="P483" s="20">
        <f t="shared" si="46"/>
        <v>5</v>
      </c>
      <c r="Q483" s="20" t="str" cm="1">
        <f t="array" ref="Q483">_xlfn.IFS(P483&lt;=3,"Q1",P483&lt;=6,"Q2",P483&lt;=9,"Q3",P483&lt;=12,"Q4")</f>
        <v>Q2</v>
      </c>
    </row>
    <row r="484" spans="1:17" x14ac:dyDescent="0.25">
      <c r="A484" s="8">
        <v>45793</v>
      </c>
      <c r="B484" s="9" t="s">
        <v>69</v>
      </c>
      <c r="C484" s="9" t="s">
        <v>70</v>
      </c>
      <c r="D484" s="9" t="s">
        <v>71</v>
      </c>
      <c r="E484" s="10">
        <v>603.71</v>
      </c>
      <c r="F484" s="10">
        <v>610.76</v>
      </c>
      <c r="G484" s="10">
        <v>599.28</v>
      </c>
      <c r="H484" s="10">
        <v>600.4</v>
      </c>
      <c r="I484" s="11">
        <v>4095402</v>
      </c>
      <c r="J484" s="10">
        <v>480320000000</v>
      </c>
      <c r="K484" s="30">
        <f t="shared" si="42"/>
        <v>-0.5482764903679016</v>
      </c>
      <c r="L484" s="31">
        <f t="shared" si="43"/>
        <v>11.480000000000018</v>
      </c>
      <c r="M484" s="30">
        <f t="shared" si="44"/>
        <v>1.9015752596445341E-2</v>
      </c>
      <c r="N484" s="20" t="str">
        <f t="shared" si="47"/>
        <v>High volume</v>
      </c>
      <c r="O484" s="32">
        <f t="shared" si="45"/>
        <v>480.32</v>
      </c>
      <c r="P484" s="20">
        <f t="shared" si="46"/>
        <v>5</v>
      </c>
      <c r="Q484" s="20" t="str" cm="1">
        <f t="array" ref="Q484">_xlfn.IFS(P484&lt;=3,"Q1",P484&lt;=6,"Q2",P484&lt;=9,"Q3",P484&lt;=12,"Q4")</f>
        <v>Q2</v>
      </c>
    </row>
    <row r="485" spans="1:17" x14ac:dyDescent="0.25">
      <c r="A485" s="14">
        <v>45793</v>
      </c>
      <c r="B485" s="15" t="s">
        <v>73</v>
      </c>
      <c r="C485" s="15" t="s">
        <v>74</v>
      </c>
      <c r="D485" s="15" t="s">
        <v>75</v>
      </c>
      <c r="E485" s="16">
        <v>111.71</v>
      </c>
      <c r="F485" s="16">
        <v>112.03</v>
      </c>
      <c r="G485" s="16">
        <v>111.02</v>
      </c>
      <c r="H485" s="16">
        <v>111.84</v>
      </c>
      <c r="I485" s="17">
        <v>1265405</v>
      </c>
      <c r="J485" s="16">
        <v>24604800000</v>
      </c>
      <c r="K485" s="30">
        <f t="shared" si="42"/>
        <v>0.11637275087280428</v>
      </c>
      <c r="L485" s="31">
        <f t="shared" si="43"/>
        <v>1.0100000000000051</v>
      </c>
      <c r="M485" s="30">
        <f t="shared" si="44"/>
        <v>9.0412675678095532E-3</v>
      </c>
      <c r="N485" s="20" t="str">
        <f t="shared" si="47"/>
        <v>Normal</v>
      </c>
      <c r="O485" s="32">
        <f t="shared" si="45"/>
        <v>24.604800000000001</v>
      </c>
      <c r="P485" s="20">
        <f t="shared" si="46"/>
        <v>5</v>
      </c>
      <c r="Q485" s="20" t="str" cm="1">
        <f t="array" ref="Q485">_xlfn.IFS(P485&lt;=3,"Q1",P485&lt;=6,"Q2",P485&lt;=9,"Q3",P485&lt;=12,"Q4")</f>
        <v>Q2</v>
      </c>
    </row>
    <row r="486" spans="1:17" x14ac:dyDescent="0.25">
      <c r="A486" s="8">
        <v>45793</v>
      </c>
      <c r="B486" s="9" t="s">
        <v>76</v>
      </c>
      <c r="C486" s="9" t="s">
        <v>77</v>
      </c>
      <c r="D486" s="9" t="s">
        <v>75</v>
      </c>
      <c r="E486" s="10">
        <v>137.43</v>
      </c>
      <c r="F486" s="10">
        <v>137.57</v>
      </c>
      <c r="G486" s="10">
        <v>135.9</v>
      </c>
      <c r="H486" s="10">
        <v>137.44999999999999</v>
      </c>
      <c r="I486" s="11">
        <v>2346090</v>
      </c>
      <c r="J486" s="10">
        <v>27490000000</v>
      </c>
      <c r="K486" s="30">
        <f t="shared" si="42"/>
        <v>1.4552863275836287E-2</v>
      </c>
      <c r="L486" s="31">
        <f t="shared" si="43"/>
        <v>1.6699999999999875</v>
      </c>
      <c r="M486" s="30">
        <f t="shared" si="44"/>
        <v>1.215164083533426E-2</v>
      </c>
      <c r="N486" s="20" t="str">
        <f t="shared" si="47"/>
        <v>High volume</v>
      </c>
      <c r="O486" s="32">
        <f t="shared" si="45"/>
        <v>27.49</v>
      </c>
      <c r="P486" s="20">
        <f t="shared" si="46"/>
        <v>5</v>
      </c>
      <c r="Q486" s="20" t="str" cm="1">
        <f t="array" ref="Q486">_xlfn.IFS(P486&lt;=3,"Q1",P486&lt;=6,"Q2",P486&lt;=9,"Q3",P486&lt;=12,"Q4")</f>
        <v>Q2</v>
      </c>
    </row>
    <row r="487" spans="1:17" x14ac:dyDescent="0.25">
      <c r="A487" s="14">
        <v>45796</v>
      </c>
      <c r="B487" s="15" t="s">
        <v>60</v>
      </c>
      <c r="C487" s="15" t="s">
        <v>61</v>
      </c>
      <c r="D487" s="15" t="s">
        <v>62</v>
      </c>
      <c r="E487" s="16">
        <v>2712.69</v>
      </c>
      <c r="F487" s="16">
        <v>2740.05</v>
      </c>
      <c r="G487" s="16">
        <v>2709.93</v>
      </c>
      <c r="H487" s="16">
        <v>2719.9</v>
      </c>
      <c r="I487" s="17">
        <v>3876645</v>
      </c>
      <c r="J487" s="16">
        <v>3807860000000</v>
      </c>
      <c r="K487" s="30">
        <f t="shared" si="42"/>
        <v>0.26578783421622215</v>
      </c>
      <c r="L487" s="31">
        <f t="shared" si="43"/>
        <v>30.120000000000346</v>
      </c>
      <c r="M487" s="30">
        <f t="shared" si="44"/>
        <v>1.110336971788164E-2</v>
      </c>
      <c r="N487" s="20" t="str">
        <f t="shared" si="47"/>
        <v>High volume</v>
      </c>
      <c r="O487" s="32">
        <f t="shared" si="45"/>
        <v>3807.86</v>
      </c>
      <c r="P487" s="20">
        <f t="shared" si="46"/>
        <v>5</v>
      </c>
      <c r="Q487" s="20" t="str" cm="1">
        <f t="array" ref="Q487">_xlfn.IFS(P487&lt;=3,"Q1",P487&lt;=6,"Q2",P487&lt;=9,"Q3",P487&lt;=12,"Q4")</f>
        <v>Q2</v>
      </c>
    </row>
    <row r="488" spans="1:17" x14ac:dyDescent="0.25">
      <c r="A488" s="8">
        <v>45796</v>
      </c>
      <c r="B488" s="9" t="s">
        <v>65</v>
      </c>
      <c r="C488" s="9" t="s">
        <v>66</v>
      </c>
      <c r="D488" s="9" t="s">
        <v>67</v>
      </c>
      <c r="E488" s="10">
        <v>198.43</v>
      </c>
      <c r="F488" s="10">
        <v>198.73</v>
      </c>
      <c r="G488" s="10">
        <v>197.59</v>
      </c>
      <c r="H488" s="10">
        <v>198.32</v>
      </c>
      <c r="I488" s="11">
        <v>3925006</v>
      </c>
      <c r="J488" s="10">
        <v>49580000000</v>
      </c>
      <c r="K488" s="30">
        <f t="shared" si="42"/>
        <v>-5.5435166053527003E-2</v>
      </c>
      <c r="L488" s="31">
        <f t="shared" si="43"/>
        <v>1.1399999999999864</v>
      </c>
      <c r="M488" s="30">
        <f t="shared" si="44"/>
        <v>5.7450990273647451E-3</v>
      </c>
      <c r="N488" s="20" t="str">
        <f t="shared" si="47"/>
        <v>High volume</v>
      </c>
      <c r="O488" s="32">
        <f t="shared" si="45"/>
        <v>49.58</v>
      </c>
      <c r="P488" s="20">
        <f t="shared" si="46"/>
        <v>5</v>
      </c>
      <c r="Q488" s="20" t="str" cm="1">
        <f t="array" ref="Q488">_xlfn.IFS(P488&lt;=3,"Q1",P488&lt;=6,"Q2",P488&lt;=9,"Q3",P488&lt;=12,"Q4")</f>
        <v>Q2</v>
      </c>
    </row>
    <row r="489" spans="1:17" x14ac:dyDescent="0.25">
      <c r="A489" s="14">
        <v>45796</v>
      </c>
      <c r="B489" s="15" t="s">
        <v>69</v>
      </c>
      <c r="C489" s="15" t="s">
        <v>70</v>
      </c>
      <c r="D489" s="15" t="s">
        <v>71</v>
      </c>
      <c r="E489" s="16">
        <v>603.75</v>
      </c>
      <c r="F489" s="16">
        <v>610.01</v>
      </c>
      <c r="G489" s="16">
        <v>598.92999999999995</v>
      </c>
      <c r="H489" s="16">
        <v>608.71</v>
      </c>
      <c r="I489" s="17">
        <v>4071308</v>
      </c>
      <c r="J489" s="16">
        <v>486968000000</v>
      </c>
      <c r="K489" s="30">
        <f t="shared" si="42"/>
        <v>0.82153209109731462</v>
      </c>
      <c r="L489" s="31">
        <f t="shared" si="43"/>
        <v>11.080000000000041</v>
      </c>
      <c r="M489" s="30">
        <f t="shared" si="44"/>
        <v>1.8351966873706074E-2</v>
      </c>
      <c r="N489" s="20" t="str">
        <f t="shared" si="47"/>
        <v>High volume</v>
      </c>
      <c r="O489" s="32">
        <f t="shared" si="45"/>
        <v>486.96800000000002</v>
      </c>
      <c r="P489" s="20">
        <f t="shared" si="46"/>
        <v>5</v>
      </c>
      <c r="Q489" s="20" t="str" cm="1">
        <f t="array" ref="Q489">_xlfn.IFS(P489&lt;=3,"Q1",P489&lt;=6,"Q2",P489&lt;=9,"Q3",P489&lt;=12,"Q4")</f>
        <v>Q2</v>
      </c>
    </row>
    <row r="490" spans="1:17" x14ac:dyDescent="0.25">
      <c r="A490" s="8">
        <v>45796</v>
      </c>
      <c r="B490" s="9" t="s">
        <v>73</v>
      </c>
      <c r="C490" s="9" t="s">
        <v>74</v>
      </c>
      <c r="D490" s="9" t="s">
        <v>75</v>
      </c>
      <c r="E490" s="10">
        <v>110.47</v>
      </c>
      <c r="F490" s="10">
        <v>110.95</v>
      </c>
      <c r="G490" s="10">
        <v>110.3</v>
      </c>
      <c r="H490" s="10">
        <v>110.79</v>
      </c>
      <c r="I490" s="11">
        <v>824822</v>
      </c>
      <c r="J490" s="10">
        <v>24373800000</v>
      </c>
      <c r="K490" s="30">
        <f t="shared" si="42"/>
        <v>0.28967140400109298</v>
      </c>
      <c r="L490" s="31">
        <f t="shared" si="43"/>
        <v>0.65000000000000568</v>
      </c>
      <c r="M490" s="30">
        <f t="shared" si="44"/>
        <v>5.8839503937721162E-3</v>
      </c>
      <c r="N490" s="20" t="str">
        <f t="shared" si="47"/>
        <v>Normal</v>
      </c>
      <c r="O490" s="32">
        <f t="shared" si="45"/>
        <v>24.373799999999999</v>
      </c>
      <c r="P490" s="20">
        <f t="shared" si="46"/>
        <v>5</v>
      </c>
      <c r="Q490" s="20" t="str" cm="1">
        <f t="array" ref="Q490">_xlfn.IFS(P490&lt;=3,"Q1",P490&lt;=6,"Q2",P490&lt;=9,"Q3",P490&lt;=12,"Q4")</f>
        <v>Q2</v>
      </c>
    </row>
    <row r="491" spans="1:17" x14ac:dyDescent="0.25">
      <c r="A491" s="14">
        <v>45796</v>
      </c>
      <c r="B491" s="15" t="s">
        <v>76</v>
      </c>
      <c r="C491" s="15" t="s">
        <v>77</v>
      </c>
      <c r="D491" s="15" t="s">
        <v>75</v>
      </c>
      <c r="E491" s="16">
        <v>136.13</v>
      </c>
      <c r="F491" s="16">
        <v>137.86000000000001</v>
      </c>
      <c r="G491" s="16">
        <v>135.22</v>
      </c>
      <c r="H491" s="16">
        <v>136.63999999999999</v>
      </c>
      <c r="I491" s="17">
        <v>3368494</v>
      </c>
      <c r="J491" s="16">
        <v>27328000000</v>
      </c>
      <c r="K491" s="30">
        <f t="shared" si="42"/>
        <v>0.3746418864320803</v>
      </c>
      <c r="L491" s="31">
        <f t="shared" si="43"/>
        <v>2.6400000000000148</v>
      </c>
      <c r="M491" s="30">
        <f t="shared" si="44"/>
        <v>1.9393227062366965E-2</v>
      </c>
      <c r="N491" s="20" t="str">
        <f t="shared" si="47"/>
        <v>High volume</v>
      </c>
      <c r="O491" s="32">
        <f t="shared" si="45"/>
        <v>27.327999999999999</v>
      </c>
      <c r="P491" s="20">
        <f t="shared" si="46"/>
        <v>5</v>
      </c>
      <c r="Q491" s="20" t="str" cm="1">
        <f t="array" ref="Q491">_xlfn.IFS(P491&lt;=3,"Q1",P491&lt;=6,"Q2",P491&lt;=9,"Q3",P491&lt;=12,"Q4")</f>
        <v>Q2</v>
      </c>
    </row>
    <row r="492" spans="1:17" x14ac:dyDescent="0.25">
      <c r="A492" s="8">
        <v>45797</v>
      </c>
      <c r="B492" s="9" t="s">
        <v>60</v>
      </c>
      <c r="C492" s="9" t="s">
        <v>61</v>
      </c>
      <c r="D492" s="9" t="s">
        <v>62</v>
      </c>
      <c r="E492" s="10">
        <v>2699.71</v>
      </c>
      <c r="F492" s="10">
        <v>2720.93</v>
      </c>
      <c r="G492" s="10">
        <v>2696.37</v>
      </c>
      <c r="H492" s="10">
        <v>2709.33</v>
      </c>
      <c r="I492" s="11">
        <v>2929024</v>
      </c>
      <c r="J492" s="10">
        <v>3793062000000</v>
      </c>
      <c r="K492" s="30">
        <f t="shared" si="42"/>
        <v>0.35633456926854701</v>
      </c>
      <c r="L492" s="31">
        <f t="shared" si="43"/>
        <v>24.559999999999945</v>
      </c>
      <c r="M492" s="30">
        <f t="shared" si="44"/>
        <v>9.0972734108478118E-3</v>
      </c>
      <c r="N492" s="20" t="str">
        <f t="shared" si="47"/>
        <v>High volume</v>
      </c>
      <c r="O492" s="32">
        <f t="shared" si="45"/>
        <v>3793.0619999999999</v>
      </c>
      <c r="P492" s="20">
        <f t="shared" si="46"/>
        <v>5</v>
      </c>
      <c r="Q492" s="20" t="str" cm="1">
        <f t="array" ref="Q492">_xlfn.IFS(P492&lt;=3,"Q1",P492&lt;=6,"Q2",P492&lt;=9,"Q3",P492&lt;=12,"Q4")</f>
        <v>Q2</v>
      </c>
    </row>
    <row r="493" spans="1:17" x14ac:dyDescent="0.25">
      <c r="A493" s="14">
        <v>45797</v>
      </c>
      <c r="B493" s="15" t="s">
        <v>65</v>
      </c>
      <c r="C493" s="15" t="s">
        <v>66</v>
      </c>
      <c r="D493" s="15" t="s">
        <v>67</v>
      </c>
      <c r="E493" s="16">
        <v>204.27</v>
      </c>
      <c r="F493" s="16">
        <v>206.11</v>
      </c>
      <c r="G493" s="16">
        <v>202.98</v>
      </c>
      <c r="H493" s="16">
        <v>204.82</v>
      </c>
      <c r="I493" s="17">
        <v>3218603</v>
      </c>
      <c r="J493" s="16">
        <v>51205000000</v>
      </c>
      <c r="K493" s="30">
        <f t="shared" si="42"/>
        <v>0.2692514808831365</v>
      </c>
      <c r="L493" s="31">
        <f t="shared" si="43"/>
        <v>3.1300000000000239</v>
      </c>
      <c r="M493" s="30">
        <f t="shared" si="44"/>
        <v>1.532285700298636E-2</v>
      </c>
      <c r="N493" s="20" t="str">
        <f t="shared" si="47"/>
        <v>High volume</v>
      </c>
      <c r="O493" s="32">
        <f t="shared" si="45"/>
        <v>51.204999999999998</v>
      </c>
      <c r="P493" s="20">
        <f t="shared" si="46"/>
        <v>5</v>
      </c>
      <c r="Q493" s="20" t="str" cm="1">
        <f t="array" ref="Q493">_xlfn.IFS(P493&lt;=3,"Q1",P493&lt;=6,"Q2",P493&lt;=9,"Q3",P493&lt;=12,"Q4")</f>
        <v>Q2</v>
      </c>
    </row>
    <row r="494" spans="1:17" x14ac:dyDescent="0.25">
      <c r="A494" s="8">
        <v>45797</v>
      </c>
      <c r="B494" s="9" t="s">
        <v>69</v>
      </c>
      <c r="C494" s="9" t="s">
        <v>70</v>
      </c>
      <c r="D494" s="9" t="s">
        <v>71</v>
      </c>
      <c r="E494" s="10">
        <v>602.79</v>
      </c>
      <c r="F494" s="10">
        <v>607.07000000000005</v>
      </c>
      <c r="G494" s="10">
        <v>599.41</v>
      </c>
      <c r="H494" s="10">
        <v>605.54</v>
      </c>
      <c r="I494" s="11">
        <v>1010951</v>
      </c>
      <c r="J494" s="10">
        <v>484432000000</v>
      </c>
      <c r="K494" s="30">
        <f t="shared" si="42"/>
        <v>0.45621194777617413</v>
      </c>
      <c r="L494" s="31">
        <f t="shared" si="43"/>
        <v>7.6600000000000819</v>
      </c>
      <c r="M494" s="30">
        <f t="shared" si="44"/>
        <v>1.2707576436238295E-2</v>
      </c>
      <c r="N494" s="20" t="str">
        <f t="shared" si="47"/>
        <v>Normal</v>
      </c>
      <c r="O494" s="32">
        <f t="shared" si="45"/>
        <v>484.43200000000002</v>
      </c>
      <c r="P494" s="20">
        <f t="shared" si="46"/>
        <v>5</v>
      </c>
      <c r="Q494" s="20" t="str" cm="1">
        <f t="array" ref="Q494">_xlfn.IFS(P494&lt;=3,"Q1",P494&lt;=6,"Q2",P494&lt;=9,"Q3",P494&lt;=12,"Q4")</f>
        <v>Q2</v>
      </c>
    </row>
    <row r="495" spans="1:17" x14ac:dyDescent="0.25">
      <c r="A495" s="14">
        <v>45797</v>
      </c>
      <c r="B495" s="15" t="s">
        <v>73</v>
      </c>
      <c r="C495" s="15" t="s">
        <v>74</v>
      </c>
      <c r="D495" s="15" t="s">
        <v>75</v>
      </c>
      <c r="E495" s="16">
        <v>113.01</v>
      </c>
      <c r="F495" s="16">
        <v>113.38</v>
      </c>
      <c r="G495" s="16">
        <v>112.32</v>
      </c>
      <c r="H495" s="16">
        <v>112.57</v>
      </c>
      <c r="I495" s="17">
        <v>1281038</v>
      </c>
      <c r="J495" s="16">
        <v>24765400000</v>
      </c>
      <c r="K495" s="30">
        <f t="shared" si="42"/>
        <v>-0.38934607556854434</v>
      </c>
      <c r="L495" s="31">
        <f t="shared" si="43"/>
        <v>1.0600000000000023</v>
      </c>
      <c r="M495" s="30">
        <f t="shared" si="44"/>
        <v>9.3797009114237884E-3</v>
      </c>
      <c r="N495" s="20" t="str">
        <f t="shared" si="47"/>
        <v>Normal</v>
      </c>
      <c r="O495" s="32">
        <f t="shared" si="45"/>
        <v>24.7654</v>
      </c>
      <c r="P495" s="20">
        <f t="shared" si="46"/>
        <v>5</v>
      </c>
      <c r="Q495" s="20" t="str" cm="1">
        <f t="array" ref="Q495">_xlfn.IFS(P495&lt;=3,"Q1",P495&lt;=6,"Q2",P495&lt;=9,"Q3",P495&lt;=12,"Q4")</f>
        <v>Q2</v>
      </c>
    </row>
    <row r="496" spans="1:17" x14ac:dyDescent="0.25">
      <c r="A496" s="8">
        <v>45797</v>
      </c>
      <c r="B496" s="9" t="s">
        <v>76</v>
      </c>
      <c r="C496" s="9" t="s">
        <v>77</v>
      </c>
      <c r="D496" s="9" t="s">
        <v>75</v>
      </c>
      <c r="E496" s="10">
        <v>137.94999999999999</v>
      </c>
      <c r="F496" s="10">
        <v>139.5</v>
      </c>
      <c r="G496" s="10">
        <v>136.80000000000001</v>
      </c>
      <c r="H496" s="10">
        <v>137.16999999999999</v>
      </c>
      <c r="I496" s="11">
        <v>3518792</v>
      </c>
      <c r="J496" s="10">
        <v>27434000000</v>
      </c>
      <c r="K496" s="30">
        <f t="shared" si="42"/>
        <v>-0.56542225444001537</v>
      </c>
      <c r="L496" s="31">
        <f t="shared" si="43"/>
        <v>2.6999999999999886</v>
      </c>
      <c r="M496" s="30">
        <f t="shared" si="44"/>
        <v>1.9572308807538883E-2</v>
      </c>
      <c r="N496" s="20" t="str">
        <f t="shared" si="47"/>
        <v>High volume</v>
      </c>
      <c r="O496" s="32">
        <f t="shared" si="45"/>
        <v>27.434000000000001</v>
      </c>
      <c r="P496" s="20">
        <f t="shared" si="46"/>
        <v>5</v>
      </c>
      <c r="Q496" s="20" t="str" cm="1">
        <f t="array" ref="Q496">_xlfn.IFS(P496&lt;=3,"Q1",P496&lt;=6,"Q2",P496&lt;=9,"Q3",P496&lt;=12,"Q4")</f>
        <v>Q2</v>
      </c>
    </row>
    <row r="497" spans="1:17" x14ac:dyDescent="0.25">
      <c r="A497" s="14">
        <v>45798</v>
      </c>
      <c r="B497" s="15" t="s">
        <v>60</v>
      </c>
      <c r="C497" s="15" t="s">
        <v>61</v>
      </c>
      <c r="D497" s="15" t="s">
        <v>62</v>
      </c>
      <c r="E497" s="16">
        <v>2707</v>
      </c>
      <c r="F497" s="16">
        <v>2729.14</v>
      </c>
      <c r="G497" s="16">
        <v>2695.37</v>
      </c>
      <c r="H497" s="16">
        <v>2713.52</v>
      </c>
      <c r="I497" s="17">
        <v>1753198</v>
      </c>
      <c r="J497" s="16">
        <v>3798928000000</v>
      </c>
      <c r="K497" s="30">
        <f t="shared" si="42"/>
        <v>0.24085703731067534</v>
      </c>
      <c r="L497" s="31">
        <f t="shared" si="43"/>
        <v>33.769999999999982</v>
      </c>
      <c r="M497" s="30">
        <f t="shared" si="44"/>
        <v>1.2475064647210928E-2</v>
      </c>
      <c r="N497" s="20" t="str">
        <f t="shared" si="47"/>
        <v>Normal</v>
      </c>
      <c r="O497" s="32">
        <f t="shared" si="45"/>
        <v>3798.9279999999999</v>
      </c>
      <c r="P497" s="20">
        <f t="shared" si="46"/>
        <v>5</v>
      </c>
      <c r="Q497" s="20" t="str" cm="1">
        <f t="array" ref="Q497">_xlfn.IFS(P497&lt;=3,"Q1",P497&lt;=6,"Q2",P497&lt;=9,"Q3",P497&lt;=12,"Q4")</f>
        <v>Q2</v>
      </c>
    </row>
    <row r="498" spans="1:17" x14ac:dyDescent="0.25">
      <c r="A498" s="8">
        <v>45798</v>
      </c>
      <c r="B498" s="9" t="s">
        <v>65</v>
      </c>
      <c r="C498" s="9" t="s">
        <v>66</v>
      </c>
      <c r="D498" s="9" t="s">
        <v>67</v>
      </c>
      <c r="E498" s="10">
        <v>201.51</v>
      </c>
      <c r="F498" s="10">
        <v>202.14</v>
      </c>
      <c r="G498" s="10">
        <v>200.62</v>
      </c>
      <c r="H498" s="10">
        <v>201.31</v>
      </c>
      <c r="I498" s="11">
        <v>749723</v>
      </c>
      <c r="J498" s="10">
        <v>50327500000</v>
      </c>
      <c r="K498" s="30">
        <f t="shared" si="42"/>
        <v>-9.9250657535600542E-2</v>
      </c>
      <c r="L498" s="31">
        <f t="shared" si="43"/>
        <v>1.5199999999999818</v>
      </c>
      <c r="M498" s="30">
        <f t="shared" si="44"/>
        <v>7.5430499727059796E-3</v>
      </c>
      <c r="N498" s="20" t="str">
        <f t="shared" si="47"/>
        <v>Normal</v>
      </c>
      <c r="O498" s="32">
        <f t="shared" si="45"/>
        <v>50.327500000000001</v>
      </c>
      <c r="P498" s="20">
        <f t="shared" si="46"/>
        <v>5</v>
      </c>
      <c r="Q498" s="20" t="str" cm="1">
        <f t="array" ref="Q498">_xlfn.IFS(P498&lt;=3,"Q1",P498&lt;=6,"Q2",P498&lt;=9,"Q3",P498&lt;=12,"Q4")</f>
        <v>Q2</v>
      </c>
    </row>
    <row r="499" spans="1:17" x14ac:dyDescent="0.25">
      <c r="A499" s="14">
        <v>45798</v>
      </c>
      <c r="B499" s="15" t="s">
        <v>69</v>
      </c>
      <c r="C499" s="15" t="s">
        <v>70</v>
      </c>
      <c r="D499" s="15" t="s">
        <v>71</v>
      </c>
      <c r="E499" s="16">
        <v>611.75</v>
      </c>
      <c r="F499" s="16">
        <v>619.75</v>
      </c>
      <c r="G499" s="16">
        <v>602.73</v>
      </c>
      <c r="H499" s="16">
        <v>610.98</v>
      </c>
      <c r="I499" s="17">
        <v>1936856</v>
      </c>
      <c r="J499" s="16">
        <v>488784000000</v>
      </c>
      <c r="K499" s="30">
        <f t="shared" si="42"/>
        <v>-0.12586841029832149</v>
      </c>
      <c r="L499" s="31">
        <f t="shared" si="43"/>
        <v>17.019999999999982</v>
      </c>
      <c r="M499" s="30">
        <f t="shared" si="44"/>
        <v>2.7821822639967277E-2</v>
      </c>
      <c r="N499" s="20" t="str">
        <f t="shared" si="47"/>
        <v>Normal</v>
      </c>
      <c r="O499" s="32">
        <f t="shared" si="45"/>
        <v>488.78399999999999</v>
      </c>
      <c r="P499" s="20">
        <f t="shared" si="46"/>
        <v>5</v>
      </c>
      <c r="Q499" s="20" t="str" cm="1">
        <f t="array" ref="Q499">_xlfn.IFS(P499&lt;=3,"Q1",P499&lt;=6,"Q2",P499&lt;=9,"Q3",P499&lt;=12,"Q4")</f>
        <v>Q2</v>
      </c>
    </row>
    <row r="500" spans="1:17" x14ac:dyDescent="0.25">
      <c r="A500" s="8">
        <v>45798</v>
      </c>
      <c r="B500" s="9" t="s">
        <v>73</v>
      </c>
      <c r="C500" s="9" t="s">
        <v>74</v>
      </c>
      <c r="D500" s="9" t="s">
        <v>75</v>
      </c>
      <c r="E500" s="10">
        <v>114.33</v>
      </c>
      <c r="F500" s="10">
        <v>116.49</v>
      </c>
      <c r="G500" s="10">
        <v>113.26</v>
      </c>
      <c r="H500" s="10">
        <v>115.47</v>
      </c>
      <c r="I500" s="11">
        <v>3786560</v>
      </c>
      <c r="J500" s="10">
        <v>25403400000</v>
      </c>
      <c r="K500" s="30">
        <f t="shared" si="42"/>
        <v>0.99711361847284219</v>
      </c>
      <c r="L500" s="31">
        <f t="shared" si="43"/>
        <v>3.2299999999999898</v>
      </c>
      <c r="M500" s="30">
        <f t="shared" si="44"/>
        <v>2.8251552523397096E-2</v>
      </c>
      <c r="N500" s="20" t="str">
        <f t="shared" si="47"/>
        <v>High volume</v>
      </c>
      <c r="O500" s="32">
        <f t="shared" si="45"/>
        <v>25.403400000000001</v>
      </c>
      <c r="P500" s="20">
        <f t="shared" si="46"/>
        <v>5</v>
      </c>
      <c r="Q500" s="20" t="str" cm="1">
        <f t="array" ref="Q500">_xlfn.IFS(P500&lt;=3,"Q1",P500&lt;=6,"Q2",P500&lt;=9,"Q3",P500&lt;=12,"Q4")</f>
        <v>Q2</v>
      </c>
    </row>
    <row r="501" spans="1:17" x14ac:dyDescent="0.25">
      <c r="A501" s="14">
        <v>45798</v>
      </c>
      <c r="B501" s="15" t="s">
        <v>76</v>
      </c>
      <c r="C501" s="15" t="s">
        <v>77</v>
      </c>
      <c r="D501" s="15" t="s">
        <v>75</v>
      </c>
      <c r="E501" s="16">
        <v>137.12</v>
      </c>
      <c r="F501" s="16">
        <v>137.41</v>
      </c>
      <c r="G501" s="16">
        <v>135.97</v>
      </c>
      <c r="H501" s="16">
        <v>136.21</v>
      </c>
      <c r="I501" s="17">
        <v>558878</v>
      </c>
      <c r="J501" s="16">
        <v>27242000000</v>
      </c>
      <c r="K501" s="30">
        <f t="shared" si="42"/>
        <v>-0.66365227537922744</v>
      </c>
      <c r="L501" s="31">
        <f t="shared" si="43"/>
        <v>1.4399999999999977</v>
      </c>
      <c r="M501" s="30">
        <f t="shared" si="44"/>
        <v>1.0501750291715269E-2</v>
      </c>
      <c r="N501" s="20" t="str">
        <f t="shared" si="47"/>
        <v>Normal</v>
      </c>
      <c r="O501" s="32">
        <f t="shared" si="45"/>
        <v>27.242000000000001</v>
      </c>
      <c r="P501" s="20">
        <f t="shared" si="46"/>
        <v>5</v>
      </c>
      <c r="Q501" s="20" t="str" cm="1">
        <f t="array" ref="Q501">_xlfn.IFS(P501&lt;=3,"Q1",P501&lt;=6,"Q2",P501&lt;=9,"Q3",P501&lt;=12,"Q4")</f>
        <v>Q2</v>
      </c>
    </row>
    <row r="502" spans="1:17" x14ac:dyDescent="0.25">
      <c r="A502" s="8">
        <v>45799</v>
      </c>
      <c r="B502" s="9" t="s">
        <v>60</v>
      </c>
      <c r="C502" s="9" t="s">
        <v>61</v>
      </c>
      <c r="D502" s="9" t="s">
        <v>62</v>
      </c>
      <c r="E502" s="10">
        <v>2722.23</v>
      </c>
      <c r="F502" s="10">
        <v>2736.97</v>
      </c>
      <c r="G502" s="10">
        <v>2707.01</v>
      </c>
      <c r="H502" s="10">
        <v>2715.66</v>
      </c>
      <c r="I502" s="11">
        <v>4136289</v>
      </c>
      <c r="J502" s="10">
        <v>3801924000000</v>
      </c>
      <c r="K502" s="30">
        <f t="shared" si="42"/>
        <v>-0.24134624921480419</v>
      </c>
      <c r="L502" s="31">
        <f t="shared" si="43"/>
        <v>29.959999999999582</v>
      </c>
      <c r="M502" s="30">
        <f t="shared" si="44"/>
        <v>1.1005682840906014E-2</v>
      </c>
      <c r="N502" s="20" t="str">
        <f t="shared" si="47"/>
        <v>High volume</v>
      </c>
      <c r="O502" s="32">
        <f t="shared" si="45"/>
        <v>3801.924</v>
      </c>
      <c r="P502" s="20">
        <f t="shared" si="46"/>
        <v>5</v>
      </c>
      <c r="Q502" s="20" t="str" cm="1">
        <f t="array" ref="Q502">_xlfn.IFS(P502&lt;=3,"Q1",P502&lt;=6,"Q2",P502&lt;=9,"Q3",P502&lt;=12,"Q4")</f>
        <v>Q2</v>
      </c>
    </row>
    <row r="503" spans="1:17" x14ac:dyDescent="0.25">
      <c r="A503" s="14">
        <v>45799</v>
      </c>
      <c r="B503" s="15" t="s">
        <v>65</v>
      </c>
      <c r="C503" s="15" t="s">
        <v>66</v>
      </c>
      <c r="D503" s="15" t="s">
        <v>67</v>
      </c>
      <c r="E503" s="16">
        <v>201.79</v>
      </c>
      <c r="F503" s="16">
        <v>204.34</v>
      </c>
      <c r="G503" s="16">
        <v>200.68</v>
      </c>
      <c r="H503" s="16">
        <v>202.49</v>
      </c>
      <c r="I503" s="17">
        <v>4584951</v>
      </c>
      <c r="J503" s="16">
        <v>50622500000</v>
      </c>
      <c r="K503" s="30">
        <f t="shared" si="42"/>
        <v>0.34689528717974977</v>
      </c>
      <c r="L503" s="31">
        <f t="shared" si="43"/>
        <v>3.6599999999999966</v>
      </c>
      <c r="M503" s="30">
        <f t="shared" si="44"/>
        <v>1.8137667872540744E-2</v>
      </c>
      <c r="N503" s="20" t="str">
        <f t="shared" si="47"/>
        <v>High volume</v>
      </c>
      <c r="O503" s="32">
        <f t="shared" si="45"/>
        <v>50.622500000000002</v>
      </c>
      <c r="P503" s="20">
        <f t="shared" si="46"/>
        <v>5</v>
      </c>
      <c r="Q503" s="20" t="str" cm="1">
        <f t="array" ref="Q503">_xlfn.IFS(P503&lt;=3,"Q1",P503&lt;=6,"Q2",P503&lt;=9,"Q3",P503&lt;=12,"Q4")</f>
        <v>Q2</v>
      </c>
    </row>
    <row r="504" spans="1:17" x14ac:dyDescent="0.25">
      <c r="A504" s="8">
        <v>45799</v>
      </c>
      <c r="B504" s="9" t="s">
        <v>69</v>
      </c>
      <c r="C504" s="9" t="s">
        <v>70</v>
      </c>
      <c r="D504" s="9" t="s">
        <v>71</v>
      </c>
      <c r="E504" s="10">
        <v>614.52</v>
      </c>
      <c r="F504" s="10">
        <v>616.1</v>
      </c>
      <c r="G504" s="10">
        <v>613.08000000000004</v>
      </c>
      <c r="H504" s="10">
        <v>614.19000000000005</v>
      </c>
      <c r="I504" s="11">
        <v>649054</v>
      </c>
      <c r="J504" s="10">
        <v>491352000000</v>
      </c>
      <c r="K504" s="30">
        <f t="shared" si="42"/>
        <v>-5.3700449131017257E-2</v>
      </c>
      <c r="L504" s="31">
        <f t="shared" si="43"/>
        <v>3.0199999999999818</v>
      </c>
      <c r="M504" s="30">
        <f t="shared" si="44"/>
        <v>4.9144047386577849E-3</v>
      </c>
      <c r="N504" s="20" t="str">
        <f t="shared" si="47"/>
        <v>Normal</v>
      </c>
      <c r="O504" s="32">
        <f t="shared" si="45"/>
        <v>491.35199999999998</v>
      </c>
      <c r="P504" s="20">
        <f t="shared" si="46"/>
        <v>5</v>
      </c>
      <c r="Q504" s="20" t="str" cm="1">
        <f t="array" ref="Q504">_xlfn.IFS(P504&lt;=3,"Q1",P504&lt;=6,"Q2",P504&lt;=9,"Q3",P504&lt;=12,"Q4")</f>
        <v>Q2</v>
      </c>
    </row>
    <row r="505" spans="1:17" x14ac:dyDescent="0.25">
      <c r="A505" s="14">
        <v>45799</v>
      </c>
      <c r="B505" s="15" t="s">
        <v>73</v>
      </c>
      <c r="C505" s="15" t="s">
        <v>74</v>
      </c>
      <c r="D505" s="15" t="s">
        <v>75</v>
      </c>
      <c r="E505" s="16">
        <v>112.31</v>
      </c>
      <c r="F505" s="16">
        <v>112.37</v>
      </c>
      <c r="G505" s="16">
        <v>111.34</v>
      </c>
      <c r="H505" s="16">
        <v>111.57</v>
      </c>
      <c r="I505" s="17">
        <v>3866456</v>
      </c>
      <c r="J505" s="16">
        <v>24545400000</v>
      </c>
      <c r="K505" s="30">
        <f t="shared" si="42"/>
        <v>-0.65889057074170521</v>
      </c>
      <c r="L505" s="31">
        <f t="shared" si="43"/>
        <v>1.0300000000000011</v>
      </c>
      <c r="M505" s="30">
        <f t="shared" si="44"/>
        <v>9.1710444305939023E-3</v>
      </c>
      <c r="N505" s="20" t="str">
        <f t="shared" si="47"/>
        <v>High volume</v>
      </c>
      <c r="O505" s="32">
        <f t="shared" si="45"/>
        <v>24.545400000000001</v>
      </c>
      <c r="P505" s="20">
        <f t="shared" si="46"/>
        <v>5</v>
      </c>
      <c r="Q505" s="20" t="str" cm="1">
        <f t="array" ref="Q505">_xlfn.IFS(P505&lt;=3,"Q1",P505&lt;=6,"Q2",P505&lt;=9,"Q3",P505&lt;=12,"Q4")</f>
        <v>Q2</v>
      </c>
    </row>
    <row r="506" spans="1:17" x14ac:dyDescent="0.25">
      <c r="A506" s="8">
        <v>45799</v>
      </c>
      <c r="B506" s="9" t="s">
        <v>76</v>
      </c>
      <c r="C506" s="9" t="s">
        <v>77</v>
      </c>
      <c r="D506" s="9" t="s">
        <v>75</v>
      </c>
      <c r="E506" s="10">
        <v>139.31</v>
      </c>
      <c r="F506" s="10">
        <v>140.57</v>
      </c>
      <c r="G506" s="10">
        <v>139.30000000000001</v>
      </c>
      <c r="H506" s="10">
        <v>140.57</v>
      </c>
      <c r="I506" s="11">
        <v>4072628</v>
      </c>
      <c r="J506" s="10">
        <v>28114000000</v>
      </c>
      <c r="K506" s="30">
        <f t="shared" si="42"/>
        <v>0.90445768430119222</v>
      </c>
      <c r="L506" s="31">
        <f t="shared" si="43"/>
        <v>1.2699999999999818</v>
      </c>
      <c r="M506" s="30">
        <f t="shared" si="44"/>
        <v>9.1163591989087776E-3</v>
      </c>
      <c r="N506" s="20" t="str">
        <f t="shared" si="47"/>
        <v>High volume</v>
      </c>
      <c r="O506" s="32">
        <f t="shared" si="45"/>
        <v>28.114000000000001</v>
      </c>
      <c r="P506" s="20">
        <f t="shared" si="46"/>
        <v>5</v>
      </c>
      <c r="Q506" s="20" t="str" cm="1">
        <f t="array" ref="Q506">_xlfn.IFS(P506&lt;=3,"Q1",P506&lt;=6,"Q2",P506&lt;=9,"Q3",P506&lt;=12,"Q4")</f>
        <v>Q2</v>
      </c>
    </row>
    <row r="507" spans="1:17" x14ac:dyDescent="0.25">
      <c r="A507" s="14">
        <v>45800</v>
      </c>
      <c r="B507" s="15" t="s">
        <v>60</v>
      </c>
      <c r="C507" s="15" t="s">
        <v>61</v>
      </c>
      <c r="D507" s="15" t="s">
        <v>62</v>
      </c>
      <c r="E507" s="16">
        <v>2681.96</v>
      </c>
      <c r="F507" s="16">
        <v>2685.4</v>
      </c>
      <c r="G507" s="16">
        <v>2639.38</v>
      </c>
      <c r="H507" s="16">
        <v>2643.38</v>
      </c>
      <c r="I507" s="17">
        <v>1284705</v>
      </c>
      <c r="J507" s="16">
        <v>3700732000000</v>
      </c>
      <c r="K507" s="30">
        <f t="shared" si="42"/>
        <v>-1.4385002013452821</v>
      </c>
      <c r="L507" s="31">
        <f t="shared" si="43"/>
        <v>46.019999999999982</v>
      </c>
      <c r="M507" s="30">
        <f t="shared" si="44"/>
        <v>1.7159092603916532E-2</v>
      </c>
      <c r="N507" s="20" t="str">
        <f t="shared" si="47"/>
        <v>Normal</v>
      </c>
      <c r="O507" s="32">
        <f t="shared" si="45"/>
        <v>3700.732</v>
      </c>
      <c r="P507" s="20">
        <f t="shared" si="46"/>
        <v>5</v>
      </c>
      <c r="Q507" s="20" t="str" cm="1">
        <f t="array" ref="Q507">_xlfn.IFS(P507&lt;=3,"Q1",P507&lt;=6,"Q2",P507&lt;=9,"Q3",P507&lt;=12,"Q4")</f>
        <v>Q2</v>
      </c>
    </row>
    <row r="508" spans="1:17" x14ac:dyDescent="0.25">
      <c r="A508" s="8">
        <v>45800</v>
      </c>
      <c r="B508" s="9" t="s">
        <v>65</v>
      </c>
      <c r="C508" s="9" t="s">
        <v>66</v>
      </c>
      <c r="D508" s="9" t="s">
        <v>67</v>
      </c>
      <c r="E508" s="10">
        <v>202.89</v>
      </c>
      <c r="F508" s="10">
        <v>204.07</v>
      </c>
      <c r="G508" s="10">
        <v>202.09</v>
      </c>
      <c r="H508" s="10">
        <v>202.78</v>
      </c>
      <c r="I508" s="11">
        <v>3891725</v>
      </c>
      <c r="J508" s="10">
        <v>50695000000</v>
      </c>
      <c r="K508" s="30">
        <f t="shared" si="42"/>
        <v>-5.421657055546613E-2</v>
      </c>
      <c r="L508" s="31">
        <f t="shared" si="43"/>
        <v>1.9799999999999898</v>
      </c>
      <c r="M508" s="30">
        <f t="shared" si="44"/>
        <v>9.7589826999851647E-3</v>
      </c>
      <c r="N508" s="20" t="str">
        <f t="shared" si="47"/>
        <v>High volume</v>
      </c>
      <c r="O508" s="32">
        <f t="shared" si="45"/>
        <v>50.695</v>
      </c>
      <c r="P508" s="20">
        <f t="shared" si="46"/>
        <v>5</v>
      </c>
      <c r="Q508" s="20" t="str" cm="1">
        <f t="array" ref="Q508">_xlfn.IFS(P508&lt;=3,"Q1",P508&lt;=6,"Q2",P508&lt;=9,"Q3",P508&lt;=12,"Q4")</f>
        <v>Q2</v>
      </c>
    </row>
    <row r="509" spans="1:17" x14ac:dyDescent="0.25">
      <c r="A509" s="14">
        <v>45800</v>
      </c>
      <c r="B509" s="15" t="s">
        <v>69</v>
      </c>
      <c r="C509" s="15" t="s">
        <v>70</v>
      </c>
      <c r="D509" s="15" t="s">
        <v>71</v>
      </c>
      <c r="E509" s="16">
        <v>602.92999999999995</v>
      </c>
      <c r="F509" s="16">
        <v>604.26</v>
      </c>
      <c r="G509" s="16">
        <v>600.65</v>
      </c>
      <c r="H509" s="16">
        <v>601.4</v>
      </c>
      <c r="I509" s="17">
        <v>2035961</v>
      </c>
      <c r="J509" s="16">
        <v>481120000000</v>
      </c>
      <c r="K509" s="30">
        <f t="shared" si="42"/>
        <v>-0.25376080141972912</v>
      </c>
      <c r="L509" s="31">
        <f t="shared" si="43"/>
        <v>3.6100000000000136</v>
      </c>
      <c r="M509" s="30">
        <f t="shared" si="44"/>
        <v>5.9874280596421041E-3</v>
      </c>
      <c r="N509" s="20" t="str">
        <f t="shared" si="47"/>
        <v>High volume</v>
      </c>
      <c r="O509" s="32">
        <f t="shared" si="45"/>
        <v>481.12</v>
      </c>
      <c r="P509" s="20">
        <f t="shared" si="46"/>
        <v>5</v>
      </c>
      <c r="Q509" s="20" t="str" cm="1">
        <f t="array" ref="Q509">_xlfn.IFS(P509&lt;=3,"Q1",P509&lt;=6,"Q2",P509&lt;=9,"Q3",P509&lt;=12,"Q4")</f>
        <v>Q2</v>
      </c>
    </row>
    <row r="510" spans="1:17" x14ac:dyDescent="0.25">
      <c r="A510" s="8">
        <v>45800</v>
      </c>
      <c r="B510" s="9" t="s">
        <v>73</v>
      </c>
      <c r="C510" s="9" t="s">
        <v>74</v>
      </c>
      <c r="D510" s="9" t="s">
        <v>75</v>
      </c>
      <c r="E510" s="10">
        <v>112.33</v>
      </c>
      <c r="F510" s="10">
        <v>113.43</v>
      </c>
      <c r="G510" s="10">
        <v>111.14</v>
      </c>
      <c r="H510" s="10">
        <v>111.53</v>
      </c>
      <c r="I510" s="11">
        <v>2754797</v>
      </c>
      <c r="J510" s="10">
        <v>24536600000</v>
      </c>
      <c r="K510" s="30">
        <f t="shared" si="42"/>
        <v>-0.71218730526128116</v>
      </c>
      <c r="L510" s="31">
        <f t="shared" si="43"/>
        <v>2.2900000000000063</v>
      </c>
      <c r="M510" s="30">
        <f t="shared" si="44"/>
        <v>2.0386361613104302E-2</v>
      </c>
      <c r="N510" s="20" t="str">
        <f t="shared" si="47"/>
        <v>High volume</v>
      </c>
      <c r="O510" s="32">
        <f t="shared" si="45"/>
        <v>24.5366</v>
      </c>
      <c r="P510" s="20">
        <f t="shared" si="46"/>
        <v>5</v>
      </c>
      <c r="Q510" s="20" t="str" cm="1">
        <f t="array" ref="Q510">_xlfn.IFS(P510&lt;=3,"Q1",P510&lt;=6,"Q2",P510&lt;=9,"Q3",P510&lt;=12,"Q4")</f>
        <v>Q2</v>
      </c>
    </row>
    <row r="511" spans="1:17" x14ac:dyDescent="0.25">
      <c r="A511" s="14">
        <v>45800</v>
      </c>
      <c r="B511" s="15" t="s">
        <v>76</v>
      </c>
      <c r="C511" s="15" t="s">
        <v>77</v>
      </c>
      <c r="D511" s="15" t="s">
        <v>75</v>
      </c>
      <c r="E511" s="16">
        <v>140.03</v>
      </c>
      <c r="F511" s="16">
        <v>140.25</v>
      </c>
      <c r="G511" s="16">
        <v>139.16999999999999</v>
      </c>
      <c r="H511" s="16">
        <v>140.1</v>
      </c>
      <c r="I511" s="17">
        <v>1098806</v>
      </c>
      <c r="J511" s="16">
        <v>28020000000</v>
      </c>
      <c r="K511" s="30">
        <f t="shared" si="42"/>
        <v>4.9989288009707325E-2</v>
      </c>
      <c r="L511" s="31">
        <f t="shared" si="43"/>
        <v>1.0800000000000125</v>
      </c>
      <c r="M511" s="30">
        <f t="shared" si="44"/>
        <v>7.7126330072128293E-3</v>
      </c>
      <c r="N511" s="20" t="str">
        <f t="shared" si="47"/>
        <v>Normal</v>
      </c>
      <c r="O511" s="32">
        <f t="shared" si="45"/>
        <v>28.02</v>
      </c>
      <c r="P511" s="20">
        <f t="shared" si="46"/>
        <v>5</v>
      </c>
      <c r="Q511" s="20" t="str" cm="1">
        <f t="array" ref="Q511">_xlfn.IFS(P511&lt;=3,"Q1",P511&lt;=6,"Q2",P511&lt;=9,"Q3",P511&lt;=12,"Q4")</f>
        <v>Q2</v>
      </c>
    </row>
    <row r="512" spans="1:17" x14ac:dyDescent="0.25">
      <c r="A512" s="8">
        <v>45803</v>
      </c>
      <c r="B512" s="9" t="s">
        <v>60</v>
      </c>
      <c r="C512" s="9" t="s">
        <v>61</v>
      </c>
      <c r="D512" s="9" t="s">
        <v>62</v>
      </c>
      <c r="E512" s="10">
        <v>2687.39</v>
      </c>
      <c r="F512" s="10">
        <v>2714.33</v>
      </c>
      <c r="G512" s="10">
        <v>2681</v>
      </c>
      <c r="H512" s="10">
        <v>2690.24</v>
      </c>
      <c r="I512" s="11">
        <v>1364415</v>
      </c>
      <c r="J512" s="10">
        <v>3766336000000</v>
      </c>
      <c r="K512" s="30">
        <f t="shared" si="42"/>
        <v>0.1060508523139518</v>
      </c>
      <c r="L512" s="31">
        <f t="shared" si="43"/>
        <v>33.329999999999927</v>
      </c>
      <c r="M512" s="30">
        <f t="shared" si="44"/>
        <v>1.2402368096926731E-2</v>
      </c>
      <c r="N512" s="20" t="str">
        <f t="shared" si="47"/>
        <v>Normal</v>
      </c>
      <c r="O512" s="32">
        <f t="shared" si="45"/>
        <v>3766.3359999999998</v>
      </c>
      <c r="P512" s="20">
        <f t="shared" si="46"/>
        <v>5</v>
      </c>
      <c r="Q512" s="20" t="str" cm="1">
        <f t="array" ref="Q512">_xlfn.IFS(P512&lt;=3,"Q1",P512&lt;=6,"Q2",P512&lt;=9,"Q3",P512&lt;=12,"Q4")</f>
        <v>Q2</v>
      </c>
    </row>
    <row r="513" spans="1:17" x14ac:dyDescent="0.25">
      <c r="A513" s="14">
        <v>45803</v>
      </c>
      <c r="B513" s="15" t="s">
        <v>65</v>
      </c>
      <c r="C513" s="15" t="s">
        <v>66</v>
      </c>
      <c r="D513" s="15" t="s">
        <v>67</v>
      </c>
      <c r="E513" s="16">
        <v>203.38</v>
      </c>
      <c r="F513" s="16">
        <v>203.64</v>
      </c>
      <c r="G513" s="16">
        <v>202.55</v>
      </c>
      <c r="H513" s="16">
        <v>202.71</v>
      </c>
      <c r="I513" s="17">
        <v>3001943</v>
      </c>
      <c r="J513" s="16">
        <v>50677500000</v>
      </c>
      <c r="K513" s="30">
        <f t="shared" si="42"/>
        <v>-0.32943258924180718</v>
      </c>
      <c r="L513" s="31">
        <f t="shared" si="43"/>
        <v>1.089999999999975</v>
      </c>
      <c r="M513" s="30">
        <f t="shared" si="44"/>
        <v>5.3594257055756466E-3</v>
      </c>
      <c r="N513" s="20" t="str">
        <f t="shared" si="47"/>
        <v>High volume</v>
      </c>
      <c r="O513" s="32">
        <f t="shared" si="45"/>
        <v>50.677500000000002</v>
      </c>
      <c r="P513" s="20">
        <f t="shared" si="46"/>
        <v>5</v>
      </c>
      <c r="Q513" s="20" t="str" cm="1">
        <f t="array" ref="Q513">_xlfn.IFS(P513&lt;=3,"Q1",P513&lt;=6,"Q2",P513&lt;=9,"Q3",P513&lt;=12,"Q4")</f>
        <v>Q2</v>
      </c>
    </row>
    <row r="514" spans="1:17" x14ac:dyDescent="0.25">
      <c r="A514" s="8">
        <v>45803</v>
      </c>
      <c r="B514" s="9" t="s">
        <v>69</v>
      </c>
      <c r="C514" s="9" t="s">
        <v>70</v>
      </c>
      <c r="D514" s="9" t="s">
        <v>71</v>
      </c>
      <c r="E514" s="10">
        <v>608.75</v>
      </c>
      <c r="F514" s="10">
        <v>616.01</v>
      </c>
      <c r="G514" s="10">
        <v>606.23</v>
      </c>
      <c r="H514" s="10">
        <v>611.88</v>
      </c>
      <c r="I514" s="11">
        <v>2554162</v>
      </c>
      <c r="J514" s="10">
        <v>489504000000</v>
      </c>
      <c r="K514" s="30">
        <f t="shared" si="42"/>
        <v>0.51416837782340785</v>
      </c>
      <c r="L514" s="31">
        <f t="shared" si="43"/>
        <v>9.7799999999999727</v>
      </c>
      <c r="M514" s="30">
        <f t="shared" si="44"/>
        <v>1.6065708418891125E-2</v>
      </c>
      <c r="N514" s="20" t="str">
        <f t="shared" si="47"/>
        <v>High volume</v>
      </c>
      <c r="O514" s="32">
        <f t="shared" si="45"/>
        <v>489.50400000000002</v>
      </c>
      <c r="P514" s="20">
        <f t="shared" si="46"/>
        <v>5</v>
      </c>
      <c r="Q514" s="20" t="str" cm="1">
        <f t="array" ref="Q514">_xlfn.IFS(P514&lt;=3,"Q1",P514&lt;=6,"Q2",P514&lt;=9,"Q3",P514&lt;=12,"Q4")</f>
        <v>Q2</v>
      </c>
    </row>
    <row r="515" spans="1:17" x14ac:dyDescent="0.25">
      <c r="A515" s="14">
        <v>45803</v>
      </c>
      <c r="B515" s="15" t="s">
        <v>73</v>
      </c>
      <c r="C515" s="15" t="s">
        <v>74</v>
      </c>
      <c r="D515" s="15" t="s">
        <v>75</v>
      </c>
      <c r="E515" s="16">
        <v>109.82</v>
      </c>
      <c r="F515" s="16">
        <v>110.41</v>
      </c>
      <c r="G515" s="16">
        <v>109.21</v>
      </c>
      <c r="H515" s="16">
        <v>109.3</v>
      </c>
      <c r="I515" s="17">
        <v>1080935</v>
      </c>
      <c r="J515" s="16">
        <v>24046000000</v>
      </c>
      <c r="K515" s="30">
        <f t="shared" ref="K515:K578" si="48">((H515-E515)/E515)*100</f>
        <v>-0.4735020943361829</v>
      </c>
      <c r="L515" s="31">
        <f t="shared" ref="L515:L578" si="49">F515-G515</f>
        <v>1.2000000000000028</v>
      </c>
      <c r="M515" s="30">
        <f t="shared" ref="M515:M578" si="50">L515/E515</f>
        <v>1.0926971407758177E-2</v>
      </c>
      <c r="N515" s="20" t="str">
        <f t="shared" si="47"/>
        <v>Normal</v>
      </c>
      <c r="O515" s="32">
        <f t="shared" ref="O515:O578" si="51">J515/1000000000</f>
        <v>24.045999999999999</v>
      </c>
      <c r="P515" s="20">
        <f t="shared" ref="P515:P578" si="52">MONTH(A515)</f>
        <v>5</v>
      </c>
      <c r="Q515" s="20" t="str" cm="1">
        <f t="array" ref="Q515">_xlfn.IFS(P515&lt;=3,"Q1",P515&lt;=6,"Q2",P515&lt;=9,"Q3",P515&lt;=12,"Q4")</f>
        <v>Q2</v>
      </c>
    </row>
    <row r="516" spans="1:17" x14ac:dyDescent="0.25">
      <c r="A516" s="8">
        <v>45803</v>
      </c>
      <c r="B516" s="9" t="s">
        <v>76</v>
      </c>
      <c r="C516" s="9" t="s">
        <v>77</v>
      </c>
      <c r="D516" s="9" t="s">
        <v>75</v>
      </c>
      <c r="E516" s="10">
        <v>137.26</v>
      </c>
      <c r="F516" s="10">
        <v>138.31</v>
      </c>
      <c r="G516" s="10">
        <v>136.49</v>
      </c>
      <c r="H516" s="10">
        <v>137.32</v>
      </c>
      <c r="I516" s="11">
        <v>4394013</v>
      </c>
      <c r="J516" s="10">
        <v>27464000000</v>
      </c>
      <c r="K516" s="30">
        <f t="shared" si="48"/>
        <v>4.3712662101123616E-2</v>
      </c>
      <c r="L516" s="31">
        <f t="shared" si="49"/>
        <v>1.8199999999999932</v>
      </c>
      <c r="M516" s="30">
        <f t="shared" si="50"/>
        <v>1.3259507504006946E-2</v>
      </c>
      <c r="N516" s="20" t="str">
        <f t="shared" ref="N516:N579" si="53">IF(I516&gt;2000000,"High volume","Normal")</f>
        <v>High volume</v>
      </c>
      <c r="O516" s="32">
        <f t="shared" si="51"/>
        <v>27.463999999999999</v>
      </c>
      <c r="P516" s="20">
        <f t="shared" si="52"/>
        <v>5</v>
      </c>
      <c r="Q516" s="20" t="str" cm="1">
        <f t="array" ref="Q516">_xlfn.IFS(P516&lt;=3,"Q1",P516&lt;=6,"Q2",P516&lt;=9,"Q3",P516&lt;=12,"Q4")</f>
        <v>Q2</v>
      </c>
    </row>
    <row r="517" spans="1:17" x14ac:dyDescent="0.25">
      <c r="A517" s="14">
        <v>45804</v>
      </c>
      <c r="B517" s="15" t="s">
        <v>60</v>
      </c>
      <c r="C517" s="15" t="s">
        <v>61</v>
      </c>
      <c r="D517" s="15" t="s">
        <v>62</v>
      </c>
      <c r="E517" s="16">
        <v>2613.0500000000002</v>
      </c>
      <c r="F517" s="16">
        <v>2613.7399999999998</v>
      </c>
      <c r="G517" s="16">
        <v>2611.75</v>
      </c>
      <c r="H517" s="16">
        <v>2613.29</v>
      </c>
      <c r="I517" s="17">
        <v>1081328</v>
      </c>
      <c r="J517" s="16">
        <v>3658606000000</v>
      </c>
      <c r="K517" s="30">
        <f t="shared" si="48"/>
        <v>9.1846692562247839E-3</v>
      </c>
      <c r="L517" s="31">
        <f t="shared" si="49"/>
        <v>1.9899999999997817</v>
      </c>
      <c r="M517" s="30">
        <f t="shared" si="50"/>
        <v>7.6156215916258071E-4</v>
      </c>
      <c r="N517" s="20" t="str">
        <f t="shared" si="53"/>
        <v>Normal</v>
      </c>
      <c r="O517" s="32">
        <f t="shared" si="51"/>
        <v>3658.6060000000002</v>
      </c>
      <c r="P517" s="20">
        <f t="shared" si="52"/>
        <v>5</v>
      </c>
      <c r="Q517" s="20" t="str" cm="1">
        <f t="array" ref="Q517">_xlfn.IFS(P517&lt;=3,"Q1",P517&lt;=6,"Q2",P517&lt;=9,"Q3",P517&lt;=12,"Q4")</f>
        <v>Q2</v>
      </c>
    </row>
    <row r="518" spans="1:17" x14ac:dyDescent="0.25">
      <c r="A518" s="8">
        <v>45804</v>
      </c>
      <c r="B518" s="9" t="s">
        <v>65</v>
      </c>
      <c r="C518" s="9" t="s">
        <v>66</v>
      </c>
      <c r="D518" s="9" t="s">
        <v>67</v>
      </c>
      <c r="E518" s="10">
        <v>202.35</v>
      </c>
      <c r="F518" s="10">
        <v>204.13</v>
      </c>
      <c r="G518" s="10">
        <v>201.57</v>
      </c>
      <c r="H518" s="10">
        <v>201.73</v>
      </c>
      <c r="I518" s="11">
        <v>4783077</v>
      </c>
      <c r="J518" s="10">
        <v>50432500000</v>
      </c>
      <c r="K518" s="30">
        <f t="shared" si="48"/>
        <v>-0.30639980232271041</v>
      </c>
      <c r="L518" s="31">
        <f t="shared" si="49"/>
        <v>2.5600000000000023</v>
      </c>
      <c r="M518" s="30">
        <f t="shared" si="50"/>
        <v>1.2651346676550542E-2</v>
      </c>
      <c r="N518" s="20" t="str">
        <f t="shared" si="53"/>
        <v>High volume</v>
      </c>
      <c r="O518" s="32">
        <f t="shared" si="51"/>
        <v>50.432499999999997</v>
      </c>
      <c r="P518" s="20">
        <f t="shared" si="52"/>
        <v>5</v>
      </c>
      <c r="Q518" s="20" t="str" cm="1">
        <f t="array" ref="Q518">_xlfn.IFS(P518&lt;=3,"Q1",P518&lt;=6,"Q2",P518&lt;=9,"Q3",P518&lt;=12,"Q4")</f>
        <v>Q2</v>
      </c>
    </row>
    <row r="519" spans="1:17" x14ac:dyDescent="0.25">
      <c r="A519" s="14">
        <v>45804</v>
      </c>
      <c r="B519" s="15" t="s">
        <v>69</v>
      </c>
      <c r="C519" s="15" t="s">
        <v>70</v>
      </c>
      <c r="D519" s="15" t="s">
        <v>71</v>
      </c>
      <c r="E519" s="16">
        <v>604.59</v>
      </c>
      <c r="F519" s="16">
        <v>614.75</v>
      </c>
      <c r="G519" s="16">
        <v>596.98</v>
      </c>
      <c r="H519" s="16">
        <v>611.64</v>
      </c>
      <c r="I519" s="17">
        <v>4449969</v>
      </c>
      <c r="J519" s="16">
        <v>489312000000</v>
      </c>
      <c r="K519" s="30">
        <f t="shared" si="48"/>
        <v>1.1660794918870563</v>
      </c>
      <c r="L519" s="31">
        <f t="shared" si="49"/>
        <v>17.769999999999982</v>
      </c>
      <c r="M519" s="30">
        <f t="shared" si="50"/>
        <v>2.939181924940866E-2</v>
      </c>
      <c r="N519" s="20" t="str">
        <f t="shared" si="53"/>
        <v>High volume</v>
      </c>
      <c r="O519" s="32">
        <f t="shared" si="51"/>
        <v>489.31200000000001</v>
      </c>
      <c r="P519" s="20">
        <f t="shared" si="52"/>
        <v>5</v>
      </c>
      <c r="Q519" s="20" t="str" cm="1">
        <f t="array" ref="Q519">_xlfn.IFS(P519&lt;=3,"Q1",P519&lt;=6,"Q2",P519&lt;=9,"Q3",P519&lt;=12,"Q4")</f>
        <v>Q2</v>
      </c>
    </row>
    <row r="520" spans="1:17" x14ac:dyDescent="0.25">
      <c r="A520" s="8">
        <v>45804</v>
      </c>
      <c r="B520" s="9" t="s">
        <v>73</v>
      </c>
      <c r="C520" s="9" t="s">
        <v>74</v>
      </c>
      <c r="D520" s="9" t="s">
        <v>75</v>
      </c>
      <c r="E520" s="10">
        <v>108.96</v>
      </c>
      <c r="F520" s="10">
        <v>110.59</v>
      </c>
      <c r="G520" s="10">
        <v>108.36</v>
      </c>
      <c r="H520" s="10">
        <v>109.62</v>
      </c>
      <c r="I520" s="11">
        <v>4371309</v>
      </c>
      <c r="J520" s="10">
        <v>24116400000</v>
      </c>
      <c r="K520" s="30">
        <f t="shared" si="48"/>
        <v>0.60572687224670596</v>
      </c>
      <c r="L520" s="31">
        <f t="shared" si="49"/>
        <v>2.230000000000004</v>
      </c>
      <c r="M520" s="30">
        <f t="shared" si="50"/>
        <v>2.0466226138032343E-2</v>
      </c>
      <c r="N520" s="20" t="str">
        <f t="shared" si="53"/>
        <v>High volume</v>
      </c>
      <c r="O520" s="32">
        <f t="shared" si="51"/>
        <v>24.116399999999999</v>
      </c>
      <c r="P520" s="20">
        <f t="shared" si="52"/>
        <v>5</v>
      </c>
      <c r="Q520" s="20" t="str" cm="1">
        <f t="array" ref="Q520">_xlfn.IFS(P520&lt;=3,"Q1",P520&lt;=6,"Q2",P520&lt;=9,"Q3",P520&lt;=12,"Q4")</f>
        <v>Q2</v>
      </c>
    </row>
    <row r="521" spans="1:17" x14ac:dyDescent="0.25">
      <c r="A521" s="14">
        <v>45804</v>
      </c>
      <c r="B521" s="15" t="s">
        <v>76</v>
      </c>
      <c r="C521" s="15" t="s">
        <v>77</v>
      </c>
      <c r="D521" s="15" t="s">
        <v>75</v>
      </c>
      <c r="E521" s="16">
        <v>139.65</v>
      </c>
      <c r="F521" s="16">
        <v>140.21</v>
      </c>
      <c r="G521" s="16">
        <v>137.35</v>
      </c>
      <c r="H521" s="16">
        <v>139.53</v>
      </c>
      <c r="I521" s="17">
        <v>685397</v>
      </c>
      <c r="J521" s="16">
        <v>27906000000</v>
      </c>
      <c r="K521" s="30">
        <f t="shared" si="48"/>
        <v>-8.5929108485502712E-2</v>
      </c>
      <c r="L521" s="31">
        <f t="shared" si="49"/>
        <v>2.8600000000000136</v>
      </c>
      <c r="M521" s="30">
        <f t="shared" si="50"/>
        <v>2.0479770855710802E-2</v>
      </c>
      <c r="N521" s="20" t="str">
        <f t="shared" si="53"/>
        <v>Normal</v>
      </c>
      <c r="O521" s="32">
        <f t="shared" si="51"/>
        <v>27.905999999999999</v>
      </c>
      <c r="P521" s="20">
        <f t="shared" si="52"/>
        <v>5</v>
      </c>
      <c r="Q521" s="20" t="str" cm="1">
        <f t="array" ref="Q521">_xlfn.IFS(P521&lt;=3,"Q1",P521&lt;=6,"Q2",P521&lt;=9,"Q3",P521&lt;=12,"Q4")</f>
        <v>Q2</v>
      </c>
    </row>
    <row r="522" spans="1:17" x14ac:dyDescent="0.25">
      <c r="A522" s="8">
        <v>45805</v>
      </c>
      <c r="B522" s="9" t="s">
        <v>60</v>
      </c>
      <c r="C522" s="9" t="s">
        <v>61</v>
      </c>
      <c r="D522" s="9" t="s">
        <v>62</v>
      </c>
      <c r="E522" s="10">
        <v>2669.43</v>
      </c>
      <c r="F522" s="10">
        <v>2691.32</v>
      </c>
      <c r="G522" s="10">
        <v>2658.78</v>
      </c>
      <c r="H522" s="10">
        <v>2686.69</v>
      </c>
      <c r="I522" s="11">
        <v>4001774</v>
      </c>
      <c r="J522" s="10">
        <v>3761366000000</v>
      </c>
      <c r="K522" s="30">
        <f t="shared" si="48"/>
        <v>0.64657998149418483</v>
      </c>
      <c r="L522" s="31">
        <f t="shared" si="49"/>
        <v>32.539999999999964</v>
      </c>
      <c r="M522" s="30">
        <f t="shared" si="50"/>
        <v>1.2189868249026932E-2</v>
      </c>
      <c r="N522" s="20" t="str">
        <f t="shared" si="53"/>
        <v>High volume</v>
      </c>
      <c r="O522" s="32">
        <f t="shared" si="51"/>
        <v>3761.366</v>
      </c>
      <c r="P522" s="20">
        <f t="shared" si="52"/>
        <v>5</v>
      </c>
      <c r="Q522" s="20" t="str" cm="1">
        <f t="array" ref="Q522">_xlfn.IFS(P522&lt;=3,"Q1",P522&lt;=6,"Q2",P522&lt;=9,"Q3",P522&lt;=12,"Q4")</f>
        <v>Q2</v>
      </c>
    </row>
    <row r="523" spans="1:17" x14ac:dyDescent="0.25">
      <c r="A523" s="14">
        <v>45805</v>
      </c>
      <c r="B523" s="15" t="s">
        <v>65</v>
      </c>
      <c r="C523" s="15" t="s">
        <v>66</v>
      </c>
      <c r="D523" s="15" t="s">
        <v>67</v>
      </c>
      <c r="E523" s="16">
        <v>202.16</v>
      </c>
      <c r="F523" s="16">
        <v>206.99</v>
      </c>
      <c r="G523" s="16">
        <v>200.81</v>
      </c>
      <c r="H523" s="16">
        <v>203.45</v>
      </c>
      <c r="I523" s="17">
        <v>1406567</v>
      </c>
      <c r="J523" s="16">
        <v>50862500000</v>
      </c>
      <c r="K523" s="30">
        <f t="shared" si="48"/>
        <v>0.63810842896715081</v>
      </c>
      <c r="L523" s="31">
        <f t="shared" si="49"/>
        <v>6.1800000000000068</v>
      </c>
      <c r="M523" s="30">
        <f t="shared" si="50"/>
        <v>3.0569845666798611E-2</v>
      </c>
      <c r="N523" s="20" t="str">
        <f t="shared" si="53"/>
        <v>Normal</v>
      </c>
      <c r="O523" s="32">
        <f t="shared" si="51"/>
        <v>50.862499999999997</v>
      </c>
      <c r="P523" s="20">
        <f t="shared" si="52"/>
        <v>5</v>
      </c>
      <c r="Q523" s="20" t="str" cm="1">
        <f t="array" ref="Q523">_xlfn.IFS(P523&lt;=3,"Q1",P523&lt;=6,"Q2",P523&lt;=9,"Q3",P523&lt;=12,"Q4")</f>
        <v>Q2</v>
      </c>
    </row>
    <row r="524" spans="1:17" x14ac:dyDescent="0.25">
      <c r="A524" s="8">
        <v>45805</v>
      </c>
      <c r="B524" s="9" t="s">
        <v>69</v>
      </c>
      <c r="C524" s="9" t="s">
        <v>70</v>
      </c>
      <c r="D524" s="9" t="s">
        <v>71</v>
      </c>
      <c r="E524" s="10">
        <v>617.5</v>
      </c>
      <c r="F524" s="10">
        <v>620.33000000000004</v>
      </c>
      <c r="G524" s="10">
        <v>610.38</v>
      </c>
      <c r="H524" s="10">
        <v>611.30999999999995</v>
      </c>
      <c r="I524" s="11">
        <v>3323551</v>
      </c>
      <c r="J524" s="10">
        <v>489048000000</v>
      </c>
      <c r="K524" s="30">
        <f t="shared" si="48"/>
        <v>-1.0024291497975797</v>
      </c>
      <c r="L524" s="31">
        <f t="shared" si="49"/>
        <v>9.9500000000000455</v>
      </c>
      <c r="M524" s="30">
        <f t="shared" si="50"/>
        <v>1.6113360323886713E-2</v>
      </c>
      <c r="N524" s="20" t="str">
        <f t="shared" si="53"/>
        <v>High volume</v>
      </c>
      <c r="O524" s="32">
        <f t="shared" si="51"/>
        <v>489.048</v>
      </c>
      <c r="P524" s="20">
        <f t="shared" si="52"/>
        <v>5</v>
      </c>
      <c r="Q524" s="20" t="str" cm="1">
        <f t="array" ref="Q524">_xlfn.IFS(P524&lt;=3,"Q1",P524&lt;=6,"Q2",P524&lt;=9,"Q3",P524&lt;=12,"Q4")</f>
        <v>Q2</v>
      </c>
    </row>
    <row r="525" spans="1:17" x14ac:dyDescent="0.25">
      <c r="A525" s="14">
        <v>45805</v>
      </c>
      <c r="B525" s="15" t="s">
        <v>73</v>
      </c>
      <c r="C525" s="15" t="s">
        <v>74</v>
      </c>
      <c r="D525" s="15" t="s">
        <v>75</v>
      </c>
      <c r="E525" s="16">
        <v>107.25</v>
      </c>
      <c r="F525" s="16">
        <v>107.25</v>
      </c>
      <c r="G525" s="16">
        <v>106.42</v>
      </c>
      <c r="H525" s="16">
        <v>107.17</v>
      </c>
      <c r="I525" s="17">
        <v>1688525</v>
      </c>
      <c r="J525" s="16">
        <v>23577400000</v>
      </c>
      <c r="K525" s="30">
        <f t="shared" si="48"/>
        <v>-7.4592074592072996E-2</v>
      </c>
      <c r="L525" s="31">
        <f t="shared" si="49"/>
        <v>0.82999999999999829</v>
      </c>
      <c r="M525" s="30">
        <f t="shared" si="50"/>
        <v>7.7389277389277233E-3</v>
      </c>
      <c r="N525" s="20" t="str">
        <f t="shared" si="53"/>
        <v>Normal</v>
      </c>
      <c r="O525" s="32">
        <f t="shared" si="51"/>
        <v>23.577400000000001</v>
      </c>
      <c r="P525" s="20">
        <f t="shared" si="52"/>
        <v>5</v>
      </c>
      <c r="Q525" s="20" t="str" cm="1">
        <f t="array" ref="Q525">_xlfn.IFS(P525&lt;=3,"Q1",P525&lt;=6,"Q2",P525&lt;=9,"Q3",P525&lt;=12,"Q4")</f>
        <v>Q2</v>
      </c>
    </row>
    <row r="526" spans="1:17" x14ac:dyDescent="0.25">
      <c r="A526" s="8">
        <v>45805</v>
      </c>
      <c r="B526" s="9" t="s">
        <v>76</v>
      </c>
      <c r="C526" s="9" t="s">
        <v>77</v>
      </c>
      <c r="D526" s="9" t="s">
        <v>75</v>
      </c>
      <c r="E526" s="10">
        <v>142.34</v>
      </c>
      <c r="F526" s="10">
        <v>142.85</v>
      </c>
      <c r="G526" s="10">
        <v>142.05000000000001</v>
      </c>
      <c r="H526" s="10">
        <v>142.38999999999999</v>
      </c>
      <c r="I526" s="11">
        <v>1065034</v>
      </c>
      <c r="J526" s="10">
        <v>28478000000</v>
      </c>
      <c r="K526" s="30">
        <f t="shared" si="48"/>
        <v>3.5127160320347718E-2</v>
      </c>
      <c r="L526" s="31">
        <f t="shared" si="49"/>
        <v>0.79999999999998295</v>
      </c>
      <c r="M526" s="30">
        <f t="shared" si="50"/>
        <v>5.6203456512574322E-3</v>
      </c>
      <c r="N526" s="20" t="str">
        <f t="shared" si="53"/>
        <v>Normal</v>
      </c>
      <c r="O526" s="32">
        <f t="shared" si="51"/>
        <v>28.478000000000002</v>
      </c>
      <c r="P526" s="20">
        <f t="shared" si="52"/>
        <v>5</v>
      </c>
      <c r="Q526" s="20" t="str" cm="1">
        <f t="array" ref="Q526">_xlfn.IFS(P526&lt;=3,"Q1",P526&lt;=6,"Q2",P526&lt;=9,"Q3",P526&lt;=12,"Q4")</f>
        <v>Q2</v>
      </c>
    </row>
    <row r="527" spans="1:17" x14ac:dyDescent="0.25">
      <c r="A527" s="14">
        <v>45806</v>
      </c>
      <c r="B527" s="15" t="s">
        <v>60</v>
      </c>
      <c r="C527" s="15" t="s">
        <v>61</v>
      </c>
      <c r="D527" s="15" t="s">
        <v>62</v>
      </c>
      <c r="E527" s="16">
        <v>2620.38</v>
      </c>
      <c r="F527" s="16">
        <v>2620.66</v>
      </c>
      <c r="G527" s="16">
        <v>2619.44</v>
      </c>
      <c r="H527" s="16">
        <v>2620.02</v>
      </c>
      <c r="I527" s="17">
        <v>1413166</v>
      </c>
      <c r="J527" s="16">
        <v>3668028000000</v>
      </c>
      <c r="K527" s="30">
        <f t="shared" si="48"/>
        <v>-1.373846541341818E-2</v>
      </c>
      <c r="L527" s="31">
        <f t="shared" si="49"/>
        <v>1.2199999999997999</v>
      </c>
      <c r="M527" s="30">
        <f t="shared" si="50"/>
        <v>4.6558132789893062E-4</v>
      </c>
      <c r="N527" s="20" t="str">
        <f t="shared" si="53"/>
        <v>Normal</v>
      </c>
      <c r="O527" s="32">
        <f t="shared" si="51"/>
        <v>3668.0279999999998</v>
      </c>
      <c r="P527" s="20">
        <f t="shared" si="52"/>
        <v>5</v>
      </c>
      <c r="Q527" s="20" t="str" cm="1">
        <f t="array" ref="Q527">_xlfn.IFS(P527&lt;=3,"Q1",P527&lt;=6,"Q2",P527&lt;=9,"Q3",P527&lt;=12,"Q4")</f>
        <v>Q2</v>
      </c>
    </row>
    <row r="528" spans="1:17" x14ac:dyDescent="0.25">
      <c r="A528" s="8">
        <v>45806</v>
      </c>
      <c r="B528" s="9" t="s">
        <v>65</v>
      </c>
      <c r="C528" s="9" t="s">
        <v>66</v>
      </c>
      <c r="D528" s="9" t="s">
        <v>67</v>
      </c>
      <c r="E528" s="10">
        <v>200.42</v>
      </c>
      <c r="F528" s="10">
        <v>201.5</v>
      </c>
      <c r="G528" s="10">
        <v>200.23</v>
      </c>
      <c r="H528" s="10">
        <v>200.67</v>
      </c>
      <c r="I528" s="11">
        <v>1311613</v>
      </c>
      <c r="J528" s="10">
        <v>50167500000</v>
      </c>
      <c r="K528" s="30">
        <f t="shared" si="48"/>
        <v>0.12473805009480092</v>
      </c>
      <c r="L528" s="31">
        <f t="shared" si="49"/>
        <v>1.2700000000000102</v>
      </c>
      <c r="M528" s="30">
        <f t="shared" si="50"/>
        <v>6.3366929448159378E-3</v>
      </c>
      <c r="N528" s="20" t="str">
        <f t="shared" si="53"/>
        <v>Normal</v>
      </c>
      <c r="O528" s="32">
        <f t="shared" si="51"/>
        <v>50.167499999999997</v>
      </c>
      <c r="P528" s="20">
        <f t="shared" si="52"/>
        <v>5</v>
      </c>
      <c r="Q528" s="20" t="str" cm="1">
        <f t="array" ref="Q528">_xlfn.IFS(P528&lt;=3,"Q1",P528&lt;=6,"Q2",P528&lt;=9,"Q3",P528&lt;=12,"Q4")</f>
        <v>Q2</v>
      </c>
    </row>
    <row r="529" spans="1:17" x14ac:dyDescent="0.25">
      <c r="A529" s="14">
        <v>45806</v>
      </c>
      <c r="B529" s="15" t="s">
        <v>69</v>
      </c>
      <c r="C529" s="15" t="s">
        <v>70</v>
      </c>
      <c r="D529" s="15" t="s">
        <v>71</v>
      </c>
      <c r="E529" s="16">
        <v>611.83000000000004</v>
      </c>
      <c r="F529" s="16">
        <v>616.94000000000005</v>
      </c>
      <c r="G529" s="16">
        <v>611.45000000000005</v>
      </c>
      <c r="H529" s="16">
        <v>612.17999999999995</v>
      </c>
      <c r="I529" s="17">
        <v>894150</v>
      </c>
      <c r="J529" s="16">
        <v>489744000000</v>
      </c>
      <c r="K529" s="30">
        <f t="shared" si="48"/>
        <v>5.7205432881667954E-2</v>
      </c>
      <c r="L529" s="31">
        <f t="shared" si="49"/>
        <v>5.4900000000000091</v>
      </c>
      <c r="M529" s="30">
        <f t="shared" si="50"/>
        <v>8.973080757726834E-3</v>
      </c>
      <c r="N529" s="20" t="str">
        <f t="shared" si="53"/>
        <v>Normal</v>
      </c>
      <c r="O529" s="32">
        <f t="shared" si="51"/>
        <v>489.74400000000003</v>
      </c>
      <c r="P529" s="20">
        <f t="shared" si="52"/>
        <v>5</v>
      </c>
      <c r="Q529" s="20" t="str" cm="1">
        <f t="array" ref="Q529">_xlfn.IFS(P529&lt;=3,"Q1",P529&lt;=6,"Q2",P529&lt;=9,"Q3",P529&lt;=12,"Q4")</f>
        <v>Q2</v>
      </c>
    </row>
    <row r="530" spans="1:17" x14ac:dyDescent="0.25">
      <c r="A530" s="8">
        <v>45806</v>
      </c>
      <c r="B530" s="9" t="s">
        <v>73</v>
      </c>
      <c r="C530" s="9" t="s">
        <v>74</v>
      </c>
      <c r="D530" s="9" t="s">
        <v>75</v>
      </c>
      <c r="E530" s="10">
        <v>107.28</v>
      </c>
      <c r="F530" s="10">
        <v>107.65</v>
      </c>
      <c r="G530" s="10">
        <v>107.14</v>
      </c>
      <c r="H530" s="10">
        <v>107.33</v>
      </c>
      <c r="I530" s="11">
        <v>2810335</v>
      </c>
      <c r="J530" s="10">
        <v>23612600000</v>
      </c>
      <c r="K530" s="30">
        <f t="shared" si="48"/>
        <v>4.6607009694255366E-2</v>
      </c>
      <c r="L530" s="31">
        <f t="shared" si="49"/>
        <v>0.51000000000000512</v>
      </c>
      <c r="M530" s="30">
        <f t="shared" si="50"/>
        <v>4.7539149888143652E-3</v>
      </c>
      <c r="N530" s="20" t="str">
        <f t="shared" si="53"/>
        <v>High volume</v>
      </c>
      <c r="O530" s="32">
        <f t="shared" si="51"/>
        <v>23.6126</v>
      </c>
      <c r="P530" s="20">
        <f t="shared" si="52"/>
        <v>5</v>
      </c>
      <c r="Q530" s="20" t="str" cm="1">
        <f t="array" ref="Q530">_xlfn.IFS(P530&lt;=3,"Q1",P530&lt;=6,"Q2",P530&lt;=9,"Q3",P530&lt;=12,"Q4")</f>
        <v>Q2</v>
      </c>
    </row>
    <row r="531" spans="1:17" x14ac:dyDescent="0.25">
      <c r="A531" s="14">
        <v>45806</v>
      </c>
      <c r="B531" s="15" t="s">
        <v>76</v>
      </c>
      <c r="C531" s="15" t="s">
        <v>77</v>
      </c>
      <c r="D531" s="15" t="s">
        <v>75</v>
      </c>
      <c r="E531" s="16">
        <v>141.47999999999999</v>
      </c>
      <c r="F531" s="16">
        <v>142.75</v>
      </c>
      <c r="G531" s="16">
        <v>140</v>
      </c>
      <c r="H531" s="16">
        <v>142.07</v>
      </c>
      <c r="I531" s="17">
        <v>1416911</v>
      </c>
      <c r="J531" s="16">
        <v>28414000000</v>
      </c>
      <c r="K531" s="30">
        <f t="shared" si="48"/>
        <v>0.41702007350862558</v>
      </c>
      <c r="L531" s="31">
        <f t="shared" si="49"/>
        <v>2.75</v>
      </c>
      <c r="M531" s="30">
        <f t="shared" si="50"/>
        <v>1.9437376307605315E-2</v>
      </c>
      <c r="N531" s="20" t="str">
        <f t="shared" si="53"/>
        <v>Normal</v>
      </c>
      <c r="O531" s="32">
        <f t="shared" si="51"/>
        <v>28.414000000000001</v>
      </c>
      <c r="P531" s="20">
        <f t="shared" si="52"/>
        <v>5</v>
      </c>
      <c r="Q531" s="20" t="str" cm="1">
        <f t="array" ref="Q531">_xlfn.IFS(P531&lt;=3,"Q1",P531&lt;=6,"Q2",P531&lt;=9,"Q3",P531&lt;=12,"Q4")</f>
        <v>Q2</v>
      </c>
    </row>
    <row r="532" spans="1:17" x14ac:dyDescent="0.25">
      <c r="A532" s="8">
        <v>45807</v>
      </c>
      <c r="B532" s="9" t="s">
        <v>60</v>
      </c>
      <c r="C532" s="9" t="s">
        <v>61</v>
      </c>
      <c r="D532" s="9" t="s">
        <v>62</v>
      </c>
      <c r="E532" s="10">
        <v>2583.33</v>
      </c>
      <c r="F532" s="10">
        <v>2607.4699999999998</v>
      </c>
      <c r="G532" s="10">
        <v>2559.15</v>
      </c>
      <c r="H532" s="10">
        <v>2588.64</v>
      </c>
      <c r="I532" s="11">
        <v>1676709</v>
      </c>
      <c r="J532" s="10">
        <v>3624096000000</v>
      </c>
      <c r="K532" s="30">
        <f t="shared" si="48"/>
        <v>0.2055486523208396</v>
      </c>
      <c r="L532" s="31">
        <f t="shared" si="49"/>
        <v>48.319999999999709</v>
      </c>
      <c r="M532" s="30">
        <f t="shared" si="50"/>
        <v>1.8704540263922809E-2</v>
      </c>
      <c r="N532" s="20" t="str">
        <f t="shared" si="53"/>
        <v>Normal</v>
      </c>
      <c r="O532" s="32">
        <f t="shared" si="51"/>
        <v>3624.096</v>
      </c>
      <c r="P532" s="20">
        <f t="shared" si="52"/>
        <v>5</v>
      </c>
      <c r="Q532" s="20" t="str" cm="1">
        <f t="array" ref="Q532">_xlfn.IFS(P532&lt;=3,"Q1",P532&lt;=6,"Q2",P532&lt;=9,"Q3",P532&lt;=12,"Q4")</f>
        <v>Q2</v>
      </c>
    </row>
    <row r="533" spans="1:17" x14ac:dyDescent="0.25">
      <c r="A533" s="14">
        <v>45807</v>
      </c>
      <c r="B533" s="15" t="s">
        <v>65</v>
      </c>
      <c r="C533" s="15" t="s">
        <v>66</v>
      </c>
      <c r="D533" s="15" t="s">
        <v>67</v>
      </c>
      <c r="E533" s="16">
        <v>202.32</v>
      </c>
      <c r="F533" s="16">
        <v>204.73</v>
      </c>
      <c r="G533" s="16">
        <v>201.37</v>
      </c>
      <c r="H533" s="16">
        <v>203.48</v>
      </c>
      <c r="I533" s="17">
        <v>1569818</v>
      </c>
      <c r="J533" s="16">
        <v>50870000000</v>
      </c>
      <c r="K533" s="30">
        <f t="shared" si="48"/>
        <v>0.57334914986160368</v>
      </c>
      <c r="L533" s="31">
        <f t="shared" si="49"/>
        <v>3.3599999999999852</v>
      </c>
      <c r="M533" s="30">
        <f t="shared" si="50"/>
        <v>1.660735468564643E-2</v>
      </c>
      <c r="N533" s="20" t="str">
        <f t="shared" si="53"/>
        <v>Normal</v>
      </c>
      <c r="O533" s="32">
        <f t="shared" si="51"/>
        <v>50.87</v>
      </c>
      <c r="P533" s="20">
        <f t="shared" si="52"/>
        <v>5</v>
      </c>
      <c r="Q533" s="20" t="str" cm="1">
        <f t="array" ref="Q533">_xlfn.IFS(P533&lt;=3,"Q1",P533&lt;=6,"Q2",P533&lt;=9,"Q3",P533&lt;=12,"Q4")</f>
        <v>Q2</v>
      </c>
    </row>
    <row r="534" spans="1:17" x14ac:dyDescent="0.25">
      <c r="A534" s="8">
        <v>45807</v>
      </c>
      <c r="B534" s="9" t="s">
        <v>69</v>
      </c>
      <c r="C534" s="9" t="s">
        <v>70</v>
      </c>
      <c r="D534" s="9" t="s">
        <v>71</v>
      </c>
      <c r="E534" s="10">
        <v>623.42999999999995</v>
      </c>
      <c r="F534" s="10">
        <v>626.76</v>
      </c>
      <c r="G534" s="10">
        <v>620.16999999999996</v>
      </c>
      <c r="H534" s="10">
        <v>626.08000000000004</v>
      </c>
      <c r="I534" s="11">
        <v>1474515</v>
      </c>
      <c r="J534" s="10">
        <v>500864000000</v>
      </c>
      <c r="K534" s="30">
        <f t="shared" si="48"/>
        <v>0.42506777023885461</v>
      </c>
      <c r="L534" s="31">
        <f t="shared" si="49"/>
        <v>6.5900000000000318</v>
      </c>
      <c r="M534" s="30">
        <f t="shared" si="50"/>
        <v>1.057055322971309E-2</v>
      </c>
      <c r="N534" s="20" t="str">
        <f t="shared" si="53"/>
        <v>Normal</v>
      </c>
      <c r="O534" s="32">
        <f t="shared" si="51"/>
        <v>500.86399999999998</v>
      </c>
      <c r="P534" s="20">
        <f t="shared" si="52"/>
        <v>5</v>
      </c>
      <c r="Q534" s="20" t="str" cm="1">
        <f t="array" ref="Q534">_xlfn.IFS(P534&lt;=3,"Q1",P534&lt;=6,"Q2",P534&lt;=9,"Q3",P534&lt;=12,"Q4")</f>
        <v>Q2</v>
      </c>
    </row>
    <row r="535" spans="1:17" x14ac:dyDescent="0.25">
      <c r="A535" s="14">
        <v>45807</v>
      </c>
      <c r="B535" s="15" t="s">
        <v>73</v>
      </c>
      <c r="C535" s="15" t="s">
        <v>74</v>
      </c>
      <c r="D535" s="15" t="s">
        <v>75</v>
      </c>
      <c r="E535" s="16">
        <v>107.75</v>
      </c>
      <c r="F535" s="16">
        <v>107.77</v>
      </c>
      <c r="G535" s="16">
        <v>106.6</v>
      </c>
      <c r="H535" s="16">
        <v>107.05</v>
      </c>
      <c r="I535" s="17">
        <v>3901973</v>
      </c>
      <c r="J535" s="16">
        <v>23551000000</v>
      </c>
      <c r="K535" s="30">
        <f t="shared" si="48"/>
        <v>-0.64965197215777526</v>
      </c>
      <c r="L535" s="31">
        <f t="shared" si="49"/>
        <v>1.1700000000000017</v>
      </c>
      <c r="M535" s="30">
        <f t="shared" si="50"/>
        <v>1.0858468677494215E-2</v>
      </c>
      <c r="N535" s="20" t="str">
        <f t="shared" si="53"/>
        <v>High volume</v>
      </c>
      <c r="O535" s="32">
        <f t="shared" si="51"/>
        <v>23.550999999999998</v>
      </c>
      <c r="P535" s="20">
        <f t="shared" si="52"/>
        <v>5</v>
      </c>
      <c r="Q535" s="20" t="str" cm="1">
        <f t="array" ref="Q535">_xlfn.IFS(P535&lt;=3,"Q1",P535&lt;=6,"Q2",P535&lt;=9,"Q3",P535&lt;=12,"Q4")</f>
        <v>Q2</v>
      </c>
    </row>
    <row r="536" spans="1:17" x14ac:dyDescent="0.25">
      <c r="A536" s="8">
        <v>45807</v>
      </c>
      <c r="B536" s="9" t="s">
        <v>76</v>
      </c>
      <c r="C536" s="9" t="s">
        <v>77</v>
      </c>
      <c r="D536" s="9" t="s">
        <v>75</v>
      </c>
      <c r="E536" s="10">
        <v>141.63999999999999</v>
      </c>
      <c r="F536" s="10">
        <v>142.21</v>
      </c>
      <c r="G536" s="10">
        <v>141.56</v>
      </c>
      <c r="H536" s="10">
        <v>141.91999999999999</v>
      </c>
      <c r="I536" s="11">
        <v>2690088</v>
      </c>
      <c r="J536" s="10">
        <v>28384000000</v>
      </c>
      <c r="K536" s="30">
        <f t="shared" si="48"/>
        <v>0.19768426998023242</v>
      </c>
      <c r="L536" s="31">
        <f t="shared" si="49"/>
        <v>0.65000000000000568</v>
      </c>
      <c r="M536" s="30">
        <f t="shared" si="50"/>
        <v>4.589099124541131E-3</v>
      </c>
      <c r="N536" s="20" t="str">
        <f t="shared" si="53"/>
        <v>High volume</v>
      </c>
      <c r="O536" s="32">
        <f t="shared" si="51"/>
        <v>28.384</v>
      </c>
      <c r="P536" s="20">
        <f t="shared" si="52"/>
        <v>5</v>
      </c>
      <c r="Q536" s="20" t="str" cm="1">
        <f t="array" ref="Q536">_xlfn.IFS(P536&lt;=3,"Q1",P536&lt;=6,"Q2",P536&lt;=9,"Q3",P536&lt;=12,"Q4")</f>
        <v>Q2</v>
      </c>
    </row>
    <row r="537" spans="1:17" x14ac:dyDescent="0.25">
      <c r="A537" s="14">
        <v>45810</v>
      </c>
      <c r="B537" s="15" t="s">
        <v>60</v>
      </c>
      <c r="C537" s="15" t="s">
        <v>61</v>
      </c>
      <c r="D537" s="15" t="s">
        <v>62</v>
      </c>
      <c r="E537" s="16">
        <v>2605.2199999999998</v>
      </c>
      <c r="F537" s="16">
        <v>2611</v>
      </c>
      <c r="G537" s="16">
        <v>2573.83</v>
      </c>
      <c r="H537" s="16">
        <v>2605.35</v>
      </c>
      <c r="I537" s="17">
        <v>2830418</v>
      </c>
      <c r="J537" s="16">
        <v>3647490000000</v>
      </c>
      <c r="K537" s="30">
        <f t="shared" si="48"/>
        <v>4.9899816522254994E-3</v>
      </c>
      <c r="L537" s="31">
        <f t="shared" si="49"/>
        <v>37.170000000000073</v>
      </c>
      <c r="M537" s="30">
        <f t="shared" si="50"/>
        <v>1.4267509077928189E-2</v>
      </c>
      <c r="N537" s="20" t="str">
        <f t="shared" si="53"/>
        <v>High volume</v>
      </c>
      <c r="O537" s="32">
        <f t="shared" si="51"/>
        <v>3647.49</v>
      </c>
      <c r="P537" s="20">
        <f t="shared" si="52"/>
        <v>6</v>
      </c>
      <c r="Q537" s="20" t="str" cm="1">
        <f t="array" ref="Q537">_xlfn.IFS(P537&lt;=3,"Q1",P537&lt;=6,"Q2",P537&lt;=9,"Q3",P537&lt;=12,"Q4")</f>
        <v>Q2</v>
      </c>
    </row>
    <row r="538" spans="1:17" x14ac:dyDescent="0.25">
      <c r="A538" s="8">
        <v>45810</v>
      </c>
      <c r="B538" s="9" t="s">
        <v>65</v>
      </c>
      <c r="C538" s="9" t="s">
        <v>66</v>
      </c>
      <c r="D538" s="9" t="s">
        <v>67</v>
      </c>
      <c r="E538" s="10">
        <v>204.67</v>
      </c>
      <c r="F538" s="10">
        <v>206.82</v>
      </c>
      <c r="G538" s="10">
        <v>204.06</v>
      </c>
      <c r="H538" s="10">
        <v>205.84</v>
      </c>
      <c r="I538" s="11">
        <v>2307738</v>
      </c>
      <c r="J538" s="10">
        <v>51460000000</v>
      </c>
      <c r="K538" s="30">
        <f t="shared" si="48"/>
        <v>0.57165192749304539</v>
      </c>
      <c r="L538" s="31">
        <f t="shared" si="49"/>
        <v>2.7599999999999909</v>
      </c>
      <c r="M538" s="30">
        <f t="shared" si="50"/>
        <v>1.3485122392143407E-2</v>
      </c>
      <c r="N538" s="20" t="str">
        <f t="shared" si="53"/>
        <v>High volume</v>
      </c>
      <c r="O538" s="32">
        <f t="shared" si="51"/>
        <v>51.46</v>
      </c>
      <c r="P538" s="20">
        <f t="shared" si="52"/>
        <v>6</v>
      </c>
      <c r="Q538" s="20" t="str" cm="1">
        <f t="array" ref="Q538">_xlfn.IFS(P538&lt;=3,"Q1",P538&lt;=6,"Q2",P538&lt;=9,"Q3",P538&lt;=12,"Q4")</f>
        <v>Q2</v>
      </c>
    </row>
    <row r="539" spans="1:17" x14ac:dyDescent="0.25">
      <c r="A539" s="14">
        <v>45810</v>
      </c>
      <c r="B539" s="15" t="s">
        <v>69</v>
      </c>
      <c r="C539" s="15" t="s">
        <v>70</v>
      </c>
      <c r="D539" s="15" t="s">
        <v>71</v>
      </c>
      <c r="E539" s="16">
        <v>634.88</v>
      </c>
      <c r="F539" s="16">
        <v>637.36</v>
      </c>
      <c r="G539" s="16">
        <v>634.79999999999995</v>
      </c>
      <c r="H539" s="16">
        <v>636.08000000000004</v>
      </c>
      <c r="I539" s="17">
        <v>895691</v>
      </c>
      <c r="J539" s="16">
        <v>508864000000</v>
      </c>
      <c r="K539" s="30">
        <f t="shared" si="48"/>
        <v>0.18901209677420072</v>
      </c>
      <c r="L539" s="31">
        <f t="shared" si="49"/>
        <v>2.5600000000000591</v>
      </c>
      <c r="M539" s="30">
        <f t="shared" si="50"/>
        <v>4.0322580645162226E-3</v>
      </c>
      <c r="N539" s="20" t="str">
        <f t="shared" si="53"/>
        <v>Normal</v>
      </c>
      <c r="O539" s="32">
        <f t="shared" si="51"/>
        <v>508.86399999999998</v>
      </c>
      <c r="P539" s="20">
        <f t="shared" si="52"/>
        <v>6</v>
      </c>
      <c r="Q539" s="20" t="str" cm="1">
        <f t="array" ref="Q539">_xlfn.IFS(P539&lt;=3,"Q1",P539&lt;=6,"Q2",P539&lt;=9,"Q3",P539&lt;=12,"Q4")</f>
        <v>Q2</v>
      </c>
    </row>
    <row r="540" spans="1:17" x14ac:dyDescent="0.25">
      <c r="A540" s="8">
        <v>45810</v>
      </c>
      <c r="B540" s="9" t="s">
        <v>73</v>
      </c>
      <c r="C540" s="9" t="s">
        <v>74</v>
      </c>
      <c r="D540" s="9" t="s">
        <v>75</v>
      </c>
      <c r="E540" s="10">
        <v>102.71</v>
      </c>
      <c r="F540" s="10">
        <v>103.11</v>
      </c>
      <c r="G540" s="10">
        <v>100.8</v>
      </c>
      <c r="H540" s="10">
        <v>101.1</v>
      </c>
      <c r="I540" s="11">
        <v>3830459</v>
      </c>
      <c r="J540" s="10">
        <v>22242000000</v>
      </c>
      <c r="K540" s="30">
        <f t="shared" si="48"/>
        <v>-1.5675202025119264</v>
      </c>
      <c r="L540" s="31">
        <f t="shared" si="49"/>
        <v>2.3100000000000023</v>
      </c>
      <c r="M540" s="30">
        <f t="shared" si="50"/>
        <v>2.2490507253432015E-2</v>
      </c>
      <c r="N540" s="20" t="str">
        <f t="shared" si="53"/>
        <v>High volume</v>
      </c>
      <c r="O540" s="32">
        <f t="shared" si="51"/>
        <v>22.242000000000001</v>
      </c>
      <c r="P540" s="20">
        <f t="shared" si="52"/>
        <v>6</v>
      </c>
      <c r="Q540" s="20" t="str" cm="1">
        <f t="array" ref="Q540">_xlfn.IFS(P540&lt;=3,"Q1",P540&lt;=6,"Q2",P540&lt;=9,"Q3",P540&lt;=12,"Q4")</f>
        <v>Q2</v>
      </c>
    </row>
    <row r="541" spans="1:17" x14ac:dyDescent="0.25">
      <c r="A541" s="14">
        <v>45810</v>
      </c>
      <c r="B541" s="15" t="s">
        <v>76</v>
      </c>
      <c r="C541" s="15" t="s">
        <v>77</v>
      </c>
      <c r="D541" s="15" t="s">
        <v>75</v>
      </c>
      <c r="E541" s="16">
        <v>141.54</v>
      </c>
      <c r="F541" s="16">
        <v>142.68</v>
      </c>
      <c r="G541" s="16">
        <v>140.26</v>
      </c>
      <c r="H541" s="16">
        <v>142.11000000000001</v>
      </c>
      <c r="I541" s="17">
        <v>912299</v>
      </c>
      <c r="J541" s="16">
        <v>28422000000</v>
      </c>
      <c r="K541" s="30">
        <f t="shared" si="48"/>
        <v>0.40271301398899367</v>
      </c>
      <c r="L541" s="31">
        <f t="shared" si="49"/>
        <v>2.4200000000000159</v>
      </c>
      <c r="M541" s="30">
        <f t="shared" si="50"/>
        <v>1.7097640243040949E-2</v>
      </c>
      <c r="N541" s="20" t="str">
        <f t="shared" si="53"/>
        <v>Normal</v>
      </c>
      <c r="O541" s="32">
        <f t="shared" si="51"/>
        <v>28.422000000000001</v>
      </c>
      <c r="P541" s="20">
        <f t="shared" si="52"/>
        <v>6</v>
      </c>
      <c r="Q541" s="20" t="str" cm="1">
        <f t="array" ref="Q541">_xlfn.IFS(P541&lt;=3,"Q1",P541&lt;=6,"Q2",P541&lt;=9,"Q3",P541&lt;=12,"Q4")</f>
        <v>Q2</v>
      </c>
    </row>
    <row r="542" spans="1:17" x14ac:dyDescent="0.25">
      <c r="A542" s="8">
        <v>45811</v>
      </c>
      <c r="B542" s="9" t="s">
        <v>60</v>
      </c>
      <c r="C542" s="9" t="s">
        <v>61</v>
      </c>
      <c r="D542" s="9" t="s">
        <v>62</v>
      </c>
      <c r="E542" s="10">
        <v>2620.41</v>
      </c>
      <c r="F542" s="10">
        <v>2621.23</v>
      </c>
      <c r="G542" s="10">
        <v>2619.9499999999998</v>
      </c>
      <c r="H542" s="10">
        <v>2620.0300000000002</v>
      </c>
      <c r="I542" s="11">
        <v>3638456</v>
      </c>
      <c r="J542" s="10">
        <v>3668042000000</v>
      </c>
      <c r="K542" s="30">
        <f t="shared" si="48"/>
        <v>-1.450154746774949E-2</v>
      </c>
      <c r="L542" s="31">
        <f t="shared" si="49"/>
        <v>1.2800000000002001</v>
      </c>
      <c r="M542" s="30">
        <f t="shared" si="50"/>
        <v>4.8847317786155611E-4</v>
      </c>
      <c r="N542" s="20" t="str">
        <f t="shared" si="53"/>
        <v>High volume</v>
      </c>
      <c r="O542" s="32">
        <f t="shared" si="51"/>
        <v>3668.0419999999999</v>
      </c>
      <c r="P542" s="20">
        <f t="shared" si="52"/>
        <v>6</v>
      </c>
      <c r="Q542" s="20" t="str" cm="1">
        <f t="array" ref="Q542">_xlfn.IFS(P542&lt;=3,"Q1",P542&lt;=6,"Q2",P542&lt;=9,"Q3",P542&lt;=12,"Q4")</f>
        <v>Q2</v>
      </c>
    </row>
    <row r="543" spans="1:17" x14ac:dyDescent="0.25">
      <c r="A543" s="14">
        <v>45811</v>
      </c>
      <c r="B543" s="15" t="s">
        <v>65</v>
      </c>
      <c r="C543" s="15" t="s">
        <v>66</v>
      </c>
      <c r="D543" s="15" t="s">
        <v>67</v>
      </c>
      <c r="E543" s="16">
        <v>206.76</v>
      </c>
      <c r="F543" s="16">
        <v>209.09</v>
      </c>
      <c r="G543" s="16">
        <v>206.66</v>
      </c>
      <c r="H543" s="16">
        <v>207.88</v>
      </c>
      <c r="I543" s="17">
        <v>3784896</v>
      </c>
      <c r="J543" s="16">
        <v>51970000000</v>
      </c>
      <c r="K543" s="30">
        <f t="shared" si="48"/>
        <v>0.54169084929386946</v>
      </c>
      <c r="L543" s="31">
        <f t="shared" si="49"/>
        <v>2.4300000000000068</v>
      </c>
      <c r="M543" s="30">
        <f t="shared" si="50"/>
        <v>1.1752756819500904E-2</v>
      </c>
      <c r="N543" s="20" t="str">
        <f t="shared" si="53"/>
        <v>High volume</v>
      </c>
      <c r="O543" s="32">
        <f t="shared" si="51"/>
        <v>51.97</v>
      </c>
      <c r="P543" s="20">
        <f t="shared" si="52"/>
        <v>6</v>
      </c>
      <c r="Q543" s="20" t="str" cm="1">
        <f t="array" ref="Q543">_xlfn.IFS(P543&lt;=3,"Q1",P543&lt;=6,"Q2",P543&lt;=9,"Q3",P543&lt;=12,"Q4")</f>
        <v>Q2</v>
      </c>
    </row>
    <row r="544" spans="1:17" x14ac:dyDescent="0.25">
      <c r="A544" s="8">
        <v>45811</v>
      </c>
      <c r="B544" s="9" t="s">
        <v>69</v>
      </c>
      <c r="C544" s="9" t="s">
        <v>70</v>
      </c>
      <c r="D544" s="9" t="s">
        <v>71</v>
      </c>
      <c r="E544" s="10">
        <v>627.62</v>
      </c>
      <c r="F544" s="10">
        <v>629.97</v>
      </c>
      <c r="G544" s="10">
        <v>623.66</v>
      </c>
      <c r="H544" s="10">
        <v>624.62</v>
      </c>
      <c r="I544" s="11">
        <v>1001263</v>
      </c>
      <c r="J544" s="10">
        <v>499696000000</v>
      </c>
      <c r="K544" s="30">
        <f t="shared" si="48"/>
        <v>-0.47799623976291383</v>
      </c>
      <c r="L544" s="31">
        <f t="shared" si="49"/>
        <v>6.3100000000000591</v>
      </c>
      <c r="M544" s="30">
        <f t="shared" si="50"/>
        <v>1.0053854243013383E-2</v>
      </c>
      <c r="N544" s="20" t="str">
        <f t="shared" si="53"/>
        <v>Normal</v>
      </c>
      <c r="O544" s="32">
        <f t="shared" si="51"/>
        <v>499.69600000000003</v>
      </c>
      <c r="P544" s="20">
        <f t="shared" si="52"/>
        <v>6</v>
      </c>
      <c r="Q544" s="20" t="str" cm="1">
        <f t="array" ref="Q544">_xlfn.IFS(P544&lt;=3,"Q1",P544&lt;=6,"Q2",P544&lt;=9,"Q3",P544&lt;=12,"Q4")</f>
        <v>Q2</v>
      </c>
    </row>
    <row r="545" spans="1:17" x14ac:dyDescent="0.25">
      <c r="A545" s="14">
        <v>45811</v>
      </c>
      <c r="B545" s="15" t="s">
        <v>73</v>
      </c>
      <c r="C545" s="15" t="s">
        <v>74</v>
      </c>
      <c r="D545" s="15" t="s">
        <v>75</v>
      </c>
      <c r="E545" s="16">
        <v>99.66</v>
      </c>
      <c r="F545" s="16">
        <v>100.01</v>
      </c>
      <c r="G545" s="16">
        <v>98.77</v>
      </c>
      <c r="H545" s="16">
        <v>99.02</v>
      </c>
      <c r="I545" s="17">
        <v>1603397</v>
      </c>
      <c r="J545" s="16">
        <v>21784400000</v>
      </c>
      <c r="K545" s="30">
        <f t="shared" si="48"/>
        <v>-0.64218342364037784</v>
      </c>
      <c r="L545" s="31">
        <f t="shared" si="49"/>
        <v>1.2400000000000091</v>
      </c>
      <c r="M545" s="30">
        <f t="shared" si="50"/>
        <v>1.2442303833032402E-2</v>
      </c>
      <c r="N545" s="20" t="str">
        <f t="shared" si="53"/>
        <v>Normal</v>
      </c>
      <c r="O545" s="32">
        <f t="shared" si="51"/>
        <v>21.784400000000002</v>
      </c>
      <c r="P545" s="20">
        <f t="shared" si="52"/>
        <v>6</v>
      </c>
      <c r="Q545" s="20" t="str" cm="1">
        <f t="array" ref="Q545">_xlfn.IFS(P545&lt;=3,"Q1",P545&lt;=6,"Q2",P545&lt;=9,"Q3",P545&lt;=12,"Q4")</f>
        <v>Q2</v>
      </c>
    </row>
    <row r="546" spans="1:17" x14ac:dyDescent="0.25">
      <c r="A546" s="8">
        <v>45811</v>
      </c>
      <c r="B546" s="9" t="s">
        <v>76</v>
      </c>
      <c r="C546" s="9" t="s">
        <v>77</v>
      </c>
      <c r="D546" s="9" t="s">
        <v>75</v>
      </c>
      <c r="E546" s="10">
        <v>140.07</v>
      </c>
      <c r="F546" s="10">
        <v>140.32</v>
      </c>
      <c r="G546" s="10">
        <v>138.66</v>
      </c>
      <c r="H546" s="10">
        <v>139.79</v>
      </c>
      <c r="I546" s="11">
        <v>854613</v>
      </c>
      <c r="J546" s="10">
        <v>27958000000</v>
      </c>
      <c r="K546" s="30">
        <f t="shared" si="48"/>
        <v>-0.19990004997501332</v>
      </c>
      <c r="L546" s="31">
        <f t="shared" si="49"/>
        <v>1.6599999999999966</v>
      </c>
      <c r="M546" s="30">
        <f t="shared" si="50"/>
        <v>1.1851217248518574E-2</v>
      </c>
      <c r="N546" s="20" t="str">
        <f t="shared" si="53"/>
        <v>Normal</v>
      </c>
      <c r="O546" s="32">
        <f t="shared" si="51"/>
        <v>27.957999999999998</v>
      </c>
      <c r="P546" s="20">
        <f t="shared" si="52"/>
        <v>6</v>
      </c>
      <c r="Q546" s="20" t="str" cm="1">
        <f t="array" ref="Q546">_xlfn.IFS(P546&lt;=3,"Q1",P546&lt;=6,"Q2",P546&lt;=9,"Q3",P546&lt;=12,"Q4")</f>
        <v>Q2</v>
      </c>
    </row>
    <row r="547" spans="1:17" x14ac:dyDescent="0.25">
      <c r="A547" s="14">
        <v>45812</v>
      </c>
      <c r="B547" s="15" t="s">
        <v>60</v>
      </c>
      <c r="C547" s="15" t="s">
        <v>61</v>
      </c>
      <c r="D547" s="15" t="s">
        <v>62</v>
      </c>
      <c r="E547" s="16">
        <v>2564.86</v>
      </c>
      <c r="F547" s="16">
        <v>2572.98</v>
      </c>
      <c r="G547" s="16">
        <v>2544.4</v>
      </c>
      <c r="H547" s="16">
        <v>2571.65</v>
      </c>
      <c r="I547" s="17">
        <v>2301835</v>
      </c>
      <c r="J547" s="16">
        <v>3600310000000</v>
      </c>
      <c r="K547" s="30">
        <f t="shared" si="48"/>
        <v>0.26473179822680237</v>
      </c>
      <c r="L547" s="31">
        <f t="shared" si="49"/>
        <v>28.579999999999927</v>
      </c>
      <c r="M547" s="30">
        <f t="shared" si="50"/>
        <v>1.1142908384863082E-2</v>
      </c>
      <c r="N547" s="20" t="str">
        <f t="shared" si="53"/>
        <v>High volume</v>
      </c>
      <c r="O547" s="32">
        <f t="shared" si="51"/>
        <v>3600.31</v>
      </c>
      <c r="P547" s="20">
        <f t="shared" si="52"/>
        <v>6</v>
      </c>
      <c r="Q547" s="20" t="str" cm="1">
        <f t="array" ref="Q547">_xlfn.IFS(P547&lt;=3,"Q1",P547&lt;=6,"Q2",P547&lt;=9,"Q3",P547&lt;=12,"Q4")</f>
        <v>Q2</v>
      </c>
    </row>
    <row r="548" spans="1:17" x14ac:dyDescent="0.25">
      <c r="A548" s="8">
        <v>45812</v>
      </c>
      <c r="B548" s="9" t="s">
        <v>65</v>
      </c>
      <c r="C548" s="9" t="s">
        <v>66</v>
      </c>
      <c r="D548" s="9" t="s">
        <v>67</v>
      </c>
      <c r="E548" s="10">
        <v>209.16</v>
      </c>
      <c r="F548" s="10">
        <v>209.41</v>
      </c>
      <c r="G548" s="10">
        <v>207.47</v>
      </c>
      <c r="H548" s="10">
        <v>208.65</v>
      </c>
      <c r="I548" s="11">
        <v>2894513</v>
      </c>
      <c r="J548" s="10">
        <v>52162500000</v>
      </c>
      <c r="K548" s="30">
        <f t="shared" si="48"/>
        <v>-0.24383247274813105</v>
      </c>
      <c r="L548" s="31">
        <f t="shared" si="49"/>
        <v>1.9399999999999977</v>
      </c>
      <c r="M548" s="30">
        <f t="shared" si="50"/>
        <v>9.2751960221839624E-3</v>
      </c>
      <c r="N548" s="20" t="str">
        <f t="shared" si="53"/>
        <v>High volume</v>
      </c>
      <c r="O548" s="32">
        <f t="shared" si="51"/>
        <v>52.162500000000001</v>
      </c>
      <c r="P548" s="20">
        <f t="shared" si="52"/>
        <v>6</v>
      </c>
      <c r="Q548" s="20" t="str" cm="1">
        <f t="array" ref="Q548">_xlfn.IFS(P548&lt;=3,"Q1",P548&lt;=6,"Q2",P548&lt;=9,"Q3",P548&lt;=12,"Q4")</f>
        <v>Q2</v>
      </c>
    </row>
    <row r="549" spans="1:17" x14ac:dyDescent="0.25">
      <c r="A549" s="14">
        <v>45812</v>
      </c>
      <c r="B549" s="15" t="s">
        <v>69</v>
      </c>
      <c r="C549" s="15" t="s">
        <v>70</v>
      </c>
      <c r="D549" s="15" t="s">
        <v>71</v>
      </c>
      <c r="E549" s="16">
        <v>628.87</v>
      </c>
      <c r="F549" s="16">
        <v>632.58000000000004</v>
      </c>
      <c r="G549" s="16">
        <v>622.5</v>
      </c>
      <c r="H549" s="16">
        <v>624.27</v>
      </c>
      <c r="I549" s="17">
        <v>406241</v>
      </c>
      <c r="J549" s="16">
        <v>499416000000</v>
      </c>
      <c r="K549" s="30">
        <f t="shared" si="48"/>
        <v>-0.73147073321990597</v>
      </c>
      <c r="L549" s="31">
        <f t="shared" si="49"/>
        <v>10.080000000000041</v>
      </c>
      <c r="M549" s="30">
        <f t="shared" si="50"/>
        <v>1.6028749980123144E-2</v>
      </c>
      <c r="N549" s="20" t="str">
        <f t="shared" si="53"/>
        <v>Normal</v>
      </c>
      <c r="O549" s="32">
        <f t="shared" si="51"/>
        <v>499.416</v>
      </c>
      <c r="P549" s="20">
        <f t="shared" si="52"/>
        <v>6</v>
      </c>
      <c r="Q549" s="20" t="str" cm="1">
        <f t="array" ref="Q549">_xlfn.IFS(P549&lt;=3,"Q1",P549&lt;=6,"Q2",P549&lt;=9,"Q3",P549&lt;=12,"Q4")</f>
        <v>Q2</v>
      </c>
    </row>
    <row r="550" spans="1:17" x14ac:dyDescent="0.25">
      <c r="A550" s="8">
        <v>45812</v>
      </c>
      <c r="B550" s="9" t="s">
        <v>73</v>
      </c>
      <c r="C550" s="9" t="s">
        <v>74</v>
      </c>
      <c r="D550" s="9" t="s">
        <v>75</v>
      </c>
      <c r="E550" s="10">
        <v>98.44</v>
      </c>
      <c r="F550" s="10">
        <v>99.62</v>
      </c>
      <c r="G550" s="10">
        <v>97.44</v>
      </c>
      <c r="H550" s="10">
        <v>98.58</v>
      </c>
      <c r="I550" s="11">
        <v>2474721</v>
      </c>
      <c r="J550" s="10">
        <v>21687600000</v>
      </c>
      <c r="K550" s="30">
        <f t="shared" si="48"/>
        <v>0.1422186103210083</v>
      </c>
      <c r="L550" s="31">
        <f t="shared" si="49"/>
        <v>2.1800000000000068</v>
      </c>
      <c r="M550" s="30">
        <f t="shared" si="50"/>
        <v>2.2145469321414129E-2</v>
      </c>
      <c r="N550" s="20" t="str">
        <f t="shared" si="53"/>
        <v>High volume</v>
      </c>
      <c r="O550" s="32">
        <f t="shared" si="51"/>
        <v>21.6876</v>
      </c>
      <c r="P550" s="20">
        <f t="shared" si="52"/>
        <v>6</v>
      </c>
      <c r="Q550" s="20" t="str" cm="1">
        <f t="array" ref="Q550">_xlfn.IFS(P550&lt;=3,"Q1",P550&lt;=6,"Q2",P550&lt;=9,"Q3",P550&lt;=12,"Q4")</f>
        <v>Q2</v>
      </c>
    </row>
    <row r="551" spans="1:17" x14ac:dyDescent="0.25">
      <c r="A551" s="14">
        <v>45812</v>
      </c>
      <c r="B551" s="15" t="s">
        <v>76</v>
      </c>
      <c r="C551" s="15" t="s">
        <v>77</v>
      </c>
      <c r="D551" s="15" t="s">
        <v>75</v>
      </c>
      <c r="E551" s="16">
        <v>144.26</v>
      </c>
      <c r="F551" s="16">
        <v>144.56</v>
      </c>
      <c r="G551" s="16">
        <v>143.74</v>
      </c>
      <c r="H551" s="16">
        <v>144.38</v>
      </c>
      <c r="I551" s="17">
        <v>2554559</v>
      </c>
      <c r="J551" s="16">
        <v>28876000000</v>
      </c>
      <c r="K551" s="30">
        <f t="shared" si="48"/>
        <v>8.3183141549982353E-2</v>
      </c>
      <c r="L551" s="31">
        <f t="shared" si="49"/>
        <v>0.81999999999999318</v>
      </c>
      <c r="M551" s="30">
        <f t="shared" si="50"/>
        <v>5.684181339248532E-3</v>
      </c>
      <c r="N551" s="20" t="str">
        <f t="shared" si="53"/>
        <v>High volume</v>
      </c>
      <c r="O551" s="32">
        <f t="shared" si="51"/>
        <v>28.876000000000001</v>
      </c>
      <c r="P551" s="20">
        <f t="shared" si="52"/>
        <v>6</v>
      </c>
      <c r="Q551" s="20" t="str" cm="1">
        <f t="array" ref="Q551">_xlfn.IFS(P551&lt;=3,"Q1",P551&lt;=6,"Q2",P551&lt;=9,"Q3",P551&lt;=12,"Q4")</f>
        <v>Q2</v>
      </c>
    </row>
    <row r="552" spans="1:17" x14ac:dyDescent="0.25">
      <c r="A552" s="8">
        <v>45813</v>
      </c>
      <c r="B552" s="9" t="s">
        <v>60</v>
      </c>
      <c r="C552" s="9" t="s">
        <v>61</v>
      </c>
      <c r="D552" s="9" t="s">
        <v>62</v>
      </c>
      <c r="E552" s="10">
        <v>2570.1</v>
      </c>
      <c r="F552" s="10">
        <v>2580.35</v>
      </c>
      <c r="G552" s="10">
        <v>2555.08</v>
      </c>
      <c r="H552" s="10">
        <v>2565.9299999999998</v>
      </c>
      <c r="I552" s="11">
        <v>4694407</v>
      </c>
      <c r="J552" s="10">
        <v>3592302000000</v>
      </c>
      <c r="K552" s="30">
        <f t="shared" si="48"/>
        <v>-0.16225049608964917</v>
      </c>
      <c r="L552" s="31">
        <f t="shared" si="49"/>
        <v>25.269999999999982</v>
      </c>
      <c r="M552" s="30">
        <f t="shared" si="50"/>
        <v>9.8323022450488243E-3</v>
      </c>
      <c r="N552" s="20" t="str">
        <f t="shared" si="53"/>
        <v>High volume</v>
      </c>
      <c r="O552" s="32">
        <f t="shared" si="51"/>
        <v>3592.3020000000001</v>
      </c>
      <c r="P552" s="20">
        <f t="shared" si="52"/>
        <v>6</v>
      </c>
      <c r="Q552" s="20" t="str" cm="1">
        <f t="array" ref="Q552">_xlfn.IFS(P552&lt;=3,"Q1",P552&lt;=6,"Q2",P552&lt;=9,"Q3",P552&lt;=12,"Q4")</f>
        <v>Q2</v>
      </c>
    </row>
    <row r="553" spans="1:17" x14ac:dyDescent="0.25">
      <c r="A553" s="14">
        <v>45813</v>
      </c>
      <c r="B553" s="15" t="s">
        <v>65</v>
      </c>
      <c r="C553" s="15" t="s">
        <v>66</v>
      </c>
      <c r="D553" s="15" t="s">
        <v>67</v>
      </c>
      <c r="E553" s="16">
        <v>207.03</v>
      </c>
      <c r="F553" s="16">
        <v>209.44</v>
      </c>
      <c r="G553" s="16">
        <v>206.01</v>
      </c>
      <c r="H553" s="16">
        <v>207.99</v>
      </c>
      <c r="I553" s="17">
        <v>946510</v>
      </c>
      <c r="J553" s="16">
        <v>51997500000</v>
      </c>
      <c r="K553" s="30">
        <f t="shared" si="48"/>
        <v>0.46370091291117616</v>
      </c>
      <c r="L553" s="31">
        <f t="shared" si="49"/>
        <v>3.4300000000000068</v>
      </c>
      <c r="M553" s="30">
        <f t="shared" si="50"/>
        <v>1.6567647200888793E-2</v>
      </c>
      <c r="N553" s="20" t="str">
        <f t="shared" si="53"/>
        <v>Normal</v>
      </c>
      <c r="O553" s="32">
        <f t="shared" si="51"/>
        <v>51.997500000000002</v>
      </c>
      <c r="P553" s="20">
        <f t="shared" si="52"/>
        <v>6</v>
      </c>
      <c r="Q553" s="20" t="str" cm="1">
        <f t="array" ref="Q553">_xlfn.IFS(P553&lt;=3,"Q1",P553&lt;=6,"Q2",P553&lt;=9,"Q3",P553&lt;=12,"Q4")</f>
        <v>Q2</v>
      </c>
    </row>
    <row r="554" spans="1:17" x14ac:dyDescent="0.25">
      <c r="A554" s="8">
        <v>45813</v>
      </c>
      <c r="B554" s="9" t="s">
        <v>69</v>
      </c>
      <c r="C554" s="9" t="s">
        <v>70</v>
      </c>
      <c r="D554" s="9" t="s">
        <v>71</v>
      </c>
      <c r="E554" s="10">
        <v>613.20000000000005</v>
      </c>
      <c r="F554" s="10">
        <v>613.34</v>
      </c>
      <c r="G554" s="10">
        <v>604.07000000000005</v>
      </c>
      <c r="H554" s="10">
        <v>605.62</v>
      </c>
      <c r="I554" s="11">
        <v>1619611</v>
      </c>
      <c r="J554" s="10">
        <v>484496000000</v>
      </c>
      <c r="K554" s="30">
        <f t="shared" si="48"/>
        <v>-1.236138290932818</v>
      </c>
      <c r="L554" s="31">
        <f t="shared" si="49"/>
        <v>9.2699999999999818</v>
      </c>
      <c r="M554" s="30">
        <f t="shared" si="50"/>
        <v>1.5117416829745565E-2</v>
      </c>
      <c r="N554" s="20" t="str">
        <f t="shared" si="53"/>
        <v>Normal</v>
      </c>
      <c r="O554" s="32">
        <f t="shared" si="51"/>
        <v>484.49599999999998</v>
      </c>
      <c r="P554" s="20">
        <f t="shared" si="52"/>
        <v>6</v>
      </c>
      <c r="Q554" s="20" t="str" cm="1">
        <f t="array" ref="Q554">_xlfn.IFS(P554&lt;=3,"Q1",P554&lt;=6,"Q2",P554&lt;=9,"Q3",P554&lt;=12,"Q4")</f>
        <v>Q2</v>
      </c>
    </row>
    <row r="555" spans="1:17" x14ac:dyDescent="0.25">
      <c r="A555" s="14">
        <v>45813</v>
      </c>
      <c r="B555" s="15" t="s">
        <v>73</v>
      </c>
      <c r="C555" s="15" t="s">
        <v>74</v>
      </c>
      <c r="D555" s="15" t="s">
        <v>75</v>
      </c>
      <c r="E555" s="16">
        <v>99.6</v>
      </c>
      <c r="F555" s="16">
        <v>99.61</v>
      </c>
      <c r="G555" s="16">
        <v>99.23</v>
      </c>
      <c r="H555" s="16">
        <v>99.45</v>
      </c>
      <c r="I555" s="17">
        <v>1267488</v>
      </c>
      <c r="J555" s="16">
        <v>21879000000</v>
      </c>
      <c r="K555" s="30">
        <f t="shared" si="48"/>
        <v>-0.15060240963854565</v>
      </c>
      <c r="L555" s="31">
        <f t="shared" si="49"/>
        <v>0.37999999999999545</v>
      </c>
      <c r="M555" s="30">
        <f t="shared" si="50"/>
        <v>3.8152610441766614E-3</v>
      </c>
      <c r="N555" s="20" t="str">
        <f t="shared" si="53"/>
        <v>Normal</v>
      </c>
      <c r="O555" s="32">
        <f t="shared" si="51"/>
        <v>21.879000000000001</v>
      </c>
      <c r="P555" s="20">
        <f t="shared" si="52"/>
        <v>6</v>
      </c>
      <c r="Q555" s="20" t="str" cm="1">
        <f t="array" ref="Q555">_xlfn.IFS(P555&lt;=3,"Q1",P555&lt;=6,"Q2",P555&lt;=9,"Q3",P555&lt;=12,"Q4")</f>
        <v>Q2</v>
      </c>
    </row>
    <row r="556" spans="1:17" x14ac:dyDescent="0.25">
      <c r="A556" s="8">
        <v>45813</v>
      </c>
      <c r="B556" s="9" t="s">
        <v>76</v>
      </c>
      <c r="C556" s="9" t="s">
        <v>77</v>
      </c>
      <c r="D556" s="9" t="s">
        <v>75</v>
      </c>
      <c r="E556" s="10">
        <v>144.76</v>
      </c>
      <c r="F556" s="10">
        <v>146.13</v>
      </c>
      <c r="G556" s="10">
        <v>142.54</v>
      </c>
      <c r="H556" s="10">
        <v>143.41999999999999</v>
      </c>
      <c r="I556" s="11">
        <v>4257448</v>
      </c>
      <c r="J556" s="10">
        <v>28684000000</v>
      </c>
      <c r="K556" s="30">
        <f t="shared" si="48"/>
        <v>-0.92567007460624717</v>
      </c>
      <c r="L556" s="31">
        <f t="shared" si="49"/>
        <v>3.5900000000000034</v>
      </c>
      <c r="M556" s="30">
        <f t="shared" si="50"/>
        <v>2.4799668416689718E-2</v>
      </c>
      <c r="N556" s="20" t="str">
        <f t="shared" si="53"/>
        <v>High volume</v>
      </c>
      <c r="O556" s="32">
        <f t="shared" si="51"/>
        <v>28.684000000000001</v>
      </c>
      <c r="P556" s="20">
        <f t="shared" si="52"/>
        <v>6</v>
      </c>
      <c r="Q556" s="20" t="str" cm="1">
        <f t="array" ref="Q556">_xlfn.IFS(P556&lt;=3,"Q1",P556&lt;=6,"Q2",P556&lt;=9,"Q3",P556&lt;=12,"Q4")</f>
        <v>Q2</v>
      </c>
    </row>
    <row r="557" spans="1:17" x14ac:dyDescent="0.25">
      <c r="A557" s="14">
        <v>45814</v>
      </c>
      <c r="B557" s="15" t="s">
        <v>60</v>
      </c>
      <c r="C557" s="15" t="s">
        <v>61</v>
      </c>
      <c r="D557" s="15" t="s">
        <v>62</v>
      </c>
      <c r="E557" s="16">
        <v>2587.4</v>
      </c>
      <c r="F557" s="16">
        <v>2617.96</v>
      </c>
      <c r="G557" s="16">
        <v>2552.29</v>
      </c>
      <c r="H557" s="16">
        <v>2564.04</v>
      </c>
      <c r="I557" s="17">
        <v>596651</v>
      </c>
      <c r="J557" s="16">
        <v>3589656000000</v>
      </c>
      <c r="K557" s="30">
        <f t="shared" si="48"/>
        <v>-0.9028368246115841</v>
      </c>
      <c r="L557" s="31">
        <f t="shared" si="49"/>
        <v>65.670000000000073</v>
      </c>
      <c r="M557" s="30">
        <f t="shared" si="50"/>
        <v>2.5380691041199686E-2</v>
      </c>
      <c r="N557" s="20" t="str">
        <f t="shared" si="53"/>
        <v>Normal</v>
      </c>
      <c r="O557" s="32">
        <f t="shared" si="51"/>
        <v>3589.6559999999999</v>
      </c>
      <c r="P557" s="20">
        <f t="shared" si="52"/>
        <v>6</v>
      </c>
      <c r="Q557" s="20" t="str" cm="1">
        <f t="array" ref="Q557">_xlfn.IFS(P557&lt;=3,"Q1",P557&lt;=6,"Q2",P557&lt;=9,"Q3",P557&lt;=12,"Q4")</f>
        <v>Q2</v>
      </c>
    </row>
    <row r="558" spans="1:17" x14ac:dyDescent="0.25">
      <c r="A558" s="8">
        <v>45814</v>
      </c>
      <c r="B558" s="9" t="s">
        <v>65</v>
      </c>
      <c r="C558" s="9" t="s">
        <v>66</v>
      </c>
      <c r="D558" s="9" t="s">
        <v>67</v>
      </c>
      <c r="E558" s="10">
        <v>201.5</v>
      </c>
      <c r="F558" s="10">
        <v>202.66</v>
      </c>
      <c r="G558" s="10">
        <v>201.4</v>
      </c>
      <c r="H558" s="10">
        <v>201.81</v>
      </c>
      <c r="I558" s="11">
        <v>3791813</v>
      </c>
      <c r="J558" s="10">
        <v>50452500000</v>
      </c>
      <c r="K558" s="30">
        <f t="shared" si="48"/>
        <v>0.15384615384615496</v>
      </c>
      <c r="L558" s="31">
        <f t="shared" si="49"/>
        <v>1.2599999999999909</v>
      </c>
      <c r="M558" s="30">
        <f t="shared" si="50"/>
        <v>6.2531017369726596E-3</v>
      </c>
      <c r="N558" s="20" t="str">
        <f t="shared" si="53"/>
        <v>High volume</v>
      </c>
      <c r="O558" s="32">
        <f t="shared" si="51"/>
        <v>50.452500000000001</v>
      </c>
      <c r="P558" s="20">
        <f t="shared" si="52"/>
        <v>6</v>
      </c>
      <c r="Q558" s="20" t="str" cm="1">
        <f t="array" ref="Q558">_xlfn.IFS(P558&lt;=3,"Q1",P558&lt;=6,"Q2",P558&lt;=9,"Q3",P558&lt;=12,"Q4")</f>
        <v>Q2</v>
      </c>
    </row>
    <row r="559" spans="1:17" x14ac:dyDescent="0.25">
      <c r="A559" s="14">
        <v>45814</v>
      </c>
      <c r="B559" s="15" t="s">
        <v>69</v>
      </c>
      <c r="C559" s="15" t="s">
        <v>70</v>
      </c>
      <c r="D559" s="15" t="s">
        <v>71</v>
      </c>
      <c r="E559" s="16">
        <v>596.28</v>
      </c>
      <c r="F559" s="16">
        <v>599.9</v>
      </c>
      <c r="G559" s="16">
        <v>594.16999999999996</v>
      </c>
      <c r="H559" s="16">
        <v>598.9</v>
      </c>
      <c r="I559" s="17">
        <v>3427341</v>
      </c>
      <c r="J559" s="16">
        <v>479120000000</v>
      </c>
      <c r="K559" s="30">
        <f t="shared" si="48"/>
        <v>0.4393908901858195</v>
      </c>
      <c r="L559" s="31">
        <f t="shared" si="49"/>
        <v>5.7300000000000182</v>
      </c>
      <c r="M559" s="30">
        <f t="shared" si="50"/>
        <v>9.6095793922318685E-3</v>
      </c>
      <c r="N559" s="20" t="str">
        <f t="shared" si="53"/>
        <v>High volume</v>
      </c>
      <c r="O559" s="32">
        <f t="shared" si="51"/>
        <v>479.12</v>
      </c>
      <c r="P559" s="20">
        <f t="shared" si="52"/>
        <v>6</v>
      </c>
      <c r="Q559" s="20" t="str" cm="1">
        <f t="array" ref="Q559">_xlfn.IFS(P559&lt;=3,"Q1",P559&lt;=6,"Q2",P559&lt;=9,"Q3",P559&lt;=12,"Q4")</f>
        <v>Q2</v>
      </c>
    </row>
    <row r="560" spans="1:17" x14ac:dyDescent="0.25">
      <c r="A560" s="8">
        <v>45814</v>
      </c>
      <c r="B560" s="9" t="s">
        <v>73</v>
      </c>
      <c r="C560" s="9" t="s">
        <v>74</v>
      </c>
      <c r="D560" s="9" t="s">
        <v>75</v>
      </c>
      <c r="E560" s="10">
        <v>101.1</v>
      </c>
      <c r="F560" s="10">
        <v>101.92</v>
      </c>
      <c r="G560" s="10">
        <v>100.56</v>
      </c>
      <c r="H560" s="10">
        <v>101.26</v>
      </c>
      <c r="I560" s="11">
        <v>685276</v>
      </c>
      <c r="J560" s="10">
        <v>22277200000</v>
      </c>
      <c r="K560" s="30">
        <f t="shared" si="48"/>
        <v>0.15825914935708288</v>
      </c>
      <c r="L560" s="31">
        <f t="shared" si="49"/>
        <v>1.3599999999999994</v>
      </c>
      <c r="M560" s="30">
        <f t="shared" si="50"/>
        <v>1.3452027695351133E-2</v>
      </c>
      <c r="N560" s="20" t="str">
        <f t="shared" si="53"/>
        <v>Normal</v>
      </c>
      <c r="O560" s="32">
        <f t="shared" si="51"/>
        <v>22.277200000000001</v>
      </c>
      <c r="P560" s="20">
        <f t="shared" si="52"/>
        <v>6</v>
      </c>
      <c r="Q560" s="20" t="str" cm="1">
        <f t="array" ref="Q560">_xlfn.IFS(P560&lt;=3,"Q1",P560&lt;=6,"Q2",P560&lt;=9,"Q3",P560&lt;=12,"Q4")</f>
        <v>Q2</v>
      </c>
    </row>
    <row r="561" spans="1:17" x14ac:dyDescent="0.25">
      <c r="A561" s="14">
        <v>45814</v>
      </c>
      <c r="B561" s="15" t="s">
        <v>76</v>
      </c>
      <c r="C561" s="15" t="s">
        <v>77</v>
      </c>
      <c r="D561" s="15" t="s">
        <v>75</v>
      </c>
      <c r="E561" s="16">
        <v>143.94999999999999</v>
      </c>
      <c r="F561" s="16">
        <v>144.37</v>
      </c>
      <c r="G561" s="16">
        <v>143.83000000000001</v>
      </c>
      <c r="H561" s="16">
        <v>144.08000000000001</v>
      </c>
      <c r="I561" s="17">
        <v>2668161</v>
      </c>
      <c r="J561" s="16">
        <v>28816000000</v>
      </c>
      <c r="K561" s="30">
        <f t="shared" si="48"/>
        <v>9.0309135116376435E-2</v>
      </c>
      <c r="L561" s="31">
        <f t="shared" si="49"/>
        <v>0.53999999999999204</v>
      </c>
      <c r="M561" s="30">
        <f t="shared" si="50"/>
        <v>3.7513025356025846E-3</v>
      </c>
      <c r="N561" s="20" t="str">
        <f t="shared" si="53"/>
        <v>High volume</v>
      </c>
      <c r="O561" s="32">
        <f t="shared" si="51"/>
        <v>28.815999999999999</v>
      </c>
      <c r="P561" s="20">
        <f t="shared" si="52"/>
        <v>6</v>
      </c>
      <c r="Q561" s="20" t="str" cm="1">
        <f t="array" ref="Q561">_xlfn.IFS(P561&lt;=3,"Q1",P561&lt;=6,"Q2",P561&lt;=9,"Q3",P561&lt;=12,"Q4")</f>
        <v>Q2</v>
      </c>
    </row>
    <row r="562" spans="1:17" x14ac:dyDescent="0.25">
      <c r="A562" s="8">
        <v>45817</v>
      </c>
      <c r="B562" s="9" t="s">
        <v>60</v>
      </c>
      <c r="C562" s="9" t="s">
        <v>61</v>
      </c>
      <c r="D562" s="9" t="s">
        <v>62</v>
      </c>
      <c r="E562" s="10">
        <v>2569.44</v>
      </c>
      <c r="F562" s="10">
        <v>2586.98</v>
      </c>
      <c r="G562" s="10">
        <v>2550</v>
      </c>
      <c r="H562" s="10">
        <v>2563.64</v>
      </c>
      <c r="I562" s="11">
        <v>2746076</v>
      </c>
      <c r="J562" s="10">
        <v>3589096000000</v>
      </c>
      <c r="K562" s="30">
        <f t="shared" si="48"/>
        <v>-0.22573012018183655</v>
      </c>
      <c r="L562" s="31">
        <f t="shared" si="49"/>
        <v>36.980000000000018</v>
      </c>
      <c r="M562" s="30">
        <f t="shared" si="50"/>
        <v>1.439224111090355E-2</v>
      </c>
      <c r="N562" s="20" t="str">
        <f t="shared" si="53"/>
        <v>High volume</v>
      </c>
      <c r="O562" s="32">
        <f t="shared" si="51"/>
        <v>3589.096</v>
      </c>
      <c r="P562" s="20">
        <f t="shared" si="52"/>
        <v>6</v>
      </c>
      <c r="Q562" s="20" t="str" cm="1">
        <f t="array" ref="Q562">_xlfn.IFS(P562&lt;=3,"Q1",P562&lt;=6,"Q2",P562&lt;=9,"Q3",P562&lt;=12,"Q4")</f>
        <v>Q2</v>
      </c>
    </row>
    <row r="563" spans="1:17" x14ac:dyDescent="0.25">
      <c r="A563" s="14">
        <v>45817</v>
      </c>
      <c r="B563" s="15" t="s">
        <v>65</v>
      </c>
      <c r="C563" s="15" t="s">
        <v>66</v>
      </c>
      <c r="D563" s="15" t="s">
        <v>67</v>
      </c>
      <c r="E563" s="16">
        <v>203.58</v>
      </c>
      <c r="F563" s="16">
        <v>204.86</v>
      </c>
      <c r="G563" s="16">
        <v>203.04</v>
      </c>
      <c r="H563" s="16">
        <v>204.17</v>
      </c>
      <c r="I563" s="17">
        <v>4191699</v>
      </c>
      <c r="J563" s="16">
        <v>51042500000</v>
      </c>
      <c r="K563" s="30">
        <f t="shared" si="48"/>
        <v>0.28981235877786371</v>
      </c>
      <c r="L563" s="31">
        <f t="shared" si="49"/>
        <v>1.8200000000000216</v>
      </c>
      <c r="M563" s="30">
        <f t="shared" si="50"/>
        <v>8.939974457215942E-3</v>
      </c>
      <c r="N563" s="20" t="str">
        <f t="shared" si="53"/>
        <v>High volume</v>
      </c>
      <c r="O563" s="32">
        <f t="shared" si="51"/>
        <v>51.042499999999997</v>
      </c>
      <c r="P563" s="20">
        <f t="shared" si="52"/>
        <v>6</v>
      </c>
      <c r="Q563" s="20" t="str" cm="1">
        <f t="array" ref="Q563">_xlfn.IFS(P563&lt;=3,"Q1",P563&lt;=6,"Q2",P563&lt;=9,"Q3",P563&lt;=12,"Q4")</f>
        <v>Q2</v>
      </c>
    </row>
    <row r="564" spans="1:17" x14ac:dyDescent="0.25">
      <c r="A564" s="8">
        <v>45817</v>
      </c>
      <c r="B564" s="9" t="s">
        <v>69</v>
      </c>
      <c r="C564" s="9" t="s">
        <v>70</v>
      </c>
      <c r="D564" s="9" t="s">
        <v>71</v>
      </c>
      <c r="E564" s="10">
        <v>582.78</v>
      </c>
      <c r="F564" s="10">
        <v>591.95000000000005</v>
      </c>
      <c r="G564" s="10">
        <v>574.72</v>
      </c>
      <c r="H564" s="10">
        <v>587.34</v>
      </c>
      <c r="I564" s="11">
        <v>4884871</v>
      </c>
      <c r="J564" s="10">
        <v>469872000000</v>
      </c>
      <c r="K564" s="30">
        <f t="shared" si="48"/>
        <v>0.78245650159580959</v>
      </c>
      <c r="L564" s="31">
        <f t="shared" si="49"/>
        <v>17.230000000000018</v>
      </c>
      <c r="M564" s="30">
        <f t="shared" si="50"/>
        <v>2.9565187549332541E-2</v>
      </c>
      <c r="N564" s="20" t="str">
        <f t="shared" si="53"/>
        <v>High volume</v>
      </c>
      <c r="O564" s="32">
        <f t="shared" si="51"/>
        <v>469.87200000000001</v>
      </c>
      <c r="P564" s="20">
        <f t="shared" si="52"/>
        <v>6</v>
      </c>
      <c r="Q564" s="20" t="str" cm="1">
        <f t="array" ref="Q564">_xlfn.IFS(P564&lt;=3,"Q1",P564&lt;=6,"Q2",P564&lt;=9,"Q3",P564&lt;=12,"Q4")</f>
        <v>Q2</v>
      </c>
    </row>
    <row r="565" spans="1:17" x14ac:dyDescent="0.25">
      <c r="A565" s="14">
        <v>45817</v>
      </c>
      <c r="B565" s="15" t="s">
        <v>73</v>
      </c>
      <c r="C565" s="15" t="s">
        <v>74</v>
      </c>
      <c r="D565" s="15" t="s">
        <v>75</v>
      </c>
      <c r="E565" s="16">
        <v>101.24</v>
      </c>
      <c r="F565" s="16">
        <v>101.28</v>
      </c>
      <c r="G565" s="16">
        <v>100.63</v>
      </c>
      <c r="H565" s="16">
        <v>100.63</v>
      </c>
      <c r="I565" s="17">
        <v>3739632</v>
      </c>
      <c r="J565" s="16">
        <v>22138600000</v>
      </c>
      <c r="K565" s="30">
        <f t="shared" si="48"/>
        <v>-0.60252864480442458</v>
      </c>
      <c r="L565" s="31">
        <f t="shared" si="49"/>
        <v>0.65000000000000568</v>
      </c>
      <c r="M565" s="30">
        <f t="shared" si="50"/>
        <v>6.4203871987357341E-3</v>
      </c>
      <c r="N565" s="20" t="str">
        <f t="shared" si="53"/>
        <v>High volume</v>
      </c>
      <c r="O565" s="32">
        <f t="shared" si="51"/>
        <v>22.1386</v>
      </c>
      <c r="P565" s="20">
        <f t="shared" si="52"/>
        <v>6</v>
      </c>
      <c r="Q565" s="20" t="str" cm="1">
        <f t="array" ref="Q565">_xlfn.IFS(P565&lt;=3,"Q1",P565&lt;=6,"Q2",P565&lt;=9,"Q3",P565&lt;=12,"Q4")</f>
        <v>Q2</v>
      </c>
    </row>
    <row r="566" spans="1:17" x14ac:dyDescent="0.25">
      <c r="A566" s="8">
        <v>45817</v>
      </c>
      <c r="B566" s="9" t="s">
        <v>76</v>
      </c>
      <c r="C566" s="9" t="s">
        <v>77</v>
      </c>
      <c r="D566" s="9" t="s">
        <v>75</v>
      </c>
      <c r="E566" s="10">
        <v>146.78</v>
      </c>
      <c r="F566" s="10">
        <v>147</v>
      </c>
      <c r="G566" s="10">
        <v>145.59</v>
      </c>
      <c r="H566" s="10">
        <v>145.6</v>
      </c>
      <c r="I566" s="11">
        <v>3110329</v>
      </c>
      <c r="J566" s="10">
        <v>29120000000</v>
      </c>
      <c r="K566" s="30">
        <f t="shared" si="48"/>
        <v>-0.80392424035972665</v>
      </c>
      <c r="L566" s="31">
        <f t="shared" si="49"/>
        <v>1.4099999999999966</v>
      </c>
      <c r="M566" s="30">
        <f t="shared" si="50"/>
        <v>9.6062133805695366E-3</v>
      </c>
      <c r="N566" s="20" t="str">
        <f t="shared" si="53"/>
        <v>High volume</v>
      </c>
      <c r="O566" s="32">
        <f t="shared" si="51"/>
        <v>29.12</v>
      </c>
      <c r="P566" s="20">
        <f t="shared" si="52"/>
        <v>6</v>
      </c>
      <c r="Q566" s="20" t="str" cm="1">
        <f t="array" ref="Q566">_xlfn.IFS(P566&lt;=3,"Q1",P566&lt;=6,"Q2",P566&lt;=9,"Q3",P566&lt;=12,"Q4")</f>
        <v>Q2</v>
      </c>
    </row>
    <row r="567" spans="1:17" x14ac:dyDescent="0.25">
      <c r="A567" s="14">
        <v>45818</v>
      </c>
      <c r="B567" s="15" t="s">
        <v>60</v>
      </c>
      <c r="C567" s="15" t="s">
        <v>61</v>
      </c>
      <c r="D567" s="15" t="s">
        <v>62</v>
      </c>
      <c r="E567" s="16">
        <v>2519.56</v>
      </c>
      <c r="F567" s="16">
        <v>2549.06</v>
      </c>
      <c r="G567" s="16">
        <v>2519.29</v>
      </c>
      <c r="H567" s="16">
        <v>2544.56</v>
      </c>
      <c r="I567" s="17">
        <v>2879586</v>
      </c>
      <c r="J567" s="16">
        <v>3562384000000</v>
      </c>
      <c r="K567" s="30">
        <f t="shared" si="48"/>
        <v>0.99223673974821003</v>
      </c>
      <c r="L567" s="31">
        <f t="shared" si="49"/>
        <v>29.769999999999982</v>
      </c>
      <c r="M567" s="30">
        <f t="shared" si="50"/>
        <v>1.1815555096921677E-2</v>
      </c>
      <c r="N567" s="20" t="str">
        <f t="shared" si="53"/>
        <v>High volume</v>
      </c>
      <c r="O567" s="32">
        <f t="shared" si="51"/>
        <v>3562.384</v>
      </c>
      <c r="P567" s="20">
        <f t="shared" si="52"/>
        <v>6</v>
      </c>
      <c r="Q567" s="20" t="str" cm="1">
        <f t="array" ref="Q567">_xlfn.IFS(P567&lt;=3,"Q1",P567&lt;=6,"Q2",P567&lt;=9,"Q3",P567&lt;=12,"Q4")</f>
        <v>Q2</v>
      </c>
    </row>
    <row r="568" spans="1:17" x14ac:dyDescent="0.25">
      <c r="A568" s="8">
        <v>45818</v>
      </c>
      <c r="B568" s="9" t="s">
        <v>65</v>
      </c>
      <c r="C568" s="9" t="s">
        <v>66</v>
      </c>
      <c r="D568" s="9" t="s">
        <v>67</v>
      </c>
      <c r="E568" s="10">
        <v>207.2</v>
      </c>
      <c r="F568" s="10">
        <v>208.44</v>
      </c>
      <c r="G568" s="10">
        <v>207.06</v>
      </c>
      <c r="H568" s="10">
        <v>207.14</v>
      </c>
      <c r="I568" s="11">
        <v>1494315</v>
      </c>
      <c r="J568" s="10">
        <v>51785000000</v>
      </c>
      <c r="K568" s="30">
        <f t="shared" si="48"/>
        <v>-2.8957528957530055E-2</v>
      </c>
      <c r="L568" s="31">
        <f t="shared" si="49"/>
        <v>1.3799999999999955</v>
      </c>
      <c r="M568" s="30">
        <f t="shared" si="50"/>
        <v>6.6602316602316384E-3</v>
      </c>
      <c r="N568" s="20" t="str">
        <f t="shared" si="53"/>
        <v>Normal</v>
      </c>
      <c r="O568" s="32">
        <f t="shared" si="51"/>
        <v>51.784999999999997</v>
      </c>
      <c r="P568" s="20">
        <f t="shared" si="52"/>
        <v>6</v>
      </c>
      <c r="Q568" s="20" t="str" cm="1">
        <f t="array" ref="Q568">_xlfn.IFS(P568&lt;=3,"Q1",P568&lt;=6,"Q2",P568&lt;=9,"Q3",P568&lt;=12,"Q4")</f>
        <v>Q2</v>
      </c>
    </row>
    <row r="569" spans="1:17" x14ac:dyDescent="0.25">
      <c r="A569" s="14">
        <v>45818</v>
      </c>
      <c r="B569" s="15" t="s">
        <v>69</v>
      </c>
      <c r="C569" s="15" t="s">
        <v>70</v>
      </c>
      <c r="D569" s="15" t="s">
        <v>71</v>
      </c>
      <c r="E569" s="16">
        <v>597.67999999999995</v>
      </c>
      <c r="F569" s="16">
        <v>598.17999999999995</v>
      </c>
      <c r="G569" s="16">
        <v>595.63</v>
      </c>
      <c r="H569" s="16">
        <v>597.98</v>
      </c>
      <c r="I569" s="17">
        <v>4660056</v>
      </c>
      <c r="J569" s="16">
        <v>478384000000</v>
      </c>
      <c r="K569" s="30">
        <f t="shared" si="48"/>
        <v>5.0194083790668628E-2</v>
      </c>
      <c r="L569" s="31">
        <f t="shared" si="49"/>
        <v>2.5499999999999545</v>
      </c>
      <c r="M569" s="30">
        <f t="shared" si="50"/>
        <v>4.2664971222057873E-3</v>
      </c>
      <c r="N569" s="20" t="str">
        <f t="shared" si="53"/>
        <v>High volume</v>
      </c>
      <c r="O569" s="32">
        <f t="shared" si="51"/>
        <v>478.38400000000001</v>
      </c>
      <c r="P569" s="20">
        <f t="shared" si="52"/>
        <v>6</v>
      </c>
      <c r="Q569" s="20" t="str" cm="1">
        <f t="array" ref="Q569">_xlfn.IFS(P569&lt;=3,"Q1",P569&lt;=6,"Q2",P569&lt;=9,"Q3",P569&lt;=12,"Q4")</f>
        <v>Q2</v>
      </c>
    </row>
    <row r="570" spans="1:17" x14ac:dyDescent="0.25">
      <c r="A570" s="8">
        <v>45818</v>
      </c>
      <c r="B570" s="9" t="s">
        <v>73</v>
      </c>
      <c r="C570" s="9" t="s">
        <v>74</v>
      </c>
      <c r="D570" s="9" t="s">
        <v>75</v>
      </c>
      <c r="E570" s="10">
        <v>97.91</v>
      </c>
      <c r="F570" s="10">
        <v>98.78</v>
      </c>
      <c r="G570" s="10">
        <v>96.65</v>
      </c>
      <c r="H570" s="10">
        <v>97.89</v>
      </c>
      <c r="I570" s="11">
        <v>4539835</v>
      </c>
      <c r="J570" s="10">
        <v>21535800000</v>
      </c>
      <c r="K570" s="30">
        <f t="shared" si="48"/>
        <v>-2.0426922684093577E-2</v>
      </c>
      <c r="L570" s="31">
        <f t="shared" si="49"/>
        <v>2.1299999999999955</v>
      </c>
      <c r="M570" s="30">
        <f t="shared" si="50"/>
        <v>2.1754672658563942E-2</v>
      </c>
      <c r="N570" s="20" t="str">
        <f t="shared" si="53"/>
        <v>High volume</v>
      </c>
      <c r="O570" s="32">
        <f t="shared" si="51"/>
        <v>21.535799999999998</v>
      </c>
      <c r="P570" s="20">
        <f t="shared" si="52"/>
        <v>6</v>
      </c>
      <c r="Q570" s="20" t="str" cm="1">
        <f t="array" ref="Q570">_xlfn.IFS(P570&lt;=3,"Q1",P570&lt;=6,"Q2",P570&lt;=9,"Q3",P570&lt;=12,"Q4")</f>
        <v>Q2</v>
      </c>
    </row>
    <row r="571" spans="1:17" x14ac:dyDescent="0.25">
      <c r="A571" s="14">
        <v>45818</v>
      </c>
      <c r="B571" s="15" t="s">
        <v>76</v>
      </c>
      <c r="C571" s="15" t="s">
        <v>77</v>
      </c>
      <c r="D571" s="15" t="s">
        <v>75</v>
      </c>
      <c r="E571" s="16">
        <v>146.56</v>
      </c>
      <c r="F571" s="16">
        <v>148.01</v>
      </c>
      <c r="G571" s="16">
        <v>144.94</v>
      </c>
      <c r="H571" s="16">
        <v>145.16999999999999</v>
      </c>
      <c r="I571" s="17">
        <v>822466</v>
      </c>
      <c r="J571" s="16">
        <v>29034000000</v>
      </c>
      <c r="K571" s="30">
        <f t="shared" si="48"/>
        <v>-0.94841703056769555</v>
      </c>
      <c r="L571" s="31">
        <f t="shared" si="49"/>
        <v>3.0699999999999932</v>
      </c>
      <c r="M571" s="30">
        <f t="shared" si="50"/>
        <v>2.0947052401746678E-2</v>
      </c>
      <c r="N571" s="20" t="str">
        <f t="shared" si="53"/>
        <v>Normal</v>
      </c>
      <c r="O571" s="32">
        <f t="shared" si="51"/>
        <v>29.033999999999999</v>
      </c>
      <c r="P571" s="20">
        <f t="shared" si="52"/>
        <v>6</v>
      </c>
      <c r="Q571" s="20" t="str" cm="1">
        <f t="array" ref="Q571">_xlfn.IFS(P571&lt;=3,"Q1",P571&lt;=6,"Q2",P571&lt;=9,"Q3",P571&lt;=12,"Q4")</f>
        <v>Q2</v>
      </c>
    </row>
    <row r="572" spans="1:17" x14ac:dyDescent="0.25">
      <c r="A572" s="8">
        <v>45819</v>
      </c>
      <c r="B572" s="9" t="s">
        <v>60</v>
      </c>
      <c r="C572" s="9" t="s">
        <v>61</v>
      </c>
      <c r="D572" s="9" t="s">
        <v>62</v>
      </c>
      <c r="E572" s="10">
        <v>2454.67</v>
      </c>
      <c r="F572" s="10">
        <v>2474.8000000000002</v>
      </c>
      <c r="G572" s="10">
        <v>2453.4</v>
      </c>
      <c r="H572" s="10">
        <v>2460.14</v>
      </c>
      <c r="I572" s="11">
        <v>3596325</v>
      </c>
      <c r="J572" s="10">
        <v>3444196000000</v>
      </c>
      <c r="K572" s="30">
        <f t="shared" si="48"/>
        <v>0.22284054475753562</v>
      </c>
      <c r="L572" s="31">
        <f t="shared" si="49"/>
        <v>21.400000000000091</v>
      </c>
      <c r="M572" s="30">
        <f t="shared" si="50"/>
        <v>8.7180761568765204E-3</v>
      </c>
      <c r="N572" s="20" t="str">
        <f t="shared" si="53"/>
        <v>High volume</v>
      </c>
      <c r="O572" s="32">
        <f t="shared" si="51"/>
        <v>3444.1959999999999</v>
      </c>
      <c r="P572" s="20">
        <f t="shared" si="52"/>
        <v>6</v>
      </c>
      <c r="Q572" s="20" t="str" cm="1">
        <f t="array" ref="Q572">_xlfn.IFS(P572&lt;=3,"Q1",P572&lt;=6,"Q2",P572&lt;=9,"Q3",P572&lt;=12,"Q4")</f>
        <v>Q2</v>
      </c>
    </row>
    <row r="573" spans="1:17" x14ac:dyDescent="0.25">
      <c r="A573" s="14">
        <v>45819</v>
      </c>
      <c r="B573" s="15" t="s">
        <v>65</v>
      </c>
      <c r="C573" s="15" t="s">
        <v>66</v>
      </c>
      <c r="D573" s="15" t="s">
        <v>67</v>
      </c>
      <c r="E573" s="16">
        <v>209.59</v>
      </c>
      <c r="F573" s="16">
        <v>210.42</v>
      </c>
      <c r="G573" s="16">
        <v>206.99</v>
      </c>
      <c r="H573" s="16">
        <v>208.08</v>
      </c>
      <c r="I573" s="17">
        <v>2581331</v>
      </c>
      <c r="J573" s="16">
        <v>52020000000</v>
      </c>
      <c r="K573" s="30">
        <f t="shared" si="48"/>
        <v>-0.72045422014408655</v>
      </c>
      <c r="L573" s="31">
        <f t="shared" si="49"/>
        <v>3.4299999999999784</v>
      </c>
      <c r="M573" s="30">
        <f t="shared" si="50"/>
        <v>1.6365284603272953E-2</v>
      </c>
      <c r="N573" s="20" t="str">
        <f t="shared" si="53"/>
        <v>High volume</v>
      </c>
      <c r="O573" s="32">
        <f t="shared" si="51"/>
        <v>52.02</v>
      </c>
      <c r="P573" s="20">
        <f t="shared" si="52"/>
        <v>6</v>
      </c>
      <c r="Q573" s="20" t="str" cm="1">
        <f t="array" ref="Q573">_xlfn.IFS(P573&lt;=3,"Q1",P573&lt;=6,"Q2",P573&lt;=9,"Q3",P573&lt;=12,"Q4")</f>
        <v>Q2</v>
      </c>
    </row>
    <row r="574" spans="1:17" x14ac:dyDescent="0.25">
      <c r="A574" s="8">
        <v>45819</v>
      </c>
      <c r="B574" s="9" t="s">
        <v>69</v>
      </c>
      <c r="C574" s="9" t="s">
        <v>70</v>
      </c>
      <c r="D574" s="9" t="s">
        <v>71</v>
      </c>
      <c r="E574" s="10">
        <v>600.30999999999995</v>
      </c>
      <c r="F574" s="10">
        <v>611.76</v>
      </c>
      <c r="G574" s="10">
        <v>594.91</v>
      </c>
      <c r="H574" s="10">
        <v>596.75</v>
      </c>
      <c r="I574" s="11">
        <v>1186321</v>
      </c>
      <c r="J574" s="10">
        <v>477400000000</v>
      </c>
      <c r="K574" s="30">
        <f t="shared" si="48"/>
        <v>-0.59302693608301471</v>
      </c>
      <c r="L574" s="31">
        <f t="shared" si="49"/>
        <v>16.850000000000023</v>
      </c>
      <c r="M574" s="30">
        <f t="shared" si="50"/>
        <v>2.8068831103929676E-2</v>
      </c>
      <c r="N574" s="20" t="str">
        <f t="shared" si="53"/>
        <v>Normal</v>
      </c>
      <c r="O574" s="32">
        <f t="shared" si="51"/>
        <v>477.4</v>
      </c>
      <c r="P574" s="20">
        <f t="shared" si="52"/>
        <v>6</v>
      </c>
      <c r="Q574" s="20" t="str" cm="1">
        <f t="array" ref="Q574">_xlfn.IFS(P574&lt;=3,"Q1",P574&lt;=6,"Q2",P574&lt;=9,"Q3",P574&lt;=12,"Q4")</f>
        <v>Q2</v>
      </c>
    </row>
    <row r="575" spans="1:17" x14ac:dyDescent="0.25">
      <c r="A575" s="14">
        <v>45819</v>
      </c>
      <c r="B575" s="15" t="s">
        <v>73</v>
      </c>
      <c r="C575" s="15" t="s">
        <v>74</v>
      </c>
      <c r="D575" s="15" t="s">
        <v>75</v>
      </c>
      <c r="E575" s="16">
        <v>99.81</v>
      </c>
      <c r="F575" s="16">
        <v>100.27</v>
      </c>
      <c r="G575" s="16">
        <v>99.04</v>
      </c>
      <c r="H575" s="16">
        <v>99.54</v>
      </c>
      <c r="I575" s="17">
        <v>4795660</v>
      </c>
      <c r="J575" s="16">
        <v>21898800000</v>
      </c>
      <c r="K575" s="30">
        <f t="shared" si="48"/>
        <v>-0.27051397655545134</v>
      </c>
      <c r="L575" s="31">
        <f t="shared" si="49"/>
        <v>1.2299999999999898</v>
      </c>
      <c r="M575" s="30">
        <f t="shared" si="50"/>
        <v>1.2323414487526198E-2</v>
      </c>
      <c r="N575" s="20" t="str">
        <f t="shared" si="53"/>
        <v>High volume</v>
      </c>
      <c r="O575" s="32">
        <f t="shared" si="51"/>
        <v>21.898800000000001</v>
      </c>
      <c r="P575" s="20">
        <f t="shared" si="52"/>
        <v>6</v>
      </c>
      <c r="Q575" s="20" t="str" cm="1">
        <f t="array" ref="Q575">_xlfn.IFS(P575&lt;=3,"Q1",P575&lt;=6,"Q2",P575&lt;=9,"Q3",P575&lt;=12,"Q4")</f>
        <v>Q2</v>
      </c>
    </row>
    <row r="576" spans="1:17" x14ac:dyDescent="0.25">
      <c r="A576" s="8">
        <v>45819</v>
      </c>
      <c r="B576" s="9" t="s">
        <v>76</v>
      </c>
      <c r="C576" s="9" t="s">
        <v>77</v>
      </c>
      <c r="D576" s="9" t="s">
        <v>75</v>
      </c>
      <c r="E576" s="10">
        <v>142.85</v>
      </c>
      <c r="F576" s="10">
        <v>144.37</v>
      </c>
      <c r="G576" s="10">
        <v>141.63</v>
      </c>
      <c r="H576" s="10">
        <v>143.97</v>
      </c>
      <c r="I576" s="11">
        <v>1058505</v>
      </c>
      <c r="J576" s="10">
        <v>28794000000</v>
      </c>
      <c r="K576" s="30">
        <f t="shared" si="48"/>
        <v>0.78403920196010113</v>
      </c>
      <c r="L576" s="31">
        <f t="shared" si="49"/>
        <v>2.7400000000000091</v>
      </c>
      <c r="M576" s="30">
        <f t="shared" si="50"/>
        <v>1.9180959047952462E-2</v>
      </c>
      <c r="N576" s="20" t="str">
        <f t="shared" si="53"/>
        <v>Normal</v>
      </c>
      <c r="O576" s="32">
        <f t="shared" si="51"/>
        <v>28.794</v>
      </c>
      <c r="P576" s="20">
        <f t="shared" si="52"/>
        <v>6</v>
      </c>
      <c r="Q576" s="20" t="str" cm="1">
        <f t="array" ref="Q576">_xlfn.IFS(P576&lt;=3,"Q1",P576&lt;=6,"Q2",P576&lt;=9,"Q3",P576&lt;=12,"Q4")</f>
        <v>Q2</v>
      </c>
    </row>
    <row r="577" spans="1:17" x14ac:dyDescent="0.25">
      <c r="A577" s="14">
        <v>45820</v>
      </c>
      <c r="B577" s="15" t="s">
        <v>60</v>
      </c>
      <c r="C577" s="15" t="s">
        <v>61</v>
      </c>
      <c r="D577" s="15" t="s">
        <v>62</v>
      </c>
      <c r="E577" s="16">
        <v>2472.88</v>
      </c>
      <c r="F577" s="16">
        <v>2489.39</v>
      </c>
      <c r="G577" s="16">
        <v>2447.6999999999998</v>
      </c>
      <c r="H577" s="16">
        <v>2482.15</v>
      </c>
      <c r="I577" s="17">
        <v>638310</v>
      </c>
      <c r="J577" s="16">
        <v>3475010000000</v>
      </c>
      <c r="K577" s="30">
        <f t="shared" si="48"/>
        <v>0.37486655236000055</v>
      </c>
      <c r="L577" s="31">
        <f t="shared" si="49"/>
        <v>41.690000000000055</v>
      </c>
      <c r="M577" s="30">
        <f t="shared" si="50"/>
        <v>1.6858885186503209E-2</v>
      </c>
      <c r="N577" s="20" t="str">
        <f t="shared" si="53"/>
        <v>Normal</v>
      </c>
      <c r="O577" s="32">
        <f t="shared" si="51"/>
        <v>3475.01</v>
      </c>
      <c r="P577" s="20">
        <f t="shared" si="52"/>
        <v>6</v>
      </c>
      <c r="Q577" s="20" t="str" cm="1">
        <f t="array" ref="Q577">_xlfn.IFS(P577&lt;=3,"Q1",P577&lt;=6,"Q2",P577&lt;=9,"Q3",P577&lt;=12,"Q4")</f>
        <v>Q2</v>
      </c>
    </row>
    <row r="578" spans="1:17" x14ac:dyDescent="0.25">
      <c r="A578" s="8">
        <v>45820</v>
      </c>
      <c r="B578" s="9" t="s">
        <v>65</v>
      </c>
      <c r="C578" s="9" t="s">
        <v>66</v>
      </c>
      <c r="D578" s="9" t="s">
        <v>67</v>
      </c>
      <c r="E578" s="10">
        <v>209.46</v>
      </c>
      <c r="F578" s="10">
        <v>212.68</v>
      </c>
      <c r="G578" s="10">
        <v>207.89</v>
      </c>
      <c r="H578" s="10">
        <v>212.53</v>
      </c>
      <c r="I578" s="11">
        <v>3623939</v>
      </c>
      <c r="J578" s="10">
        <v>53132500000</v>
      </c>
      <c r="K578" s="30">
        <f t="shared" si="48"/>
        <v>1.4656736369712562</v>
      </c>
      <c r="L578" s="31">
        <f t="shared" si="49"/>
        <v>4.7900000000000205</v>
      </c>
      <c r="M578" s="30">
        <f t="shared" si="50"/>
        <v>2.2868328081734078E-2</v>
      </c>
      <c r="N578" s="20" t="str">
        <f t="shared" si="53"/>
        <v>High volume</v>
      </c>
      <c r="O578" s="32">
        <f t="shared" si="51"/>
        <v>53.1325</v>
      </c>
      <c r="P578" s="20">
        <f t="shared" si="52"/>
        <v>6</v>
      </c>
      <c r="Q578" s="20" t="str" cm="1">
        <f t="array" ref="Q578">_xlfn.IFS(P578&lt;=3,"Q1",P578&lt;=6,"Q2",P578&lt;=9,"Q3",P578&lt;=12,"Q4")</f>
        <v>Q2</v>
      </c>
    </row>
    <row r="579" spans="1:17" x14ac:dyDescent="0.25">
      <c r="A579" s="14">
        <v>45820</v>
      </c>
      <c r="B579" s="15" t="s">
        <v>69</v>
      </c>
      <c r="C579" s="15" t="s">
        <v>70</v>
      </c>
      <c r="D579" s="15" t="s">
        <v>71</v>
      </c>
      <c r="E579" s="16">
        <v>608.19000000000005</v>
      </c>
      <c r="F579" s="16">
        <v>615.48</v>
      </c>
      <c r="G579" s="16">
        <v>607.57000000000005</v>
      </c>
      <c r="H579" s="16">
        <v>609.63</v>
      </c>
      <c r="I579" s="17">
        <v>1758508</v>
      </c>
      <c r="J579" s="16">
        <v>487704000000</v>
      </c>
      <c r="K579" s="30">
        <f t="shared" ref="K579:K642" si="54">((H579-E579)/E579)*100</f>
        <v>0.2367681152271397</v>
      </c>
      <c r="L579" s="31">
        <f t="shared" ref="L579:L642" si="55">F579-G579</f>
        <v>7.9099999999999682</v>
      </c>
      <c r="M579" s="30">
        <f t="shared" ref="M579:M642" si="56">L579/E579</f>
        <v>1.3005804107269056E-2</v>
      </c>
      <c r="N579" s="20" t="str">
        <f t="shared" si="53"/>
        <v>Normal</v>
      </c>
      <c r="O579" s="32">
        <f t="shared" ref="O579:O642" si="57">J579/1000000000</f>
        <v>487.70400000000001</v>
      </c>
      <c r="P579" s="20">
        <f t="shared" ref="P579:P642" si="58">MONTH(A579)</f>
        <v>6</v>
      </c>
      <c r="Q579" s="20" t="str" cm="1">
        <f t="array" ref="Q579">_xlfn.IFS(P579&lt;=3,"Q1",P579&lt;=6,"Q2",P579&lt;=9,"Q3",P579&lt;=12,"Q4")</f>
        <v>Q2</v>
      </c>
    </row>
    <row r="580" spans="1:17" x14ac:dyDescent="0.25">
      <c r="A580" s="8">
        <v>45820</v>
      </c>
      <c r="B580" s="9" t="s">
        <v>73</v>
      </c>
      <c r="C580" s="9" t="s">
        <v>74</v>
      </c>
      <c r="D580" s="9" t="s">
        <v>75</v>
      </c>
      <c r="E580" s="10">
        <v>101.05</v>
      </c>
      <c r="F580" s="10">
        <v>101.21</v>
      </c>
      <c r="G580" s="10">
        <v>99.77</v>
      </c>
      <c r="H580" s="10">
        <v>100.13</v>
      </c>
      <c r="I580" s="11">
        <v>4175899</v>
      </c>
      <c r="J580" s="10">
        <v>22028600000</v>
      </c>
      <c r="K580" s="30">
        <f t="shared" si="54"/>
        <v>-0.91044037605146133</v>
      </c>
      <c r="L580" s="31">
        <f t="shared" si="55"/>
        <v>1.4399999999999977</v>
      </c>
      <c r="M580" s="30">
        <f t="shared" si="56"/>
        <v>1.4250371103414129E-2</v>
      </c>
      <c r="N580" s="20" t="str">
        <f t="shared" ref="N580:N643" si="59">IF(I580&gt;2000000,"High volume","Normal")</f>
        <v>High volume</v>
      </c>
      <c r="O580" s="32">
        <f t="shared" si="57"/>
        <v>22.028600000000001</v>
      </c>
      <c r="P580" s="20">
        <f t="shared" si="58"/>
        <v>6</v>
      </c>
      <c r="Q580" s="20" t="str" cm="1">
        <f t="array" ref="Q580">_xlfn.IFS(P580&lt;=3,"Q1",P580&lt;=6,"Q2",P580&lt;=9,"Q3",P580&lt;=12,"Q4")</f>
        <v>Q2</v>
      </c>
    </row>
    <row r="581" spans="1:17" x14ac:dyDescent="0.25">
      <c r="A581" s="14">
        <v>45820</v>
      </c>
      <c r="B581" s="15" t="s">
        <v>76</v>
      </c>
      <c r="C581" s="15" t="s">
        <v>77</v>
      </c>
      <c r="D581" s="15" t="s">
        <v>75</v>
      </c>
      <c r="E581" s="16">
        <v>145.06</v>
      </c>
      <c r="F581" s="16">
        <v>146.71</v>
      </c>
      <c r="G581" s="16">
        <v>143.83000000000001</v>
      </c>
      <c r="H581" s="16">
        <v>144.18</v>
      </c>
      <c r="I581" s="17">
        <v>817318</v>
      </c>
      <c r="J581" s="16">
        <v>28836000000</v>
      </c>
      <c r="K581" s="30">
        <f t="shared" si="54"/>
        <v>-0.60664552598924271</v>
      </c>
      <c r="L581" s="31">
        <f t="shared" si="55"/>
        <v>2.8799999999999955</v>
      </c>
      <c r="M581" s="30">
        <f t="shared" si="56"/>
        <v>1.985385357782983E-2</v>
      </c>
      <c r="N581" s="20" t="str">
        <f t="shared" si="59"/>
        <v>Normal</v>
      </c>
      <c r="O581" s="32">
        <f t="shared" si="57"/>
        <v>28.835999999999999</v>
      </c>
      <c r="P581" s="20">
        <f t="shared" si="58"/>
        <v>6</v>
      </c>
      <c r="Q581" s="20" t="str" cm="1">
        <f t="array" ref="Q581">_xlfn.IFS(P581&lt;=3,"Q1",P581&lt;=6,"Q2",P581&lt;=9,"Q3",P581&lt;=12,"Q4")</f>
        <v>Q2</v>
      </c>
    </row>
    <row r="582" spans="1:17" x14ac:dyDescent="0.25">
      <c r="A582" s="8">
        <v>45821</v>
      </c>
      <c r="B582" s="9" t="s">
        <v>60</v>
      </c>
      <c r="C582" s="9" t="s">
        <v>61</v>
      </c>
      <c r="D582" s="9" t="s">
        <v>62</v>
      </c>
      <c r="E582" s="10">
        <v>2533.91</v>
      </c>
      <c r="F582" s="10">
        <v>2584.4</v>
      </c>
      <c r="G582" s="10">
        <v>2508.1799999999998</v>
      </c>
      <c r="H582" s="10">
        <v>2536.5500000000002</v>
      </c>
      <c r="I582" s="11">
        <v>1004973</v>
      </c>
      <c r="J582" s="10">
        <v>3551170000000</v>
      </c>
      <c r="K582" s="30">
        <f t="shared" si="54"/>
        <v>0.10418681010771209</v>
      </c>
      <c r="L582" s="31">
        <f t="shared" si="55"/>
        <v>76.220000000000255</v>
      </c>
      <c r="M582" s="30">
        <f t="shared" si="56"/>
        <v>3.0079994948518401E-2</v>
      </c>
      <c r="N582" s="20" t="str">
        <f t="shared" si="59"/>
        <v>Normal</v>
      </c>
      <c r="O582" s="32">
        <f t="shared" si="57"/>
        <v>3551.17</v>
      </c>
      <c r="P582" s="20">
        <f t="shared" si="58"/>
        <v>6</v>
      </c>
      <c r="Q582" s="20" t="str" cm="1">
        <f t="array" ref="Q582">_xlfn.IFS(P582&lt;=3,"Q1",P582&lt;=6,"Q2",P582&lt;=9,"Q3",P582&lt;=12,"Q4")</f>
        <v>Q2</v>
      </c>
    </row>
    <row r="583" spans="1:17" x14ac:dyDescent="0.25">
      <c r="A583" s="14">
        <v>45821</v>
      </c>
      <c r="B583" s="15" t="s">
        <v>65</v>
      </c>
      <c r="C583" s="15" t="s">
        <v>66</v>
      </c>
      <c r="D583" s="15" t="s">
        <v>67</v>
      </c>
      <c r="E583" s="16">
        <v>216.92</v>
      </c>
      <c r="F583" s="16">
        <v>218.09</v>
      </c>
      <c r="G583" s="16">
        <v>216.26</v>
      </c>
      <c r="H583" s="16">
        <v>217.75</v>
      </c>
      <c r="I583" s="17">
        <v>482873</v>
      </c>
      <c r="J583" s="16">
        <v>54437500000</v>
      </c>
      <c r="K583" s="30">
        <f t="shared" si="54"/>
        <v>0.38262954084455675</v>
      </c>
      <c r="L583" s="31">
        <f t="shared" si="55"/>
        <v>1.8300000000000125</v>
      </c>
      <c r="M583" s="30">
        <f t="shared" si="56"/>
        <v>8.4362898764522055E-3</v>
      </c>
      <c r="N583" s="20" t="str">
        <f t="shared" si="59"/>
        <v>Normal</v>
      </c>
      <c r="O583" s="32">
        <f t="shared" si="57"/>
        <v>54.4375</v>
      </c>
      <c r="P583" s="20">
        <f t="shared" si="58"/>
        <v>6</v>
      </c>
      <c r="Q583" s="20" t="str" cm="1">
        <f t="array" ref="Q583">_xlfn.IFS(P583&lt;=3,"Q1",P583&lt;=6,"Q2",P583&lt;=9,"Q3",P583&lt;=12,"Q4")</f>
        <v>Q2</v>
      </c>
    </row>
    <row r="584" spans="1:17" x14ac:dyDescent="0.25">
      <c r="A584" s="8">
        <v>45821</v>
      </c>
      <c r="B584" s="9" t="s">
        <v>69</v>
      </c>
      <c r="C584" s="9" t="s">
        <v>70</v>
      </c>
      <c r="D584" s="9" t="s">
        <v>71</v>
      </c>
      <c r="E584" s="10">
        <v>615.82000000000005</v>
      </c>
      <c r="F584" s="10">
        <v>615.88</v>
      </c>
      <c r="G584" s="10">
        <v>610.37</v>
      </c>
      <c r="H584" s="10">
        <v>610.88</v>
      </c>
      <c r="I584" s="11">
        <v>3081242</v>
      </c>
      <c r="J584" s="10">
        <v>488704000000</v>
      </c>
      <c r="K584" s="30">
        <f t="shared" si="54"/>
        <v>-0.80218245591245074</v>
      </c>
      <c r="L584" s="31">
        <f t="shared" si="55"/>
        <v>5.5099999999999909</v>
      </c>
      <c r="M584" s="30">
        <f t="shared" si="56"/>
        <v>8.9474197005618376E-3</v>
      </c>
      <c r="N584" s="20" t="str">
        <f t="shared" si="59"/>
        <v>High volume</v>
      </c>
      <c r="O584" s="32">
        <f t="shared" si="57"/>
        <v>488.70400000000001</v>
      </c>
      <c r="P584" s="20">
        <f t="shared" si="58"/>
        <v>6</v>
      </c>
      <c r="Q584" s="20" t="str" cm="1">
        <f t="array" ref="Q584">_xlfn.IFS(P584&lt;=3,"Q1",P584&lt;=6,"Q2",P584&lt;=9,"Q3",P584&lt;=12,"Q4")</f>
        <v>Q2</v>
      </c>
    </row>
    <row r="585" spans="1:17" x14ac:dyDescent="0.25">
      <c r="A585" s="14">
        <v>45821</v>
      </c>
      <c r="B585" s="15" t="s">
        <v>73</v>
      </c>
      <c r="C585" s="15" t="s">
        <v>74</v>
      </c>
      <c r="D585" s="15" t="s">
        <v>75</v>
      </c>
      <c r="E585" s="16">
        <v>97.98</v>
      </c>
      <c r="F585" s="16">
        <v>99.32</v>
      </c>
      <c r="G585" s="16">
        <v>96.68</v>
      </c>
      <c r="H585" s="16">
        <v>96.81</v>
      </c>
      <c r="I585" s="17">
        <v>3933579</v>
      </c>
      <c r="J585" s="16">
        <v>21298200000</v>
      </c>
      <c r="K585" s="30">
        <f t="shared" si="54"/>
        <v>-1.1941212492345392</v>
      </c>
      <c r="L585" s="31">
        <f t="shared" si="55"/>
        <v>2.6399999999999864</v>
      </c>
      <c r="M585" s="30">
        <f t="shared" si="56"/>
        <v>2.6944274341702247E-2</v>
      </c>
      <c r="N585" s="20" t="str">
        <f t="shared" si="59"/>
        <v>High volume</v>
      </c>
      <c r="O585" s="32">
        <f t="shared" si="57"/>
        <v>21.298200000000001</v>
      </c>
      <c r="P585" s="20">
        <f t="shared" si="58"/>
        <v>6</v>
      </c>
      <c r="Q585" s="20" t="str" cm="1">
        <f t="array" ref="Q585">_xlfn.IFS(P585&lt;=3,"Q1",P585&lt;=6,"Q2",P585&lt;=9,"Q3",P585&lt;=12,"Q4")</f>
        <v>Q2</v>
      </c>
    </row>
    <row r="586" spans="1:17" x14ac:dyDescent="0.25">
      <c r="A586" s="8">
        <v>45821</v>
      </c>
      <c r="B586" s="9" t="s">
        <v>76</v>
      </c>
      <c r="C586" s="9" t="s">
        <v>77</v>
      </c>
      <c r="D586" s="9" t="s">
        <v>75</v>
      </c>
      <c r="E586" s="10">
        <v>145.15</v>
      </c>
      <c r="F586" s="10">
        <v>146.19999999999999</v>
      </c>
      <c r="G586" s="10">
        <v>143.41999999999999</v>
      </c>
      <c r="H586" s="10">
        <v>143.9</v>
      </c>
      <c r="I586" s="11">
        <v>2101169</v>
      </c>
      <c r="J586" s="10">
        <v>28780000000</v>
      </c>
      <c r="K586" s="30">
        <f t="shared" si="54"/>
        <v>-0.86117809162934889</v>
      </c>
      <c r="L586" s="31">
        <f t="shared" si="55"/>
        <v>2.7800000000000011</v>
      </c>
      <c r="M586" s="30">
        <f t="shared" si="56"/>
        <v>1.9152600757836726E-2</v>
      </c>
      <c r="N586" s="20" t="str">
        <f t="shared" si="59"/>
        <v>High volume</v>
      </c>
      <c r="O586" s="32">
        <f t="shared" si="57"/>
        <v>28.78</v>
      </c>
      <c r="P586" s="20">
        <f t="shared" si="58"/>
        <v>6</v>
      </c>
      <c r="Q586" s="20" t="str" cm="1">
        <f t="array" ref="Q586">_xlfn.IFS(P586&lt;=3,"Q1",P586&lt;=6,"Q2",P586&lt;=9,"Q3",P586&lt;=12,"Q4")</f>
        <v>Q2</v>
      </c>
    </row>
    <row r="587" spans="1:17" x14ac:dyDescent="0.25">
      <c r="A587" s="14">
        <v>45824</v>
      </c>
      <c r="B587" s="15" t="s">
        <v>60</v>
      </c>
      <c r="C587" s="15" t="s">
        <v>61</v>
      </c>
      <c r="D587" s="15" t="s">
        <v>62</v>
      </c>
      <c r="E587" s="16">
        <v>2547.6799999999998</v>
      </c>
      <c r="F587" s="16">
        <v>2561.39</v>
      </c>
      <c r="G587" s="16">
        <v>2538.7800000000002</v>
      </c>
      <c r="H587" s="16">
        <v>2548.86</v>
      </c>
      <c r="I587" s="17">
        <v>1546810</v>
      </c>
      <c r="J587" s="16">
        <v>3568404000000</v>
      </c>
      <c r="K587" s="30">
        <f t="shared" si="54"/>
        <v>4.6316648872711294E-2</v>
      </c>
      <c r="L587" s="31">
        <f t="shared" si="55"/>
        <v>22.609999999999673</v>
      </c>
      <c r="M587" s="30">
        <f t="shared" si="56"/>
        <v>8.874740940777363E-3</v>
      </c>
      <c r="N587" s="20" t="str">
        <f t="shared" si="59"/>
        <v>Normal</v>
      </c>
      <c r="O587" s="32">
        <f t="shared" si="57"/>
        <v>3568.404</v>
      </c>
      <c r="P587" s="20">
        <f t="shared" si="58"/>
        <v>6</v>
      </c>
      <c r="Q587" s="20" t="str" cm="1">
        <f t="array" ref="Q587">_xlfn.IFS(P587&lt;=3,"Q1",P587&lt;=6,"Q2",P587&lt;=9,"Q3",P587&lt;=12,"Q4")</f>
        <v>Q2</v>
      </c>
    </row>
    <row r="588" spans="1:17" x14ac:dyDescent="0.25">
      <c r="A588" s="8">
        <v>45824</v>
      </c>
      <c r="B588" s="9" t="s">
        <v>65</v>
      </c>
      <c r="C588" s="9" t="s">
        <v>66</v>
      </c>
      <c r="D588" s="9" t="s">
        <v>67</v>
      </c>
      <c r="E588" s="10">
        <v>222.23</v>
      </c>
      <c r="F588" s="10">
        <v>222.76</v>
      </c>
      <c r="G588" s="10">
        <v>222.19</v>
      </c>
      <c r="H588" s="10">
        <v>222.42</v>
      </c>
      <c r="I588" s="11">
        <v>4919511</v>
      </c>
      <c r="J588" s="10">
        <v>55605000000</v>
      </c>
      <c r="K588" s="30">
        <f t="shared" si="54"/>
        <v>8.5497007604732819E-2</v>
      </c>
      <c r="L588" s="31">
        <f t="shared" si="55"/>
        <v>0.56999999999999318</v>
      </c>
      <c r="M588" s="30">
        <f t="shared" si="56"/>
        <v>2.5649102281419846E-3</v>
      </c>
      <c r="N588" s="20" t="str">
        <f t="shared" si="59"/>
        <v>High volume</v>
      </c>
      <c r="O588" s="32">
        <f t="shared" si="57"/>
        <v>55.604999999999997</v>
      </c>
      <c r="P588" s="20">
        <f t="shared" si="58"/>
        <v>6</v>
      </c>
      <c r="Q588" s="20" t="str" cm="1">
        <f t="array" ref="Q588">_xlfn.IFS(P588&lt;=3,"Q1",P588&lt;=6,"Q2",P588&lt;=9,"Q3",P588&lt;=12,"Q4")</f>
        <v>Q2</v>
      </c>
    </row>
    <row r="589" spans="1:17" x14ac:dyDescent="0.25">
      <c r="A589" s="14">
        <v>45824</v>
      </c>
      <c r="B589" s="15" t="s">
        <v>69</v>
      </c>
      <c r="C589" s="15" t="s">
        <v>70</v>
      </c>
      <c r="D589" s="15" t="s">
        <v>71</v>
      </c>
      <c r="E589" s="16">
        <v>618.66</v>
      </c>
      <c r="F589" s="16">
        <v>620.76</v>
      </c>
      <c r="G589" s="16">
        <v>618.38</v>
      </c>
      <c r="H589" s="16">
        <v>619.29</v>
      </c>
      <c r="I589" s="17">
        <v>3816796</v>
      </c>
      <c r="J589" s="16">
        <v>495432000000</v>
      </c>
      <c r="K589" s="30">
        <f t="shared" si="54"/>
        <v>0.10183299389001964</v>
      </c>
      <c r="L589" s="31">
        <f t="shared" si="55"/>
        <v>2.3799999999999955</v>
      </c>
      <c r="M589" s="30">
        <f t="shared" si="56"/>
        <v>3.8470242136229844E-3</v>
      </c>
      <c r="N589" s="20" t="str">
        <f t="shared" si="59"/>
        <v>High volume</v>
      </c>
      <c r="O589" s="32">
        <f t="shared" si="57"/>
        <v>495.43200000000002</v>
      </c>
      <c r="P589" s="20">
        <f t="shared" si="58"/>
        <v>6</v>
      </c>
      <c r="Q589" s="20" t="str" cm="1">
        <f t="array" ref="Q589">_xlfn.IFS(P589&lt;=3,"Q1",P589&lt;=6,"Q2",P589&lt;=9,"Q3",P589&lt;=12,"Q4")</f>
        <v>Q2</v>
      </c>
    </row>
    <row r="590" spans="1:17" x14ac:dyDescent="0.25">
      <c r="A590" s="8">
        <v>45824</v>
      </c>
      <c r="B590" s="9" t="s">
        <v>73</v>
      </c>
      <c r="C590" s="9" t="s">
        <v>74</v>
      </c>
      <c r="D590" s="9" t="s">
        <v>75</v>
      </c>
      <c r="E590" s="10">
        <v>97.77</v>
      </c>
      <c r="F590" s="10">
        <v>99.31</v>
      </c>
      <c r="G590" s="10">
        <v>96.68</v>
      </c>
      <c r="H590" s="10">
        <v>98.79</v>
      </c>
      <c r="I590" s="11">
        <v>463829</v>
      </c>
      <c r="J590" s="10">
        <v>21733800000</v>
      </c>
      <c r="K590" s="30">
        <f t="shared" si="54"/>
        <v>1.043264805154966</v>
      </c>
      <c r="L590" s="31">
        <f t="shared" si="55"/>
        <v>2.6299999999999955</v>
      </c>
      <c r="M590" s="30">
        <f t="shared" si="56"/>
        <v>2.689986703487773E-2</v>
      </c>
      <c r="N590" s="20" t="str">
        <f t="shared" si="59"/>
        <v>Normal</v>
      </c>
      <c r="O590" s="32">
        <f t="shared" si="57"/>
        <v>21.733799999999999</v>
      </c>
      <c r="P590" s="20">
        <f t="shared" si="58"/>
        <v>6</v>
      </c>
      <c r="Q590" s="20" t="str" cm="1">
        <f t="array" ref="Q590">_xlfn.IFS(P590&lt;=3,"Q1",P590&lt;=6,"Q2",P590&lt;=9,"Q3",P590&lt;=12,"Q4")</f>
        <v>Q2</v>
      </c>
    </row>
    <row r="591" spans="1:17" x14ac:dyDescent="0.25">
      <c r="A591" s="14">
        <v>45824</v>
      </c>
      <c r="B591" s="15" t="s">
        <v>76</v>
      </c>
      <c r="C591" s="15" t="s">
        <v>77</v>
      </c>
      <c r="D591" s="15" t="s">
        <v>75</v>
      </c>
      <c r="E591" s="16">
        <v>143.44</v>
      </c>
      <c r="F591" s="16">
        <v>145.44</v>
      </c>
      <c r="G591" s="16">
        <v>143.31</v>
      </c>
      <c r="H591" s="16">
        <v>144.07</v>
      </c>
      <c r="I591" s="17">
        <v>4867746</v>
      </c>
      <c r="J591" s="16">
        <v>28814000000</v>
      </c>
      <c r="K591" s="30">
        <f t="shared" si="54"/>
        <v>0.43920803123256796</v>
      </c>
      <c r="L591" s="31">
        <f t="shared" si="55"/>
        <v>2.1299999999999955</v>
      </c>
      <c r="M591" s="30">
        <f t="shared" si="56"/>
        <v>1.4849414389291658E-2</v>
      </c>
      <c r="N591" s="20" t="str">
        <f t="shared" si="59"/>
        <v>High volume</v>
      </c>
      <c r="O591" s="32">
        <f t="shared" si="57"/>
        <v>28.814</v>
      </c>
      <c r="P591" s="20">
        <f t="shared" si="58"/>
        <v>6</v>
      </c>
      <c r="Q591" s="20" t="str" cm="1">
        <f t="array" ref="Q591">_xlfn.IFS(P591&lt;=3,"Q1",P591&lt;=6,"Q2",P591&lt;=9,"Q3",P591&lt;=12,"Q4")</f>
        <v>Q2</v>
      </c>
    </row>
    <row r="592" spans="1:17" x14ac:dyDescent="0.25">
      <c r="A592" s="8">
        <v>45825</v>
      </c>
      <c r="B592" s="9" t="s">
        <v>60</v>
      </c>
      <c r="C592" s="9" t="s">
        <v>61</v>
      </c>
      <c r="D592" s="9" t="s">
        <v>62</v>
      </c>
      <c r="E592" s="10">
        <v>2556.2600000000002</v>
      </c>
      <c r="F592" s="10">
        <v>2574.67</v>
      </c>
      <c r="G592" s="10">
        <v>2539.7600000000002</v>
      </c>
      <c r="H592" s="10">
        <v>2549.1999999999998</v>
      </c>
      <c r="I592" s="11">
        <v>518632</v>
      </c>
      <c r="J592" s="10">
        <v>3568880000000</v>
      </c>
      <c r="K592" s="30">
        <f t="shared" si="54"/>
        <v>-0.27618473864162485</v>
      </c>
      <c r="L592" s="31">
        <f t="shared" si="55"/>
        <v>34.909999999999854</v>
      </c>
      <c r="M592" s="30">
        <f t="shared" si="56"/>
        <v>1.3656670291754302E-2</v>
      </c>
      <c r="N592" s="20" t="str">
        <f t="shared" si="59"/>
        <v>Normal</v>
      </c>
      <c r="O592" s="32">
        <f t="shared" si="57"/>
        <v>3568.88</v>
      </c>
      <c r="P592" s="20">
        <f t="shared" si="58"/>
        <v>6</v>
      </c>
      <c r="Q592" s="20" t="str" cm="1">
        <f t="array" ref="Q592">_xlfn.IFS(P592&lt;=3,"Q1",P592&lt;=6,"Q2",P592&lt;=9,"Q3",P592&lt;=12,"Q4")</f>
        <v>Q2</v>
      </c>
    </row>
    <row r="593" spans="1:17" x14ac:dyDescent="0.25">
      <c r="A593" s="14">
        <v>45825</v>
      </c>
      <c r="B593" s="15" t="s">
        <v>65</v>
      </c>
      <c r="C593" s="15" t="s">
        <v>66</v>
      </c>
      <c r="D593" s="15" t="s">
        <v>67</v>
      </c>
      <c r="E593" s="16">
        <v>221.29</v>
      </c>
      <c r="F593" s="16">
        <v>221.81</v>
      </c>
      <c r="G593" s="16">
        <v>220.16</v>
      </c>
      <c r="H593" s="16">
        <v>221.64</v>
      </c>
      <c r="I593" s="17">
        <v>2656634</v>
      </c>
      <c r="J593" s="16">
        <v>55410000000</v>
      </c>
      <c r="K593" s="30">
        <f t="shared" si="54"/>
        <v>0.15816349586515174</v>
      </c>
      <c r="L593" s="31">
        <f t="shared" si="55"/>
        <v>1.6500000000000057</v>
      </c>
      <c r="M593" s="30">
        <f t="shared" si="56"/>
        <v>7.4562790907858724E-3</v>
      </c>
      <c r="N593" s="20" t="str">
        <f t="shared" si="59"/>
        <v>High volume</v>
      </c>
      <c r="O593" s="32">
        <f t="shared" si="57"/>
        <v>55.41</v>
      </c>
      <c r="P593" s="20">
        <f t="shared" si="58"/>
        <v>6</v>
      </c>
      <c r="Q593" s="20" t="str" cm="1">
        <f t="array" ref="Q593">_xlfn.IFS(P593&lt;=3,"Q1",P593&lt;=6,"Q2",P593&lt;=9,"Q3",P593&lt;=12,"Q4")</f>
        <v>Q2</v>
      </c>
    </row>
    <row r="594" spans="1:17" x14ac:dyDescent="0.25">
      <c r="A594" s="8">
        <v>45825</v>
      </c>
      <c r="B594" s="9" t="s">
        <v>69</v>
      </c>
      <c r="C594" s="9" t="s">
        <v>70</v>
      </c>
      <c r="D594" s="9" t="s">
        <v>71</v>
      </c>
      <c r="E594" s="10">
        <v>646.19000000000005</v>
      </c>
      <c r="F594" s="10">
        <v>651.94000000000005</v>
      </c>
      <c r="G594" s="10">
        <v>637.52</v>
      </c>
      <c r="H594" s="10">
        <v>651.92999999999995</v>
      </c>
      <c r="I594" s="11">
        <v>1639029</v>
      </c>
      <c r="J594" s="10">
        <v>521544000000</v>
      </c>
      <c r="K594" s="30">
        <f t="shared" si="54"/>
        <v>0.8882836317491597</v>
      </c>
      <c r="L594" s="31">
        <f t="shared" si="55"/>
        <v>14.420000000000073</v>
      </c>
      <c r="M594" s="30">
        <f t="shared" si="56"/>
        <v>2.2315418065894044E-2</v>
      </c>
      <c r="N594" s="20" t="str">
        <f t="shared" si="59"/>
        <v>Normal</v>
      </c>
      <c r="O594" s="32">
        <f t="shared" si="57"/>
        <v>521.54399999999998</v>
      </c>
      <c r="P594" s="20">
        <f t="shared" si="58"/>
        <v>6</v>
      </c>
      <c r="Q594" s="20" t="str" cm="1">
        <f t="array" ref="Q594">_xlfn.IFS(P594&lt;=3,"Q1",P594&lt;=6,"Q2",P594&lt;=9,"Q3",P594&lt;=12,"Q4")</f>
        <v>Q2</v>
      </c>
    </row>
    <row r="595" spans="1:17" x14ac:dyDescent="0.25">
      <c r="A595" s="14">
        <v>45825</v>
      </c>
      <c r="B595" s="15" t="s">
        <v>73</v>
      </c>
      <c r="C595" s="15" t="s">
        <v>74</v>
      </c>
      <c r="D595" s="15" t="s">
        <v>75</v>
      </c>
      <c r="E595" s="16">
        <v>98.34</v>
      </c>
      <c r="F595" s="16">
        <v>99.27</v>
      </c>
      <c r="G595" s="16">
        <v>97.66</v>
      </c>
      <c r="H595" s="16">
        <v>98.09</v>
      </c>
      <c r="I595" s="17">
        <v>768995</v>
      </c>
      <c r="J595" s="16">
        <v>21579800000</v>
      </c>
      <c r="K595" s="30">
        <f t="shared" si="54"/>
        <v>-0.254220052877771</v>
      </c>
      <c r="L595" s="31">
        <f t="shared" si="55"/>
        <v>1.6099999999999994</v>
      </c>
      <c r="M595" s="30">
        <f t="shared" si="56"/>
        <v>1.6371771405328445E-2</v>
      </c>
      <c r="N595" s="20" t="str">
        <f t="shared" si="59"/>
        <v>Normal</v>
      </c>
      <c r="O595" s="32">
        <f t="shared" si="57"/>
        <v>21.579799999999999</v>
      </c>
      <c r="P595" s="20">
        <f t="shared" si="58"/>
        <v>6</v>
      </c>
      <c r="Q595" s="20" t="str" cm="1">
        <f t="array" ref="Q595">_xlfn.IFS(P595&lt;=3,"Q1",P595&lt;=6,"Q2",P595&lt;=9,"Q3",P595&lt;=12,"Q4")</f>
        <v>Q2</v>
      </c>
    </row>
    <row r="596" spans="1:17" x14ac:dyDescent="0.25">
      <c r="A596" s="8">
        <v>45825</v>
      </c>
      <c r="B596" s="9" t="s">
        <v>76</v>
      </c>
      <c r="C596" s="9" t="s">
        <v>77</v>
      </c>
      <c r="D596" s="9" t="s">
        <v>75</v>
      </c>
      <c r="E596" s="10">
        <v>144.56</v>
      </c>
      <c r="F596" s="10">
        <v>147.36000000000001</v>
      </c>
      <c r="G596" s="10">
        <v>141.63</v>
      </c>
      <c r="H596" s="10">
        <v>143.86000000000001</v>
      </c>
      <c r="I596" s="11">
        <v>1757202</v>
      </c>
      <c r="J596" s="10">
        <v>28772000000</v>
      </c>
      <c r="K596" s="30">
        <f t="shared" si="54"/>
        <v>-0.48422800221360585</v>
      </c>
      <c r="L596" s="31">
        <f t="shared" si="55"/>
        <v>5.7300000000000182</v>
      </c>
      <c r="M596" s="30">
        <f t="shared" si="56"/>
        <v>3.9637520752628788E-2</v>
      </c>
      <c r="N596" s="20" t="str">
        <f t="shared" si="59"/>
        <v>Normal</v>
      </c>
      <c r="O596" s="32">
        <f t="shared" si="57"/>
        <v>28.771999999999998</v>
      </c>
      <c r="P596" s="20">
        <f t="shared" si="58"/>
        <v>6</v>
      </c>
      <c r="Q596" s="20" t="str" cm="1">
        <f t="array" ref="Q596">_xlfn.IFS(P596&lt;=3,"Q1",P596&lt;=6,"Q2",P596&lt;=9,"Q3",P596&lt;=12,"Q4")</f>
        <v>Q2</v>
      </c>
    </row>
    <row r="597" spans="1:17" x14ac:dyDescent="0.25">
      <c r="A597" s="14">
        <v>45826</v>
      </c>
      <c r="B597" s="15" t="s">
        <v>60</v>
      </c>
      <c r="C597" s="15" t="s">
        <v>61</v>
      </c>
      <c r="D597" s="15" t="s">
        <v>62</v>
      </c>
      <c r="E597" s="16">
        <v>2499.85</v>
      </c>
      <c r="F597" s="16">
        <v>2511.85</v>
      </c>
      <c r="G597" s="16">
        <v>2475.89</v>
      </c>
      <c r="H597" s="16">
        <v>2504.88</v>
      </c>
      <c r="I597" s="17">
        <v>3309691</v>
      </c>
      <c r="J597" s="16">
        <v>3506832000000</v>
      </c>
      <c r="K597" s="30">
        <f t="shared" si="54"/>
        <v>0.20121207272437144</v>
      </c>
      <c r="L597" s="31">
        <f t="shared" si="55"/>
        <v>35.960000000000036</v>
      </c>
      <c r="M597" s="30">
        <f t="shared" si="56"/>
        <v>1.4384863091785521E-2</v>
      </c>
      <c r="N597" s="20" t="str">
        <f t="shared" si="59"/>
        <v>High volume</v>
      </c>
      <c r="O597" s="32">
        <f t="shared" si="57"/>
        <v>3506.8319999999999</v>
      </c>
      <c r="P597" s="20">
        <f t="shared" si="58"/>
        <v>6</v>
      </c>
      <c r="Q597" s="20" t="str" cm="1">
        <f t="array" ref="Q597">_xlfn.IFS(P597&lt;=3,"Q1",P597&lt;=6,"Q2",P597&lt;=9,"Q3",P597&lt;=12,"Q4")</f>
        <v>Q2</v>
      </c>
    </row>
    <row r="598" spans="1:17" x14ac:dyDescent="0.25">
      <c r="A598" s="8">
        <v>45826</v>
      </c>
      <c r="B598" s="9" t="s">
        <v>65</v>
      </c>
      <c r="C598" s="9" t="s">
        <v>66</v>
      </c>
      <c r="D598" s="9" t="s">
        <v>67</v>
      </c>
      <c r="E598" s="10">
        <v>222.37</v>
      </c>
      <c r="F598" s="10">
        <v>222.59</v>
      </c>
      <c r="G598" s="10">
        <v>221.05</v>
      </c>
      <c r="H598" s="10">
        <v>221.92</v>
      </c>
      <c r="I598" s="11">
        <v>1879018</v>
      </c>
      <c r="J598" s="10">
        <v>55480000000</v>
      </c>
      <c r="K598" s="30">
        <f t="shared" si="54"/>
        <v>-0.20236542699105861</v>
      </c>
      <c r="L598" s="31">
        <f t="shared" si="55"/>
        <v>1.539999999999992</v>
      </c>
      <c r="M598" s="30">
        <f t="shared" si="56"/>
        <v>6.9253946125825963E-3</v>
      </c>
      <c r="N598" s="20" t="str">
        <f t="shared" si="59"/>
        <v>Normal</v>
      </c>
      <c r="O598" s="32">
        <f t="shared" si="57"/>
        <v>55.48</v>
      </c>
      <c r="P598" s="20">
        <f t="shared" si="58"/>
        <v>6</v>
      </c>
      <c r="Q598" s="20" t="str" cm="1">
        <f t="array" ref="Q598">_xlfn.IFS(P598&lt;=3,"Q1",P598&lt;=6,"Q2",P598&lt;=9,"Q3",P598&lt;=12,"Q4")</f>
        <v>Q2</v>
      </c>
    </row>
    <row r="599" spans="1:17" x14ac:dyDescent="0.25">
      <c r="A599" s="14">
        <v>45826</v>
      </c>
      <c r="B599" s="15" t="s">
        <v>69</v>
      </c>
      <c r="C599" s="15" t="s">
        <v>70</v>
      </c>
      <c r="D599" s="15" t="s">
        <v>71</v>
      </c>
      <c r="E599" s="16">
        <v>629.45000000000005</v>
      </c>
      <c r="F599" s="16">
        <v>634.21</v>
      </c>
      <c r="G599" s="16">
        <v>621.6</v>
      </c>
      <c r="H599" s="16">
        <v>633.84</v>
      </c>
      <c r="I599" s="17">
        <v>4847670</v>
      </c>
      <c r="J599" s="16">
        <v>507072000000</v>
      </c>
      <c r="K599" s="30">
        <f t="shared" si="54"/>
        <v>0.69743426801175412</v>
      </c>
      <c r="L599" s="31">
        <f t="shared" si="55"/>
        <v>12.610000000000014</v>
      </c>
      <c r="M599" s="30">
        <f t="shared" si="56"/>
        <v>2.0033362459289876E-2</v>
      </c>
      <c r="N599" s="20" t="str">
        <f t="shared" si="59"/>
        <v>High volume</v>
      </c>
      <c r="O599" s="32">
        <f t="shared" si="57"/>
        <v>507.072</v>
      </c>
      <c r="P599" s="20">
        <f t="shared" si="58"/>
        <v>6</v>
      </c>
      <c r="Q599" s="20" t="str" cm="1">
        <f t="array" ref="Q599">_xlfn.IFS(P599&lt;=3,"Q1",P599&lt;=6,"Q2",P599&lt;=9,"Q3",P599&lt;=12,"Q4")</f>
        <v>Q2</v>
      </c>
    </row>
    <row r="600" spans="1:17" x14ac:dyDescent="0.25">
      <c r="A600" s="8">
        <v>45826</v>
      </c>
      <c r="B600" s="9" t="s">
        <v>73</v>
      </c>
      <c r="C600" s="9" t="s">
        <v>74</v>
      </c>
      <c r="D600" s="9" t="s">
        <v>75</v>
      </c>
      <c r="E600" s="10">
        <v>97.49</v>
      </c>
      <c r="F600" s="10">
        <v>98.33</v>
      </c>
      <c r="G600" s="10">
        <v>97.01</v>
      </c>
      <c r="H600" s="10">
        <v>97.3</v>
      </c>
      <c r="I600" s="11">
        <v>4716170</v>
      </c>
      <c r="J600" s="10">
        <v>21406000000</v>
      </c>
      <c r="K600" s="30">
        <f t="shared" si="54"/>
        <v>-0.19489178377269231</v>
      </c>
      <c r="L600" s="31">
        <f t="shared" si="55"/>
        <v>1.3199999999999932</v>
      </c>
      <c r="M600" s="30">
        <f t="shared" si="56"/>
        <v>1.3539850241050295E-2</v>
      </c>
      <c r="N600" s="20" t="str">
        <f t="shared" si="59"/>
        <v>High volume</v>
      </c>
      <c r="O600" s="32">
        <f t="shared" si="57"/>
        <v>21.405999999999999</v>
      </c>
      <c r="P600" s="20">
        <f t="shared" si="58"/>
        <v>6</v>
      </c>
      <c r="Q600" s="20" t="str" cm="1">
        <f t="array" ref="Q600">_xlfn.IFS(P600&lt;=3,"Q1",P600&lt;=6,"Q2",P600&lt;=9,"Q3",P600&lt;=12,"Q4")</f>
        <v>Q2</v>
      </c>
    </row>
    <row r="601" spans="1:17" x14ac:dyDescent="0.25">
      <c r="A601" s="14">
        <v>45826</v>
      </c>
      <c r="B601" s="15" t="s">
        <v>76</v>
      </c>
      <c r="C601" s="15" t="s">
        <v>77</v>
      </c>
      <c r="D601" s="15" t="s">
        <v>75</v>
      </c>
      <c r="E601" s="16">
        <v>144.72999999999999</v>
      </c>
      <c r="F601" s="16">
        <v>145.76</v>
      </c>
      <c r="G601" s="16">
        <v>144.59</v>
      </c>
      <c r="H601" s="16">
        <v>145.31</v>
      </c>
      <c r="I601" s="17">
        <v>1394625</v>
      </c>
      <c r="J601" s="16">
        <v>29062000000</v>
      </c>
      <c r="K601" s="30">
        <f t="shared" si="54"/>
        <v>0.40074621709390768</v>
      </c>
      <c r="L601" s="31">
        <f t="shared" si="55"/>
        <v>1.1699999999999875</v>
      </c>
      <c r="M601" s="30">
        <f t="shared" si="56"/>
        <v>8.0840185172389115E-3</v>
      </c>
      <c r="N601" s="20" t="str">
        <f t="shared" si="59"/>
        <v>Normal</v>
      </c>
      <c r="O601" s="32">
        <f t="shared" si="57"/>
        <v>29.062000000000001</v>
      </c>
      <c r="P601" s="20">
        <f t="shared" si="58"/>
        <v>6</v>
      </c>
      <c r="Q601" s="20" t="str" cm="1">
        <f t="array" ref="Q601">_xlfn.IFS(P601&lt;=3,"Q1",P601&lt;=6,"Q2",P601&lt;=9,"Q3",P601&lt;=12,"Q4")</f>
        <v>Q2</v>
      </c>
    </row>
    <row r="602" spans="1:17" x14ac:dyDescent="0.25">
      <c r="A602" s="8">
        <v>45827</v>
      </c>
      <c r="B602" s="9" t="s">
        <v>60</v>
      </c>
      <c r="C602" s="9" t="s">
        <v>61</v>
      </c>
      <c r="D602" s="9" t="s">
        <v>62</v>
      </c>
      <c r="E602" s="10">
        <v>2492.6999999999998</v>
      </c>
      <c r="F602" s="10">
        <v>2503.19</v>
      </c>
      <c r="G602" s="10">
        <v>2479.71</v>
      </c>
      <c r="H602" s="10">
        <v>2481.11</v>
      </c>
      <c r="I602" s="11">
        <v>1539098</v>
      </c>
      <c r="J602" s="10">
        <v>3473554000000</v>
      </c>
      <c r="K602" s="30">
        <f t="shared" si="54"/>
        <v>-0.46495767641511981</v>
      </c>
      <c r="L602" s="31">
        <f t="shared" si="55"/>
        <v>23.480000000000018</v>
      </c>
      <c r="M602" s="30">
        <f t="shared" si="56"/>
        <v>9.419504954467051E-3</v>
      </c>
      <c r="N602" s="20" t="str">
        <f t="shared" si="59"/>
        <v>Normal</v>
      </c>
      <c r="O602" s="32">
        <f t="shared" si="57"/>
        <v>3473.5540000000001</v>
      </c>
      <c r="P602" s="20">
        <f t="shared" si="58"/>
        <v>6</v>
      </c>
      <c r="Q602" s="20" t="str" cm="1">
        <f t="array" ref="Q602">_xlfn.IFS(P602&lt;=3,"Q1",P602&lt;=6,"Q2",P602&lt;=9,"Q3",P602&lt;=12,"Q4")</f>
        <v>Q2</v>
      </c>
    </row>
    <row r="603" spans="1:17" x14ac:dyDescent="0.25">
      <c r="A603" s="14">
        <v>45827</v>
      </c>
      <c r="B603" s="15" t="s">
        <v>65</v>
      </c>
      <c r="C603" s="15" t="s">
        <v>66</v>
      </c>
      <c r="D603" s="15" t="s">
        <v>67</v>
      </c>
      <c r="E603" s="16">
        <v>215.62</v>
      </c>
      <c r="F603" s="16">
        <v>218.91</v>
      </c>
      <c r="G603" s="16">
        <v>213.63</v>
      </c>
      <c r="H603" s="16">
        <v>217.72</v>
      </c>
      <c r="I603" s="17">
        <v>4714881</v>
      </c>
      <c r="J603" s="16">
        <v>54430000000</v>
      </c>
      <c r="K603" s="30">
        <f t="shared" si="54"/>
        <v>0.97393562749280882</v>
      </c>
      <c r="L603" s="31">
        <f t="shared" si="55"/>
        <v>5.2800000000000011</v>
      </c>
      <c r="M603" s="30">
        <f t="shared" si="56"/>
        <v>2.4487524348390691E-2</v>
      </c>
      <c r="N603" s="20" t="str">
        <f t="shared" si="59"/>
        <v>High volume</v>
      </c>
      <c r="O603" s="32">
        <f t="shared" si="57"/>
        <v>54.43</v>
      </c>
      <c r="P603" s="20">
        <f t="shared" si="58"/>
        <v>6</v>
      </c>
      <c r="Q603" s="20" t="str" cm="1">
        <f t="array" ref="Q603">_xlfn.IFS(P603&lt;=3,"Q1",P603&lt;=6,"Q2",P603&lt;=9,"Q3",P603&lt;=12,"Q4")</f>
        <v>Q2</v>
      </c>
    </row>
    <row r="604" spans="1:17" x14ac:dyDescent="0.25">
      <c r="A604" s="8">
        <v>45827</v>
      </c>
      <c r="B604" s="9" t="s">
        <v>69</v>
      </c>
      <c r="C604" s="9" t="s">
        <v>70</v>
      </c>
      <c r="D604" s="9" t="s">
        <v>71</v>
      </c>
      <c r="E604" s="10">
        <v>649.46</v>
      </c>
      <c r="F604" s="10">
        <v>659.6</v>
      </c>
      <c r="G604" s="10">
        <v>640.77</v>
      </c>
      <c r="H604" s="10">
        <v>648.22</v>
      </c>
      <c r="I604" s="11">
        <v>1147519</v>
      </c>
      <c r="J604" s="10">
        <v>518576000000</v>
      </c>
      <c r="K604" s="30">
        <f t="shared" si="54"/>
        <v>-0.19092784775044019</v>
      </c>
      <c r="L604" s="31">
        <f t="shared" si="55"/>
        <v>18.830000000000041</v>
      </c>
      <c r="M604" s="30">
        <f t="shared" si="56"/>
        <v>2.8993317525328795E-2</v>
      </c>
      <c r="N604" s="20" t="str">
        <f t="shared" si="59"/>
        <v>Normal</v>
      </c>
      <c r="O604" s="32">
        <f t="shared" si="57"/>
        <v>518.57600000000002</v>
      </c>
      <c r="P604" s="20">
        <f t="shared" si="58"/>
        <v>6</v>
      </c>
      <c r="Q604" s="20" t="str" cm="1">
        <f t="array" ref="Q604">_xlfn.IFS(P604&lt;=3,"Q1",P604&lt;=6,"Q2",P604&lt;=9,"Q3",P604&lt;=12,"Q4")</f>
        <v>Q2</v>
      </c>
    </row>
    <row r="605" spans="1:17" x14ac:dyDescent="0.25">
      <c r="A605" s="14">
        <v>45827</v>
      </c>
      <c r="B605" s="15" t="s">
        <v>73</v>
      </c>
      <c r="C605" s="15" t="s">
        <v>74</v>
      </c>
      <c r="D605" s="15" t="s">
        <v>75</v>
      </c>
      <c r="E605" s="16">
        <v>99.8</v>
      </c>
      <c r="F605" s="16">
        <v>100.16</v>
      </c>
      <c r="G605" s="16">
        <v>99.2</v>
      </c>
      <c r="H605" s="16">
        <v>100.14</v>
      </c>
      <c r="I605" s="17">
        <v>3964717</v>
      </c>
      <c r="J605" s="16">
        <v>22030800000</v>
      </c>
      <c r="K605" s="30">
        <f t="shared" si="54"/>
        <v>0.34068136272545435</v>
      </c>
      <c r="L605" s="31">
        <f t="shared" si="55"/>
        <v>0.95999999999999375</v>
      </c>
      <c r="M605" s="30">
        <f t="shared" si="56"/>
        <v>9.6192384769538449E-3</v>
      </c>
      <c r="N605" s="20" t="str">
        <f t="shared" si="59"/>
        <v>High volume</v>
      </c>
      <c r="O605" s="32">
        <f t="shared" si="57"/>
        <v>22.030799999999999</v>
      </c>
      <c r="P605" s="20">
        <f t="shared" si="58"/>
        <v>6</v>
      </c>
      <c r="Q605" s="20" t="str" cm="1">
        <f t="array" ref="Q605">_xlfn.IFS(P605&lt;=3,"Q1",P605&lt;=6,"Q2",P605&lt;=9,"Q3",P605&lt;=12,"Q4")</f>
        <v>Q2</v>
      </c>
    </row>
    <row r="606" spans="1:17" x14ac:dyDescent="0.25">
      <c r="A606" s="8">
        <v>45827</v>
      </c>
      <c r="B606" s="9" t="s">
        <v>76</v>
      </c>
      <c r="C606" s="9" t="s">
        <v>77</v>
      </c>
      <c r="D606" s="9" t="s">
        <v>75</v>
      </c>
      <c r="E606" s="10">
        <v>146.78</v>
      </c>
      <c r="F606" s="10">
        <v>149.66</v>
      </c>
      <c r="G606" s="10">
        <v>146.35</v>
      </c>
      <c r="H606" s="10">
        <v>149.56</v>
      </c>
      <c r="I606" s="11">
        <v>3293269</v>
      </c>
      <c r="J606" s="10">
        <v>29912000000</v>
      </c>
      <c r="K606" s="30">
        <f t="shared" si="54"/>
        <v>1.8939910069491763</v>
      </c>
      <c r="L606" s="31">
        <f t="shared" si="55"/>
        <v>3.3100000000000023</v>
      </c>
      <c r="M606" s="30">
        <f t="shared" si="56"/>
        <v>2.2550756233819337E-2</v>
      </c>
      <c r="N606" s="20" t="str">
        <f t="shared" si="59"/>
        <v>High volume</v>
      </c>
      <c r="O606" s="32">
        <f t="shared" si="57"/>
        <v>29.911999999999999</v>
      </c>
      <c r="P606" s="20">
        <f t="shared" si="58"/>
        <v>6</v>
      </c>
      <c r="Q606" s="20" t="str" cm="1">
        <f t="array" ref="Q606">_xlfn.IFS(P606&lt;=3,"Q1",P606&lt;=6,"Q2",P606&lt;=9,"Q3",P606&lt;=12,"Q4")</f>
        <v>Q2</v>
      </c>
    </row>
    <row r="607" spans="1:17" x14ac:dyDescent="0.25">
      <c r="A607" s="14">
        <v>45828</v>
      </c>
      <c r="B607" s="15" t="s">
        <v>60</v>
      </c>
      <c r="C607" s="15" t="s">
        <v>61</v>
      </c>
      <c r="D607" s="15" t="s">
        <v>62</v>
      </c>
      <c r="E607" s="16">
        <v>2463.0500000000002</v>
      </c>
      <c r="F607" s="16">
        <v>2467.4499999999998</v>
      </c>
      <c r="G607" s="16">
        <v>2437.15</v>
      </c>
      <c r="H607" s="16">
        <v>2442.46</v>
      </c>
      <c r="I607" s="17">
        <v>2873819</v>
      </c>
      <c r="J607" s="16">
        <v>3419444000000</v>
      </c>
      <c r="K607" s="30">
        <f t="shared" si="54"/>
        <v>-0.83595542112422183</v>
      </c>
      <c r="L607" s="31">
        <f t="shared" si="55"/>
        <v>30.299999999999727</v>
      </c>
      <c r="M607" s="30">
        <f t="shared" si="56"/>
        <v>1.2301820913095441E-2</v>
      </c>
      <c r="N607" s="20" t="str">
        <f t="shared" si="59"/>
        <v>High volume</v>
      </c>
      <c r="O607" s="32">
        <f t="shared" si="57"/>
        <v>3419.444</v>
      </c>
      <c r="P607" s="20">
        <f t="shared" si="58"/>
        <v>6</v>
      </c>
      <c r="Q607" s="20" t="str" cm="1">
        <f t="array" ref="Q607">_xlfn.IFS(P607&lt;=3,"Q1",P607&lt;=6,"Q2",P607&lt;=9,"Q3",P607&lt;=12,"Q4")</f>
        <v>Q2</v>
      </c>
    </row>
    <row r="608" spans="1:17" x14ac:dyDescent="0.25">
      <c r="A608" s="8">
        <v>45828</v>
      </c>
      <c r="B608" s="9" t="s">
        <v>65</v>
      </c>
      <c r="C608" s="9" t="s">
        <v>66</v>
      </c>
      <c r="D608" s="9" t="s">
        <v>67</v>
      </c>
      <c r="E608" s="10">
        <v>217.49</v>
      </c>
      <c r="F608" s="10">
        <v>218.94</v>
      </c>
      <c r="G608" s="10">
        <v>217.44</v>
      </c>
      <c r="H608" s="10">
        <v>218.49</v>
      </c>
      <c r="I608" s="11">
        <v>3584990</v>
      </c>
      <c r="J608" s="10">
        <v>54622500000</v>
      </c>
      <c r="K608" s="30">
        <f t="shared" si="54"/>
        <v>0.45979125477033428</v>
      </c>
      <c r="L608" s="31">
        <f t="shared" si="55"/>
        <v>1.5</v>
      </c>
      <c r="M608" s="30">
        <f t="shared" si="56"/>
        <v>6.8968688215550137E-3</v>
      </c>
      <c r="N608" s="20" t="str">
        <f t="shared" si="59"/>
        <v>High volume</v>
      </c>
      <c r="O608" s="32">
        <f t="shared" si="57"/>
        <v>54.622500000000002</v>
      </c>
      <c r="P608" s="20">
        <f t="shared" si="58"/>
        <v>6</v>
      </c>
      <c r="Q608" s="20" t="str" cm="1">
        <f t="array" ref="Q608">_xlfn.IFS(P608&lt;=3,"Q1",P608&lt;=6,"Q2",P608&lt;=9,"Q3",P608&lt;=12,"Q4")</f>
        <v>Q2</v>
      </c>
    </row>
    <row r="609" spans="1:17" x14ac:dyDescent="0.25">
      <c r="A609" s="14">
        <v>45828</v>
      </c>
      <c r="B609" s="15" t="s">
        <v>69</v>
      </c>
      <c r="C609" s="15" t="s">
        <v>70</v>
      </c>
      <c r="D609" s="15" t="s">
        <v>71</v>
      </c>
      <c r="E609" s="16">
        <v>648.87</v>
      </c>
      <c r="F609" s="16">
        <v>654.14</v>
      </c>
      <c r="G609" s="16">
        <v>641.69000000000005</v>
      </c>
      <c r="H609" s="16">
        <v>648.76</v>
      </c>
      <c r="I609" s="17">
        <v>1827412</v>
      </c>
      <c r="J609" s="16">
        <v>519008000000</v>
      </c>
      <c r="K609" s="30">
        <f t="shared" si="54"/>
        <v>-1.6952548276236171E-2</v>
      </c>
      <c r="L609" s="31">
        <f t="shared" si="55"/>
        <v>12.449999999999932</v>
      </c>
      <c r="M609" s="30">
        <f t="shared" si="56"/>
        <v>1.918720236719209E-2</v>
      </c>
      <c r="N609" s="20" t="str">
        <f t="shared" si="59"/>
        <v>Normal</v>
      </c>
      <c r="O609" s="32">
        <f t="shared" si="57"/>
        <v>519.00800000000004</v>
      </c>
      <c r="P609" s="20">
        <f t="shared" si="58"/>
        <v>6</v>
      </c>
      <c r="Q609" s="20" t="str" cm="1">
        <f t="array" ref="Q609">_xlfn.IFS(P609&lt;=3,"Q1",P609&lt;=6,"Q2",P609&lt;=9,"Q3",P609&lt;=12,"Q4")</f>
        <v>Q2</v>
      </c>
    </row>
    <row r="610" spans="1:17" x14ac:dyDescent="0.25">
      <c r="A610" s="8">
        <v>45828</v>
      </c>
      <c r="B610" s="9" t="s">
        <v>73</v>
      </c>
      <c r="C610" s="9" t="s">
        <v>74</v>
      </c>
      <c r="D610" s="9" t="s">
        <v>75</v>
      </c>
      <c r="E610" s="10">
        <v>97.45</v>
      </c>
      <c r="F610" s="10">
        <v>98.5</v>
      </c>
      <c r="G610" s="10">
        <v>96.91</v>
      </c>
      <c r="H610" s="10">
        <v>97.81</v>
      </c>
      <c r="I610" s="11">
        <v>4462301</v>
      </c>
      <c r="J610" s="10">
        <v>21518200000</v>
      </c>
      <c r="K610" s="30">
        <f t="shared" si="54"/>
        <v>0.3694202154951251</v>
      </c>
      <c r="L610" s="31">
        <f t="shared" si="55"/>
        <v>1.5900000000000034</v>
      </c>
      <c r="M610" s="30">
        <f t="shared" si="56"/>
        <v>1.6316059517701421E-2</v>
      </c>
      <c r="N610" s="20" t="str">
        <f t="shared" si="59"/>
        <v>High volume</v>
      </c>
      <c r="O610" s="32">
        <f t="shared" si="57"/>
        <v>21.5182</v>
      </c>
      <c r="P610" s="20">
        <f t="shared" si="58"/>
        <v>6</v>
      </c>
      <c r="Q610" s="20" t="str" cm="1">
        <f t="array" ref="Q610">_xlfn.IFS(P610&lt;=3,"Q1",P610&lt;=6,"Q2",P610&lt;=9,"Q3",P610&lt;=12,"Q4")</f>
        <v>Q2</v>
      </c>
    </row>
    <row r="611" spans="1:17" x14ac:dyDescent="0.25">
      <c r="A611" s="14">
        <v>45828</v>
      </c>
      <c r="B611" s="15" t="s">
        <v>76</v>
      </c>
      <c r="C611" s="15" t="s">
        <v>77</v>
      </c>
      <c r="D611" s="15" t="s">
        <v>75</v>
      </c>
      <c r="E611" s="16">
        <v>149.27000000000001</v>
      </c>
      <c r="F611" s="16">
        <v>150.52000000000001</v>
      </c>
      <c r="G611" s="16">
        <v>147.74</v>
      </c>
      <c r="H611" s="16">
        <v>148.4</v>
      </c>
      <c r="I611" s="17">
        <v>2980316</v>
      </c>
      <c r="J611" s="16">
        <v>29680000000</v>
      </c>
      <c r="K611" s="30">
        <f t="shared" si="54"/>
        <v>-0.58283647082468304</v>
      </c>
      <c r="L611" s="31">
        <f t="shared" si="55"/>
        <v>2.7800000000000011</v>
      </c>
      <c r="M611" s="30">
        <f t="shared" si="56"/>
        <v>1.8623969987271394E-2</v>
      </c>
      <c r="N611" s="20" t="str">
        <f t="shared" si="59"/>
        <v>High volume</v>
      </c>
      <c r="O611" s="32">
        <f t="shared" si="57"/>
        <v>29.68</v>
      </c>
      <c r="P611" s="20">
        <f t="shared" si="58"/>
        <v>6</v>
      </c>
      <c r="Q611" s="20" t="str" cm="1">
        <f t="array" ref="Q611">_xlfn.IFS(P611&lt;=3,"Q1",P611&lt;=6,"Q2",P611&lt;=9,"Q3",P611&lt;=12,"Q4")</f>
        <v>Q2</v>
      </c>
    </row>
    <row r="612" spans="1:17" x14ac:dyDescent="0.25">
      <c r="A612" s="8">
        <v>45831</v>
      </c>
      <c r="B612" s="9" t="s">
        <v>60</v>
      </c>
      <c r="C612" s="9" t="s">
        <v>61</v>
      </c>
      <c r="D612" s="9" t="s">
        <v>62</v>
      </c>
      <c r="E612" s="10">
        <v>2480.56</v>
      </c>
      <c r="F612" s="10">
        <v>2516.48</v>
      </c>
      <c r="G612" s="10">
        <v>2454.1</v>
      </c>
      <c r="H612" s="10">
        <v>2493.9699999999998</v>
      </c>
      <c r="I612" s="11">
        <v>3116470</v>
      </c>
      <c r="J612" s="10">
        <v>3491558000000</v>
      </c>
      <c r="K612" s="30">
        <f t="shared" si="54"/>
        <v>0.54060373464055911</v>
      </c>
      <c r="L612" s="31">
        <f t="shared" si="55"/>
        <v>62.380000000000109</v>
      </c>
      <c r="M612" s="30">
        <f t="shared" si="56"/>
        <v>2.5147547328022751E-2</v>
      </c>
      <c r="N612" s="20" t="str">
        <f t="shared" si="59"/>
        <v>High volume</v>
      </c>
      <c r="O612" s="32">
        <f t="shared" si="57"/>
        <v>3491.558</v>
      </c>
      <c r="P612" s="20">
        <f t="shared" si="58"/>
        <v>6</v>
      </c>
      <c r="Q612" s="20" t="str" cm="1">
        <f t="array" ref="Q612">_xlfn.IFS(P612&lt;=3,"Q1",P612&lt;=6,"Q2",P612&lt;=9,"Q3",P612&lt;=12,"Q4")</f>
        <v>Q2</v>
      </c>
    </row>
    <row r="613" spans="1:17" x14ac:dyDescent="0.25">
      <c r="A613" s="14">
        <v>45831</v>
      </c>
      <c r="B613" s="15" t="s">
        <v>65</v>
      </c>
      <c r="C613" s="15" t="s">
        <v>66</v>
      </c>
      <c r="D613" s="15" t="s">
        <v>67</v>
      </c>
      <c r="E613" s="16">
        <v>221.26</v>
      </c>
      <c r="F613" s="16">
        <v>222.57</v>
      </c>
      <c r="G613" s="16">
        <v>220.8</v>
      </c>
      <c r="H613" s="16">
        <v>221.24</v>
      </c>
      <c r="I613" s="17">
        <v>868703</v>
      </c>
      <c r="J613" s="16">
        <v>55310000000</v>
      </c>
      <c r="K613" s="30">
        <f t="shared" si="54"/>
        <v>-9.0391394739138611E-3</v>
      </c>
      <c r="L613" s="31">
        <f t="shared" si="55"/>
        <v>1.7699999999999818</v>
      </c>
      <c r="M613" s="30">
        <f t="shared" si="56"/>
        <v>7.9996384344209609E-3</v>
      </c>
      <c r="N613" s="20" t="str">
        <f t="shared" si="59"/>
        <v>Normal</v>
      </c>
      <c r="O613" s="32">
        <f t="shared" si="57"/>
        <v>55.31</v>
      </c>
      <c r="P613" s="20">
        <f t="shared" si="58"/>
        <v>6</v>
      </c>
      <c r="Q613" s="20" t="str" cm="1">
        <f t="array" ref="Q613">_xlfn.IFS(P613&lt;=3,"Q1",P613&lt;=6,"Q2",P613&lt;=9,"Q3",P613&lt;=12,"Q4")</f>
        <v>Q2</v>
      </c>
    </row>
    <row r="614" spans="1:17" x14ac:dyDescent="0.25">
      <c r="A614" s="8">
        <v>45831</v>
      </c>
      <c r="B614" s="9" t="s">
        <v>69</v>
      </c>
      <c r="C614" s="9" t="s">
        <v>70</v>
      </c>
      <c r="D614" s="9" t="s">
        <v>71</v>
      </c>
      <c r="E614" s="10">
        <v>638.79</v>
      </c>
      <c r="F614" s="10">
        <v>646.04999999999995</v>
      </c>
      <c r="G614" s="10">
        <v>638.49</v>
      </c>
      <c r="H614" s="10">
        <v>641.79999999999995</v>
      </c>
      <c r="I614" s="11">
        <v>3820306</v>
      </c>
      <c r="J614" s="10">
        <v>513440000000</v>
      </c>
      <c r="K614" s="30">
        <f t="shared" si="54"/>
        <v>0.47120336886926706</v>
      </c>
      <c r="L614" s="31">
        <f t="shared" si="55"/>
        <v>7.5599999999999454</v>
      </c>
      <c r="M614" s="30">
        <f t="shared" si="56"/>
        <v>1.1834875311135031E-2</v>
      </c>
      <c r="N614" s="20" t="str">
        <f t="shared" si="59"/>
        <v>High volume</v>
      </c>
      <c r="O614" s="32">
        <f t="shared" si="57"/>
        <v>513.44000000000005</v>
      </c>
      <c r="P614" s="20">
        <f t="shared" si="58"/>
        <v>6</v>
      </c>
      <c r="Q614" s="20" t="str" cm="1">
        <f t="array" ref="Q614">_xlfn.IFS(P614&lt;=3,"Q1",P614&lt;=6,"Q2",P614&lt;=9,"Q3",P614&lt;=12,"Q4")</f>
        <v>Q2</v>
      </c>
    </row>
    <row r="615" spans="1:17" x14ac:dyDescent="0.25">
      <c r="A615" s="14">
        <v>45831</v>
      </c>
      <c r="B615" s="15" t="s">
        <v>73</v>
      </c>
      <c r="C615" s="15" t="s">
        <v>74</v>
      </c>
      <c r="D615" s="15" t="s">
        <v>75</v>
      </c>
      <c r="E615" s="16">
        <v>97.38</v>
      </c>
      <c r="F615" s="16">
        <v>98.97</v>
      </c>
      <c r="G615" s="16">
        <v>97.07</v>
      </c>
      <c r="H615" s="16">
        <v>98.01</v>
      </c>
      <c r="I615" s="17">
        <v>3476871</v>
      </c>
      <c r="J615" s="16">
        <v>21562200000</v>
      </c>
      <c r="K615" s="30">
        <f t="shared" si="54"/>
        <v>0.64695009242145174</v>
      </c>
      <c r="L615" s="31">
        <f t="shared" si="55"/>
        <v>1.9000000000000057</v>
      </c>
      <c r="M615" s="30">
        <f t="shared" si="56"/>
        <v>1.9511193263503857E-2</v>
      </c>
      <c r="N615" s="20" t="str">
        <f t="shared" si="59"/>
        <v>High volume</v>
      </c>
      <c r="O615" s="32">
        <f t="shared" si="57"/>
        <v>21.562200000000001</v>
      </c>
      <c r="P615" s="20">
        <f t="shared" si="58"/>
        <v>6</v>
      </c>
      <c r="Q615" s="20" t="str" cm="1">
        <f t="array" ref="Q615">_xlfn.IFS(P615&lt;=3,"Q1",P615&lt;=6,"Q2",P615&lt;=9,"Q3",P615&lt;=12,"Q4")</f>
        <v>Q2</v>
      </c>
    </row>
    <row r="616" spans="1:17" x14ac:dyDescent="0.25">
      <c r="A616" s="8">
        <v>45831</v>
      </c>
      <c r="B616" s="9" t="s">
        <v>76</v>
      </c>
      <c r="C616" s="9" t="s">
        <v>77</v>
      </c>
      <c r="D616" s="9" t="s">
        <v>75</v>
      </c>
      <c r="E616" s="10">
        <v>147.15</v>
      </c>
      <c r="F616" s="10">
        <v>148.07</v>
      </c>
      <c r="G616" s="10">
        <v>146.16</v>
      </c>
      <c r="H616" s="10">
        <v>147.26</v>
      </c>
      <c r="I616" s="11">
        <v>2192325</v>
      </c>
      <c r="J616" s="10">
        <v>29452000000</v>
      </c>
      <c r="K616" s="30">
        <f t="shared" si="54"/>
        <v>7.4753652735294066E-2</v>
      </c>
      <c r="L616" s="31">
        <f t="shared" si="55"/>
        <v>1.9099999999999966</v>
      </c>
      <c r="M616" s="30">
        <f t="shared" si="56"/>
        <v>1.297995242949369E-2</v>
      </c>
      <c r="N616" s="20" t="str">
        <f t="shared" si="59"/>
        <v>High volume</v>
      </c>
      <c r="O616" s="32">
        <f t="shared" si="57"/>
        <v>29.452000000000002</v>
      </c>
      <c r="P616" s="20">
        <f t="shared" si="58"/>
        <v>6</v>
      </c>
      <c r="Q616" s="20" t="str" cm="1">
        <f t="array" ref="Q616">_xlfn.IFS(P616&lt;=3,"Q1",P616&lt;=6,"Q2",P616&lt;=9,"Q3",P616&lt;=12,"Q4")</f>
        <v>Q2</v>
      </c>
    </row>
    <row r="617" spans="1:17" x14ac:dyDescent="0.25">
      <c r="A617" s="14">
        <v>45832</v>
      </c>
      <c r="B617" s="15" t="s">
        <v>60</v>
      </c>
      <c r="C617" s="15" t="s">
        <v>61</v>
      </c>
      <c r="D617" s="15" t="s">
        <v>62</v>
      </c>
      <c r="E617" s="16">
        <v>2436.4299999999998</v>
      </c>
      <c r="F617" s="16">
        <v>2440.41</v>
      </c>
      <c r="G617" s="16">
        <v>2429.92</v>
      </c>
      <c r="H617" s="16">
        <v>2438.79</v>
      </c>
      <c r="I617" s="17">
        <v>2773872</v>
      </c>
      <c r="J617" s="16">
        <v>3414306000000</v>
      </c>
      <c r="K617" s="30">
        <f t="shared" si="54"/>
        <v>9.6863033208429039E-2</v>
      </c>
      <c r="L617" s="31">
        <f t="shared" si="55"/>
        <v>10.489999999999782</v>
      </c>
      <c r="M617" s="30">
        <f t="shared" si="56"/>
        <v>4.3054797387980705E-3</v>
      </c>
      <c r="N617" s="20" t="str">
        <f t="shared" si="59"/>
        <v>High volume</v>
      </c>
      <c r="O617" s="32">
        <f t="shared" si="57"/>
        <v>3414.306</v>
      </c>
      <c r="P617" s="20">
        <f t="shared" si="58"/>
        <v>6</v>
      </c>
      <c r="Q617" s="20" t="str" cm="1">
        <f t="array" ref="Q617">_xlfn.IFS(P617&lt;=3,"Q1",P617&lt;=6,"Q2",P617&lt;=9,"Q3",P617&lt;=12,"Q4")</f>
        <v>Q2</v>
      </c>
    </row>
    <row r="618" spans="1:17" x14ac:dyDescent="0.25">
      <c r="A618" s="8">
        <v>45832</v>
      </c>
      <c r="B618" s="9" t="s">
        <v>65</v>
      </c>
      <c r="C618" s="9" t="s">
        <v>66</v>
      </c>
      <c r="D618" s="9" t="s">
        <v>67</v>
      </c>
      <c r="E618" s="10">
        <v>223.85</v>
      </c>
      <c r="F618" s="10">
        <v>224.03</v>
      </c>
      <c r="G618" s="10">
        <v>222.55</v>
      </c>
      <c r="H618" s="10">
        <v>223.86</v>
      </c>
      <c r="I618" s="11">
        <v>1649764</v>
      </c>
      <c r="J618" s="10">
        <v>55965000000</v>
      </c>
      <c r="K618" s="30">
        <f t="shared" si="54"/>
        <v>4.4672771945585563E-3</v>
      </c>
      <c r="L618" s="31">
        <f t="shared" si="55"/>
        <v>1.4799999999999898</v>
      </c>
      <c r="M618" s="30">
        <f t="shared" si="56"/>
        <v>6.611570247933839E-3</v>
      </c>
      <c r="N618" s="20" t="str">
        <f t="shared" si="59"/>
        <v>Normal</v>
      </c>
      <c r="O618" s="32">
        <f t="shared" si="57"/>
        <v>55.965000000000003</v>
      </c>
      <c r="P618" s="20">
        <f t="shared" si="58"/>
        <v>6</v>
      </c>
      <c r="Q618" s="20" t="str" cm="1">
        <f t="array" ref="Q618">_xlfn.IFS(P618&lt;=3,"Q1",P618&lt;=6,"Q2",P618&lt;=9,"Q3",P618&lt;=12,"Q4")</f>
        <v>Q2</v>
      </c>
    </row>
    <row r="619" spans="1:17" x14ac:dyDescent="0.25">
      <c r="A619" s="14">
        <v>45832</v>
      </c>
      <c r="B619" s="15" t="s">
        <v>69</v>
      </c>
      <c r="C619" s="15" t="s">
        <v>70</v>
      </c>
      <c r="D619" s="15" t="s">
        <v>71</v>
      </c>
      <c r="E619" s="16">
        <v>647.30999999999995</v>
      </c>
      <c r="F619" s="16">
        <v>648.04999999999995</v>
      </c>
      <c r="G619" s="16">
        <v>640.83000000000004</v>
      </c>
      <c r="H619" s="16">
        <v>647.30999999999995</v>
      </c>
      <c r="I619" s="17">
        <v>1081018</v>
      </c>
      <c r="J619" s="16">
        <v>517848000000</v>
      </c>
      <c r="K619" s="30">
        <f t="shared" si="54"/>
        <v>0</v>
      </c>
      <c r="L619" s="31">
        <f t="shared" si="55"/>
        <v>7.2199999999999136</v>
      </c>
      <c r="M619" s="30">
        <f t="shared" si="56"/>
        <v>1.1153852095595487E-2</v>
      </c>
      <c r="N619" s="20" t="str">
        <f t="shared" si="59"/>
        <v>Normal</v>
      </c>
      <c r="O619" s="32">
        <f t="shared" si="57"/>
        <v>517.84799999999996</v>
      </c>
      <c r="P619" s="20">
        <f t="shared" si="58"/>
        <v>6</v>
      </c>
      <c r="Q619" s="20" t="str" cm="1">
        <f t="array" ref="Q619">_xlfn.IFS(P619&lt;=3,"Q1",P619&lt;=6,"Q2",P619&lt;=9,"Q3",P619&lt;=12,"Q4")</f>
        <v>Q2</v>
      </c>
    </row>
    <row r="620" spans="1:17" x14ac:dyDescent="0.25">
      <c r="A620" s="8">
        <v>45832</v>
      </c>
      <c r="B620" s="9" t="s">
        <v>73</v>
      </c>
      <c r="C620" s="9" t="s">
        <v>74</v>
      </c>
      <c r="D620" s="9" t="s">
        <v>75</v>
      </c>
      <c r="E620" s="10">
        <v>95.79</v>
      </c>
      <c r="F620" s="10">
        <v>97.68</v>
      </c>
      <c r="G620" s="10">
        <v>94.85</v>
      </c>
      <c r="H620" s="10">
        <v>96.07</v>
      </c>
      <c r="I620" s="11">
        <v>1684096</v>
      </c>
      <c r="J620" s="10">
        <v>21135400000</v>
      </c>
      <c r="K620" s="30">
        <f t="shared" si="54"/>
        <v>0.29230608623028176</v>
      </c>
      <c r="L620" s="31">
        <f t="shared" si="55"/>
        <v>2.8300000000000125</v>
      </c>
      <c r="M620" s="30">
        <f t="shared" si="56"/>
        <v>2.9543793715419275E-2</v>
      </c>
      <c r="N620" s="20" t="str">
        <f t="shared" si="59"/>
        <v>Normal</v>
      </c>
      <c r="O620" s="32">
        <f t="shared" si="57"/>
        <v>21.135400000000001</v>
      </c>
      <c r="P620" s="20">
        <f t="shared" si="58"/>
        <v>6</v>
      </c>
      <c r="Q620" s="20" t="str" cm="1">
        <f t="array" ref="Q620">_xlfn.IFS(P620&lt;=3,"Q1",P620&lt;=6,"Q2",P620&lt;=9,"Q3",P620&lt;=12,"Q4")</f>
        <v>Q2</v>
      </c>
    </row>
    <row r="621" spans="1:17" x14ac:dyDescent="0.25">
      <c r="A621" s="14">
        <v>45832</v>
      </c>
      <c r="B621" s="15" t="s">
        <v>76</v>
      </c>
      <c r="C621" s="15" t="s">
        <v>77</v>
      </c>
      <c r="D621" s="15" t="s">
        <v>75</v>
      </c>
      <c r="E621" s="16">
        <v>145.15</v>
      </c>
      <c r="F621" s="16">
        <v>146.12</v>
      </c>
      <c r="G621" s="16">
        <v>144.38</v>
      </c>
      <c r="H621" s="16">
        <v>144.47</v>
      </c>
      <c r="I621" s="17">
        <v>3077422</v>
      </c>
      <c r="J621" s="16">
        <v>28894000000</v>
      </c>
      <c r="K621" s="30">
        <f t="shared" si="54"/>
        <v>-0.46848088184637049</v>
      </c>
      <c r="L621" s="31">
        <f t="shared" si="55"/>
        <v>1.7400000000000091</v>
      </c>
      <c r="M621" s="30">
        <f t="shared" si="56"/>
        <v>1.1987599035480599E-2</v>
      </c>
      <c r="N621" s="20" t="str">
        <f t="shared" si="59"/>
        <v>High volume</v>
      </c>
      <c r="O621" s="32">
        <f t="shared" si="57"/>
        <v>28.893999999999998</v>
      </c>
      <c r="P621" s="20">
        <f t="shared" si="58"/>
        <v>6</v>
      </c>
      <c r="Q621" s="20" t="str" cm="1">
        <f t="array" ref="Q621">_xlfn.IFS(P621&lt;=3,"Q1",P621&lt;=6,"Q2",P621&lt;=9,"Q3",P621&lt;=12,"Q4")</f>
        <v>Q2</v>
      </c>
    </row>
    <row r="622" spans="1:17" x14ac:dyDescent="0.25">
      <c r="A622" s="8">
        <v>45833</v>
      </c>
      <c r="B622" s="9" t="s">
        <v>60</v>
      </c>
      <c r="C622" s="9" t="s">
        <v>61</v>
      </c>
      <c r="D622" s="9" t="s">
        <v>62</v>
      </c>
      <c r="E622" s="10">
        <v>2445.8200000000002</v>
      </c>
      <c r="F622" s="10">
        <v>2458.0300000000002</v>
      </c>
      <c r="G622" s="10">
        <v>2435.62</v>
      </c>
      <c r="H622" s="10">
        <v>2451.98</v>
      </c>
      <c r="I622" s="11">
        <v>2525202</v>
      </c>
      <c r="J622" s="10">
        <v>3432772000000</v>
      </c>
      <c r="K622" s="30">
        <f t="shared" si="54"/>
        <v>0.2518582724812069</v>
      </c>
      <c r="L622" s="31">
        <f t="shared" si="55"/>
        <v>22.410000000000309</v>
      </c>
      <c r="M622" s="30">
        <f t="shared" si="56"/>
        <v>9.1625712440000923E-3</v>
      </c>
      <c r="N622" s="20" t="str">
        <f t="shared" si="59"/>
        <v>High volume</v>
      </c>
      <c r="O622" s="32">
        <f t="shared" si="57"/>
        <v>3432.7719999999999</v>
      </c>
      <c r="P622" s="20">
        <f t="shared" si="58"/>
        <v>6</v>
      </c>
      <c r="Q622" s="20" t="str" cm="1">
        <f t="array" ref="Q622">_xlfn.IFS(P622&lt;=3,"Q1",P622&lt;=6,"Q2",P622&lt;=9,"Q3",P622&lt;=12,"Q4")</f>
        <v>Q2</v>
      </c>
    </row>
    <row r="623" spans="1:17" x14ac:dyDescent="0.25">
      <c r="A623" s="14">
        <v>45833</v>
      </c>
      <c r="B623" s="15" t="s">
        <v>65</v>
      </c>
      <c r="C623" s="15" t="s">
        <v>66</v>
      </c>
      <c r="D623" s="15" t="s">
        <v>67</v>
      </c>
      <c r="E623" s="16">
        <v>218.82</v>
      </c>
      <c r="F623" s="16">
        <v>219.6</v>
      </c>
      <c r="G623" s="16">
        <v>217.58</v>
      </c>
      <c r="H623" s="16">
        <v>217.77</v>
      </c>
      <c r="I623" s="17">
        <v>3595902</v>
      </c>
      <c r="J623" s="16">
        <v>54442500000</v>
      </c>
      <c r="K623" s="30">
        <f t="shared" si="54"/>
        <v>-0.47984644913626862</v>
      </c>
      <c r="L623" s="31">
        <f t="shared" si="55"/>
        <v>2.0199999999999818</v>
      </c>
      <c r="M623" s="30">
        <f t="shared" si="56"/>
        <v>9.2313316881454249E-3</v>
      </c>
      <c r="N623" s="20" t="str">
        <f t="shared" si="59"/>
        <v>High volume</v>
      </c>
      <c r="O623" s="32">
        <f t="shared" si="57"/>
        <v>54.442500000000003</v>
      </c>
      <c r="P623" s="20">
        <f t="shared" si="58"/>
        <v>6</v>
      </c>
      <c r="Q623" s="20" t="str" cm="1">
        <f t="array" ref="Q623">_xlfn.IFS(P623&lt;=3,"Q1",P623&lt;=6,"Q2",P623&lt;=9,"Q3",P623&lt;=12,"Q4")</f>
        <v>Q2</v>
      </c>
    </row>
    <row r="624" spans="1:17" x14ac:dyDescent="0.25">
      <c r="A624" s="8">
        <v>45833</v>
      </c>
      <c r="B624" s="9" t="s">
        <v>69</v>
      </c>
      <c r="C624" s="9" t="s">
        <v>70</v>
      </c>
      <c r="D624" s="9" t="s">
        <v>71</v>
      </c>
      <c r="E624" s="10">
        <v>630.71</v>
      </c>
      <c r="F624" s="10">
        <v>634.91999999999996</v>
      </c>
      <c r="G624" s="10">
        <v>627.99</v>
      </c>
      <c r="H624" s="10">
        <v>630.95000000000005</v>
      </c>
      <c r="I624" s="11">
        <v>2770859</v>
      </c>
      <c r="J624" s="10">
        <v>504760000000</v>
      </c>
      <c r="K624" s="30">
        <f t="shared" si="54"/>
        <v>3.805235369662905E-2</v>
      </c>
      <c r="L624" s="31">
        <f t="shared" si="55"/>
        <v>6.92999999999995</v>
      </c>
      <c r="M624" s="30">
        <f t="shared" si="56"/>
        <v>1.0987617129901142E-2</v>
      </c>
      <c r="N624" s="20" t="str">
        <f t="shared" si="59"/>
        <v>High volume</v>
      </c>
      <c r="O624" s="32">
        <f t="shared" si="57"/>
        <v>504.76</v>
      </c>
      <c r="P624" s="20">
        <f t="shared" si="58"/>
        <v>6</v>
      </c>
      <c r="Q624" s="20" t="str" cm="1">
        <f t="array" ref="Q624">_xlfn.IFS(P624&lt;=3,"Q1",P624&lt;=6,"Q2",P624&lt;=9,"Q3",P624&lt;=12,"Q4")</f>
        <v>Q2</v>
      </c>
    </row>
    <row r="625" spans="1:17" x14ac:dyDescent="0.25">
      <c r="A625" s="14">
        <v>45833</v>
      </c>
      <c r="B625" s="15" t="s">
        <v>73</v>
      </c>
      <c r="C625" s="15" t="s">
        <v>74</v>
      </c>
      <c r="D625" s="15" t="s">
        <v>75</v>
      </c>
      <c r="E625" s="16">
        <v>97.21</v>
      </c>
      <c r="F625" s="16">
        <v>97.7</v>
      </c>
      <c r="G625" s="16">
        <v>96.24</v>
      </c>
      <c r="H625" s="16">
        <v>96.94</v>
      </c>
      <c r="I625" s="17">
        <v>1113585</v>
      </c>
      <c r="J625" s="16">
        <v>21326800000</v>
      </c>
      <c r="K625" s="30">
        <f t="shared" si="54"/>
        <v>-0.27774920275691395</v>
      </c>
      <c r="L625" s="31">
        <f t="shared" si="55"/>
        <v>1.460000000000008</v>
      </c>
      <c r="M625" s="30">
        <f t="shared" si="56"/>
        <v>1.5019030963892687E-2</v>
      </c>
      <c r="N625" s="20" t="str">
        <f t="shared" si="59"/>
        <v>Normal</v>
      </c>
      <c r="O625" s="32">
        <f t="shared" si="57"/>
        <v>21.326799999999999</v>
      </c>
      <c r="P625" s="20">
        <f t="shared" si="58"/>
        <v>6</v>
      </c>
      <c r="Q625" s="20" t="str" cm="1">
        <f t="array" ref="Q625">_xlfn.IFS(P625&lt;=3,"Q1",P625&lt;=6,"Q2",P625&lt;=9,"Q3",P625&lt;=12,"Q4")</f>
        <v>Q2</v>
      </c>
    </row>
    <row r="626" spans="1:17" x14ac:dyDescent="0.25">
      <c r="A626" s="8">
        <v>45833</v>
      </c>
      <c r="B626" s="9" t="s">
        <v>76</v>
      </c>
      <c r="C626" s="9" t="s">
        <v>77</v>
      </c>
      <c r="D626" s="9" t="s">
        <v>75</v>
      </c>
      <c r="E626" s="10">
        <v>145.81</v>
      </c>
      <c r="F626" s="10">
        <v>145.91999999999999</v>
      </c>
      <c r="G626" s="10">
        <v>145.68</v>
      </c>
      <c r="H626" s="10">
        <v>145.88</v>
      </c>
      <c r="I626" s="11">
        <v>2886655</v>
      </c>
      <c r="J626" s="10">
        <v>29176000000</v>
      </c>
      <c r="K626" s="30">
        <f t="shared" si="54"/>
        <v>4.8007681228991961E-2</v>
      </c>
      <c r="L626" s="31">
        <f t="shared" si="55"/>
        <v>0.23999999999998067</v>
      </c>
      <c r="M626" s="30">
        <f t="shared" si="56"/>
        <v>1.6459776421368952E-3</v>
      </c>
      <c r="N626" s="20" t="str">
        <f t="shared" si="59"/>
        <v>High volume</v>
      </c>
      <c r="O626" s="32">
        <f t="shared" si="57"/>
        <v>29.175999999999998</v>
      </c>
      <c r="P626" s="20">
        <f t="shared" si="58"/>
        <v>6</v>
      </c>
      <c r="Q626" s="20" t="str" cm="1">
        <f t="array" ref="Q626">_xlfn.IFS(P626&lt;=3,"Q1",P626&lt;=6,"Q2",P626&lt;=9,"Q3",P626&lt;=12,"Q4")</f>
        <v>Q2</v>
      </c>
    </row>
    <row r="627" spans="1:17" x14ac:dyDescent="0.25">
      <c r="A627" s="14">
        <v>45834</v>
      </c>
      <c r="B627" s="15" t="s">
        <v>60</v>
      </c>
      <c r="C627" s="15" t="s">
        <v>61</v>
      </c>
      <c r="D627" s="15" t="s">
        <v>62</v>
      </c>
      <c r="E627" s="16">
        <v>2467.16</v>
      </c>
      <c r="F627" s="16">
        <v>2472</v>
      </c>
      <c r="G627" s="16">
        <v>2445.42</v>
      </c>
      <c r="H627" s="16">
        <v>2469.21</v>
      </c>
      <c r="I627" s="17">
        <v>2523018</v>
      </c>
      <c r="J627" s="16">
        <v>3456894000000</v>
      </c>
      <c r="K627" s="30">
        <f t="shared" si="54"/>
        <v>8.3091489810153449E-2</v>
      </c>
      <c r="L627" s="31">
        <f t="shared" si="55"/>
        <v>26.579999999999927</v>
      </c>
      <c r="M627" s="30">
        <f t="shared" si="56"/>
        <v>1.077352097148135E-2</v>
      </c>
      <c r="N627" s="20" t="str">
        <f t="shared" si="59"/>
        <v>High volume</v>
      </c>
      <c r="O627" s="32">
        <f t="shared" si="57"/>
        <v>3456.8939999999998</v>
      </c>
      <c r="P627" s="20">
        <f t="shared" si="58"/>
        <v>6</v>
      </c>
      <c r="Q627" s="20" t="str" cm="1">
        <f t="array" ref="Q627">_xlfn.IFS(P627&lt;=3,"Q1",P627&lt;=6,"Q2",P627&lt;=9,"Q3",P627&lt;=12,"Q4")</f>
        <v>Q2</v>
      </c>
    </row>
    <row r="628" spans="1:17" x14ac:dyDescent="0.25">
      <c r="A628" s="8">
        <v>45834</v>
      </c>
      <c r="B628" s="9" t="s">
        <v>65</v>
      </c>
      <c r="C628" s="9" t="s">
        <v>66</v>
      </c>
      <c r="D628" s="9" t="s">
        <v>67</v>
      </c>
      <c r="E628" s="10">
        <v>221.25</v>
      </c>
      <c r="F628" s="10">
        <v>222.45</v>
      </c>
      <c r="G628" s="10">
        <v>219.78</v>
      </c>
      <c r="H628" s="10">
        <v>220.77</v>
      </c>
      <c r="I628" s="11">
        <v>4039434</v>
      </c>
      <c r="J628" s="10">
        <v>55192500000</v>
      </c>
      <c r="K628" s="30">
        <f t="shared" si="54"/>
        <v>-0.21694915254236824</v>
      </c>
      <c r="L628" s="31">
        <f t="shared" si="55"/>
        <v>2.6699999999999875</v>
      </c>
      <c r="M628" s="30">
        <f t="shared" si="56"/>
        <v>1.2067796610169435E-2</v>
      </c>
      <c r="N628" s="20" t="str">
        <f t="shared" si="59"/>
        <v>High volume</v>
      </c>
      <c r="O628" s="32">
        <f t="shared" si="57"/>
        <v>55.192500000000003</v>
      </c>
      <c r="P628" s="20">
        <f t="shared" si="58"/>
        <v>6</v>
      </c>
      <c r="Q628" s="20" t="str" cm="1">
        <f t="array" ref="Q628">_xlfn.IFS(P628&lt;=3,"Q1",P628&lt;=6,"Q2",P628&lt;=9,"Q3",P628&lt;=12,"Q4")</f>
        <v>Q2</v>
      </c>
    </row>
    <row r="629" spans="1:17" x14ac:dyDescent="0.25">
      <c r="A629" s="14">
        <v>45834</v>
      </c>
      <c r="B629" s="15" t="s">
        <v>69</v>
      </c>
      <c r="C629" s="15" t="s">
        <v>70</v>
      </c>
      <c r="D629" s="15" t="s">
        <v>71</v>
      </c>
      <c r="E629" s="16">
        <v>649.15</v>
      </c>
      <c r="F629" s="16">
        <v>654.52</v>
      </c>
      <c r="G629" s="16">
        <v>647.6</v>
      </c>
      <c r="H629" s="16">
        <v>649.41999999999996</v>
      </c>
      <c r="I629" s="17">
        <v>2552861</v>
      </c>
      <c r="J629" s="16">
        <v>519536000000</v>
      </c>
      <c r="K629" s="30">
        <f t="shared" si="54"/>
        <v>4.1592852191324317E-2</v>
      </c>
      <c r="L629" s="31">
        <f t="shared" si="55"/>
        <v>6.9199999999999591</v>
      </c>
      <c r="M629" s="30">
        <f t="shared" si="56"/>
        <v>1.0660093969036369E-2</v>
      </c>
      <c r="N629" s="20" t="str">
        <f t="shared" si="59"/>
        <v>High volume</v>
      </c>
      <c r="O629" s="32">
        <f t="shared" si="57"/>
        <v>519.53599999999994</v>
      </c>
      <c r="P629" s="20">
        <f t="shared" si="58"/>
        <v>6</v>
      </c>
      <c r="Q629" s="20" t="str" cm="1">
        <f t="array" ref="Q629">_xlfn.IFS(P629&lt;=3,"Q1",P629&lt;=6,"Q2",P629&lt;=9,"Q3",P629&lt;=12,"Q4")</f>
        <v>Q2</v>
      </c>
    </row>
    <row r="630" spans="1:17" x14ac:dyDescent="0.25">
      <c r="A630" s="8">
        <v>45834</v>
      </c>
      <c r="B630" s="9" t="s">
        <v>73</v>
      </c>
      <c r="C630" s="9" t="s">
        <v>74</v>
      </c>
      <c r="D630" s="9" t="s">
        <v>75</v>
      </c>
      <c r="E630" s="10">
        <v>96.19</v>
      </c>
      <c r="F630" s="10">
        <v>96.36</v>
      </c>
      <c r="G630" s="10">
        <v>96.08</v>
      </c>
      <c r="H630" s="10">
        <v>96.27</v>
      </c>
      <c r="I630" s="11">
        <v>4842003</v>
      </c>
      <c r="J630" s="10">
        <v>21179400000</v>
      </c>
      <c r="K630" s="30">
        <f t="shared" si="54"/>
        <v>8.3168728558060401E-2</v>
      </c>
      <c r="L630" s="31">
        <f t="shared" si="55"/>
        <v>0.28000000000000114</v>
      </c>
      <c r="M630" s="30">
        <f t="shared" si="56"/>
        <v>2.9109054995321878E-3</v>
      </c>
      <c r="N630" s="20" t="str">
        <f t="shared" si="59"/>
        <v>High volume</v>
      </c>
      <c r="O630" s="32">
        <f t="shared" si="57"/>
        <v>21.179400000000001</v>
      </c>
      <c r="P630" s="20">
        <f t="shared" si="58"/>
        <v>6</v>
      </c>
      <c r="Q630" s="20" t="str" cm="1">
        <f t="array" ref="Q630">_xlfn.IFS(P630&lt;=3,"Q1",P630&lt;=6,"Q2",P630&lt;=9,"Q3",P630&lt;=12,"Q4")</f>
        <v>Q2</v>
      </c>
    </row>
    <row r="631" spans="1:17" x14ac:dyDescent="0.25">
      <c r="A631" s="14">
        <v>45834</v>
      </c>
      <c r="B631" s="15" t="s">
        <v>76</v>
      </c>
      <c r="C631" s="15" t="s">
        <v>77</v>
      </c>
      <c r="D631" s="15" t="s">
        <v>75</v>
      </c>
      <c r="E631" s="16">
        <v>144.97999999999999</v>
      </c>
      <c r="F631" s="16">
        <v>146.65</v>
      </c>
      <c r="G631" s="16">
        <v>143.97999999999999</v>
      </c>
      <c r="H631" s="16">
        <v>144.59</v>
      </c>
      <c r="I631" s="17">
        <v>811568</v>
      </c>
      <c r="J631" s="16">
        <v>28918000000</v>
      </c>
      <c r="K631" s="30">
        <f t="shared" si="54"/>
        <v>-0.26900262105117007</v>
      </c>
      <c r="L631" s="31">
        <f t="shared" si="55"/>
        <v>2.6700000000000159</v>
      </c>
      <c r="M631" s="30">
        <f t="shared" si="56"/>
        <v>1.8416333287350092E-2</v>
      </c>
      <c r="N631" s="20" t="str">
        <f t="shared" si="59"/>
        <v>Normal</v>
      </c>
      <c r="O631" s="32">
        <f t="shared" si="57"/>
        <v>28.917999999999999</v>
      </c>
      <c r="P631" s="20">
        <f t="shared" si="58"/>
        <v>6</v>
      </c>
      <c r="Q631" s="20" t="str" cm="1">
        <f t="array" ref="Q631">_xlfn.IFS(P631&lt;=3,"Q1",P631&lt;=6,"Q2",P631&lt;=9,"Q3",P631&lt;=12,"Q4")</f>
        <v>Q2</v>
      </c>
    </row>
    <row r="632" spans="1:17" x14ac:dyDescent="0.25">
      <c r="A632" s="8">
        <v>45835</v>
      </c>
      <c r="B632" s="9" t="s">
        <v>60</v>
      </c>
      <c r="C632" s="9" t="s">
        <v>61</v>
      </c>
      <c r="D632" s="9" t="s">
        <v>62</v>
      </c>
      <c r="E632" s="10">
        <v>2506.65</v>
      </c>
      <c r="F632" s="10">
        <v>2537.83</v>
      </c>
      <c r="G632" s="10">
        <v>2484.9899999999998</v>
      </c>
      <c r="H632" s="10">
        <v>2530.8000000000002</v>
      </c>
      <c r="I632" s="11">
        <v>4283115</v>
      </c>
      <c r="J632" s="10">
        <v>3543120000000</v>
      </c>
      <c r="K632" s="30">
        <f t="shared" si="54"/>
        <v>0.96343725689665849</v>
      </c>
      <c r="L632" s="31">
        <f t="shared" si="55"/>
        <v>52.840000000000146</v>
      </c>
      <c r="M632" s="30">
        <f t="shared" si="56"/>
        <v>2.1079927393134319E-2</v>
      </c>
      <c r="N632" s="20" t="str">
        <f t="shared" si="59"/>
        <v>High volume</v>
      </c>
      <c r="O632" s="32">
        <f t="shared" si="57"/>
        <v>3543.12</v>
      </c>
      <c r="P632" s="20">
        <f t="shared" si="58"/>
        <v>6</v>
      </c>
      <c r="Q632" s="20" t="str" cm="1">
        <f t="array" ref="Q632">_xlfn.IFS(P632&lt;=3,"Q1",P632&lt;=6,"Q2",P632&lt;=9,"Q3",P632&lt;=12,"Q4")</f>
        <v>Q2</v>
      </c>
    </row>
    <row r="633" spans="1:17" x14ac:dyDescent="0.25">
      <c r="A633" s="14">
        <v>45835</v>
      </c>
      <c r="B633" s="15" t="s">
        <v>65</v>
      </c>
      <c r="C633" s="15" t="s">
        <v>66</v>
      </c>
      <c r="D633" s="15" t="s">
        <v>67</v>
      </c>
      <c r="E633" s="16">
        <v>222.82</v>
      </c>
      <c r="F633" s="16">
        <v>223.99</v>
      </c>
      <c r="G633" s="16">
        <v>222.24</v>
      </c>
      <c r="H633" s="16">
        <v>222.76</v>
      </c>
      <c r="I633" s="17">
        <v>3611859</v>
      </c>
      <c r="J633" s="16">
        <v>55690000000</v>
      </c>
      <c r="K633" s="30">
        <f t="shared" si="54"/>
        <v>-2.6927564850553039E-2</v>
      </c>
      <c r="L633" s="31">
        <f t="shared" si="55"/>
        <v>1.75</v>
      </c>
      <c r="M633" s="30">
        <f t="shared" si="56"/>
        <v>7.8538730814110055E-3</v>
      </c>
      <c r="N633" s="20" t="str">
        <f t="shared" si="59"/>
        <v>High volume</v>
      </c>
      <c r="O633" s="32">
        <f t="shared" si="57"/>
        <v>55.69</v>
      </c>
      <c r="P633" s="20">
        <f t="shared" si="58"/>
        <v>6</v>
      </c>
      <c r="Q633" s="20" t="str" cm="1">
        <f t="array" ref="Q633">_xlfn.IFS(P633&lt;=3,"Q1",P633&lt;=6,"Q2",P633&lt;=9,"Q3",P633&lt;=12,"Q4")</f>
        <v>Q2</v>
      </c>
    </row>
    <row r="634" spans="1:17" x14ac:dyDescent="0.25">
      <c r="A634" s="8">
        <v>45835</v>
      </c>
      <c r="B634" s="9" t="s">
        <v>69</v>
      </c>
      <c r="C634" s="9" t="s">
        <v>70</v>
      </c>
      <c r="D634" s="9" t="s">
        <v>71</v>
      </c>
      <c r="E634" s="10">
        <v>662.18</v>
      </c>
      <c r="F634" s="10">
        <v>666.99</v>
      </c>
      <c r="G634" s="10">
        <v>650.79999999999995</v>
      </c>
      <c r="H634" s="10">
        <v>663.76</v>
      </c>
      <c r="I634" s="11">
        <v>1536880</v>
      </c>
      <c r="J634" s="10">
        <v>531008000000</v>
      </c>
      <c r="K634" s="30">
        <f t="shared" si="54"/>
        <v>0.23860581714942175</v>
      </c>
      <c r="L634" s="31">
        <f t="shared" si="55"/>
        <v>16.190000000000055</v>
      </c>
      <c r="M634" s="30">
        <f t="shared" si="56"/>
        <v>2.4449545440816782E-2</v>
      </c>
      <c r="N634" s="20" t="str">
        <f t="shared" si="59"/>
        <v>Normal</v>
      </c>
      <c r="O634" s="32">
        <f t="shared" si="57"/>
        <v>531.00800000000004</v>
      </c>
      <c r="P634" s="20">
        <f t="shared" si="58"/>
        <v>6</v>
      </c>
      <c r="Q634" s="20" t="str" cm="1">
        <f t="array" ref="Q634">_xlfn.IFS(P634&lt;=3,"Q1",P634&lt;=6,"Q2",P634&lt;=9,"Q3",P634&lt;=12,"Q4")</f>
        <v>Q2</v>
      </c>
    </row>
    <row r="635" spans="1:17" x14ac:dyDescent="0.25">
      <c r="A635" s="14">
        <v>45835</v>
      </c>
      <c r="B635" s="15" t="s">
        <v>73</v>
      </c>
      <c r="C635" s="15" t="s">
        <v>74</v>
      </c>
      <c r="D635" s="15" t="s">
        <v>75</v>
      </c>
      <c r="E635" s="16">
        <v>96.25</v>
      </c>
      <c r="F635" s="16">
        <v>97.19</v>
      </c>
      <c r="G635" s="16">
        <v>95.36</v>
      </c>
      <c r="H635" s="16">
        <v>95.68</v>
      </c>
      <c r="I635" s="17">
        <v>1702279</v>
      </c>
      <c r="J635" s="16">
        <v>21049600000</v>
      </c>
      <c r="K635" s="30">
        <f t="shared" si="54"/>
        <v>-0.59220779220778508</v>
      </c>
      <c r="L635" s="31">
        <f t="shared" si="55"/>
        <v>1.8299999999999983</v>
      </c>
      <c r="M635" s="30">
        <f t="shared" si="56"/>
        <v>1.9012987012986995E-2</v>
      </c>
      <c r="N635" s="20" t="str">
        <f t="shared" si="59"/>
        <v>Normal</v>
      </c>
      <c r="O635" s="32">
        <f t="shared" si="57"/>
        <v>21.049600000000002</v>
      </c>
      <c r="P635" s="20">
        <f t="shared" si="58"/>
        <v>6</v>
      </c>
      <c r="Q635" s="20" t="str" cm="1">
        <f t="array" ref="Q635">_xlfn.IFS(P635&lt;=3,"Q1",P635&lt;=6,"Q2",P635&lt;=9,"Q3",P635&lt;=12,"Q4")</f>
        <v>Q2</v>
      </c>
    </row>
    <row r="636" spans="1:17" x14ac:dyDescent="0.25">
      <c r="A636" s="8">
        <v>45835</v>
      </c>
      <c r="B636" s="9" t="s">
        <v>76</v>
      </c>
      <c r="C636" s="9" t="s">
        <v>77</v>
      </c>
      <c r="D636" s="9" t="s">
        <v>75</v>
      </c>
      <c r="E636" s="10">
        <v>148.5</v>
      </c>
      <c r="F636" s="10">
        <v>148.88</v>
      </c>
      <c r="G636" s="10">
        <v>147.63</v>
      </c>
      <c r="H636" s="10">
        <v>148.87</v>
      </c>
      <c r="I636" s="11">
        <v>3952343</v>
      </c>
      <c r="J636" s="10">
        <v>29774000000</v>
      </c>
      <c r="K636" s="30">
        <f t="shared" si="54"/>
        <v>0.24915824915825222</v>
      </c>
      <c r="L636" s="31">
        <f t="shared" si="55"/>
        <v>1.25</v>
      </c>
      <c r="M636" s="30">
        <f t="shared" si="56"/>
        <v>8.4175084175084174E-3</v>
      </c>
      <c r="N636" s="20" t="str">
        <f t="shared" si="59"/>
        <v>High volume</v>
      </c>
      <c r="O636" s="32">
        <f t="shared" si="57"/>
        <v>29.774000000000001</v>
      </c>
      <c r="P636" s="20">
        <f t="shared" si="58"/>
        <v>6</v>
      </c>
      <c r="Q636" s="20" t="str" cm="1">
        <f t="array" ref="Q636">_xlfn.IFS(P636&lt;=3,"Q1",P636&lt;=6,"Q2",P636&lt;=9,"Q3",P636&lt;=12,"Q4")</f>
        <v>Q2</v>
      </c>
    </row>
    <row r="637" spans="1:17" x14ac:dyDescent="0.25">
      <c r="A637" s="14">
        <v>45838</v>
      </c>
      <c r="B637" s="15" t="s">
        <v>60</v>
      </c>
      <c r="C637" s="15" t="s">
        <v>61</v>
      </c>
      <c r="D637" s="15" t="s">
        <v>62</v>
      </c>
      <c r="E637" s="16">
        <v>2559.6799999999998</v>
      </c>
      <c r="F637" s="16">
        <v>2571.0100000000002</v>
      </c>
      <c r="G637" s="16">
        <v>2523.3200000000002</v>
      </c>
      <c r="H637" s="16">
        <v>2530.37</v>
      </c>
      <c r="I637" s="17">
        <v>2463307</v>
      </c>
      <c r="J637" s="16">
        <v>3542518000000</v>
      </c>
      <c r="K637" s="30">
        <f t="shared" si="54"/>
        <v>-1.1450650081260136</v>
      </c>
      <c r="L637" s="31">
        <f t="shared" si="55"/>
        <v>47.690000000000055</v>
      </c>
      <c r="M637" s="30">
        <f t="shared" si="56"/>
        <v>1.8631235154394323E-2</v>
      </c>
      <c r="N637" s="20" t="str">
        <f t="shared" si="59"/>
        <v>High volume</v>
      </c>
      <c r="O637" s="32">
        <f t="shared" si="57"/>
        <v>3542.518</v>
      </c>
      <c r="P637" s="20">
        <f t="shared" si="58"/>
        <v>6</v>
      </c>
      <c r="Q637" s="20" t="str" cm="1">
        <f t="array" ref="Q637">_xlfn.IFS(P637&lt;=3,"Q1",P637&lt;=6,"Q2",P637&lt;=9,"Q3",P637&lt;=12,"Q4")</f>
        <v>Q2</v>
      </c>
    </row>
    <row r="638" spans="1:17" x14ac:dyDescent="0.25">
      <c r="A638" s="8">
        <v>45838</v>
      </c>
      <c r="B638" s="9" t="s">
        <v>65</v>
      </c>
      <c r="C638" s="9" t="s">
        <v>66</v>
      </c>
      <c r="D638" s="9" t="s">
        <v>67</v>
      </c>
      <c r="E638" s="10">
        <v>220.52</v>
      </c>
      <c r="F638" s="10">
        <v>223.09</v>
      </c>
      <c r="G638" s="10">
        <v>220.25</v>
      </c>
      <c r="H638" s="10">
        <v>221.83</v>
      </c>
      <c r="I638" s="11">
        <v>4930966</v>
      </c>
      <c r="J638" s="10">
        <v>55457500000</v>
      </c>
      <c r="K638" s="30">
        <f t="shared" si="54"/>
        <v>0.59405042626519233</v>
      </c>
      <c r="L638" s="31">
        <f t="shared" si="55"/>
        <v>2.8400000000000034</v>
      </c>
      <c r="M638" s="30">
        <f t="shared" si="56"/>
        <v>1.2878650462543094E-2</v>
      </c>
      <c r="N638" s="20" t="str">
        <f t="shared" si="59"/>
        <v>High volume</v>
      </c>
      <c r="O638" s="32">
        <f t="shared" si="57"/>
        <v>55.457500000000003</v>
      </c>
      <c r="P638" s="20">
        <f t="shared" si="58"/>
        <v>6</v>
      </c>
      <c r="Q638" s="20" t="str" cm="1">
        <f t="array" ref="Q638">_xlfn.IFS(P638&lt;=3,"Q1",P638&lt;=6,"Q2",P638&lt;=9,"Q3",P638&lt;=12,"Q4")</f>
        <v>Q2</v>
      </c>
    </row>
    <row r="639" spans="1:17" x14ac:dyDescent="0.25">
      <c r="A639" s="14">
        <v>45838</v>
      </c>
      <c r="B639" s="15" t="s">
        <v>69</v>
      </c>
      <c r="C639" s="15" t="s">
        <v>70</v>
      </c>
      <c r="D639" s="15" t="s">
        <v>71</v>
      </c>
      <c r="E639" s="16">
        <v>659.92</v>
      </c>
      <c r="F639" s="16">
        <v>661.87</v>
      </c>
      <c r="G639" s="16">
        <v>656.15</v>
      </c>
      <c r="H639" s="16">
        <v>658.77</v>
      </c>
      <c r="I639" s="17">
        <v>403715</v>
      </c>
      <c r="J639" s="16">
        <v>527016000000</v>
      </c>
      <c r="K639" s="30">
        <f t="shared" si="54"/>
        <v>-0.17426354709661435</v>
      </c>
      <c r="L639" s="31">
        <f t="shared" si="55"/>
        <v>5.7200000000000273</v>
      </c>
      <c r="M639" s="30">
        <f t="shared" si="56"/>
        <v>8.6677172990665963E-3</v>
      </c>
      <c r="N639" s="20" t="str">
        <f t="shared" si="59"/>
        <v>Normal</v>
      </c>
      <c r="O639" s="32">
        <f t="shared" si="57"/>
        <v>527.01599999999996</v>
      </c>
      <c r="P639" s="20">
        <f t="shared" si="58"/>
        <v>6</v>
      </c>
      <c r="Q639" s="20" t="str" cm="1">
        <f t="array" ref="Q639">_xlfn.IFS(P639&lt;=3,"Q1",P639&lt;=6,"Q2",P639&lt;=9,"Q3",P639&lt;=12,"Q4")</f>
        <v>Q2</v>
      </c>
    </row>
    <row r="640" spans="1:17" x14ac:dyDescent="0.25">
      <c r="A640" s="8">
        <v>45838</v>
      </c>
      <c r="B640" s="9" t="s">
        <v>73</v>
      </c>
      <c r="C640" s="9" t="s">
        <v>74</v>
      </c>
      <c r="D640" s="9" t="s">
        <v>75</v>
      </c>
      <c r="E640" s="10">
        <v>96.16</v>
      </c>
      <c r="F640" s="10">
        <v>97.21</v>
      </c>
      <c r="G640" s="10">
        <v>95.37</v>
      </c>
      <c r="H640" s="10">
        <v>96.13</v>
      </c>
      <c r="I640" s="11">
        <v>1543189</v>
      </c>
      <c r="J640" s="10">
        <v>21148600000</v>
      </c>
      <c r="K640" s="30">
        <f t="shared" si="54"/>
        <v>-3.1198003327788201E-2</v>
      </c>
      <c r="L640" s="31">
        <f t="shared" si="55"/>
        <v>1.8399999999999892</v>
      </c>
      <c r="M640" s="30">
        <f t="shared" si="56"/>
        <v>1.9134775374375929E-2</v>
      </c>
      <c r="N640" s="20" t="str">
        <f t="shared" si="59"/>
        <v>Normal</v>
      </c>
      <c r="O640" s="32">
        <f t="shared" si="57"/>
        <v>21.148599999999998</v>
      </c>
      <c r="P640" s="20">
        <f t="shared" si="58"/>
        <v>6</v>
      </c>
      <c r="Q640" s="20" t="str" cm="1">
        <f t="array" ref="Q640">_xlfn.IFS(P640&lt;=3,"Q1",P640&lt;=6,"Q2",P640&lt;=9,"Q3",P640&lt;=12,"Q4")</f>
        <v>Q2</v>
      </c>
    </row>
    <row r="641" spans="1:17" x14ac:dyDescent="0.25">
      <c r="A641" s="14">
        <v>45838</v>
      </c>
      <c r="B641" s="15" t="s">
        <v>76</v>
      </c>
      <c r="C641" s="15" t="s">
        <v>77</v>
      </c>
      <c r="D641" s="15" t="s">
        <v>75</v>
      </c>
      <c r="E641" s="16">
        <v>148.57</v>
      </c>
      <c r="F641" s="16">
        <v>150.01</v>
      </c>
      <c r="G641" s="16">
        <v>147.93</v>
      </c>
      <c r="H641" s="16">
        <v>149.94</v>
      </c>
      <c r="I641" s="17">
        <v>1140572</v>
      </c>
      <c r="J641" s="16">
        <v>29988000000</v>
      </c>
      <c r="K641" s="30">
        <f t="shared" si="54"/>
        <v>0.92212425119472619</v>
      </c>
      <c r="L641" s="31">
        <f t="shared" si="55"/>
        <v>2.0799999999999841</v>
      </c>
      <c r="M641" s="30">
        <f t="shared" si="56"/>
        <v>1.40001346166789E-2</v>
      </c>
      <c r="N641" s="20" t="str">
        <f t="shared" si="59"/>
        <v>Normal</v>
      </c>
      <c r="O641" s="32">
        <f t="shared" si="57"/>
        <v>29.988</v>
      </c>
      <c r="P641" s="20">
        <f t="shared" si="58"/>
        <v>6</v>
      </c>
      <c r="Q641" s="20" t="str" cm="1">
        <f t="array" ref="Q641">_xlfn.IFS(P641&lt;=3,"Q1",P641&lt;=6,"Q2",P641&lt;=9,"Q3",P641&lt;=12,"Q4")</f>
        <v>Q2</v>
      </c>
    </row>
    <row r="642" spans="1:17" x14ac:dyDescent="0.25">
      <c r="A642" s="8">
        <v>45839</v>
      </c>
      <c r="B642" s="9" t="s">
        <v>60</v>
      </c>
      <c r="C642" s="9" t="s">
        <v>61</v>
      </c>
      <c r="D642" s="9" t="s">
        <v>62</v>
      </c>
      <c r="E642" s="10">
        <v>2574.36</v>
      </c>
      <c r="F642" s="10">
        <v>2586.4</v>
      </c>
      <c r="G642" s="10">
        <v>2560.7399999999998</v>
      </c>
      <c r="H642" s="10">
        <v>2574.48</v>
      </c>
      <c r="I642" s="11">
        <v>3184583</v>
      </c>
      <c r="J642" s="10">
        <v>3604272000000</v>
      </c>
      <c r="K642" s="30">
        <f t="shared" si="54"/>
        <v>4.6613527245564284E-3</v>
      </c>
      <c r="L642" s="31">
        <f t="shared" si="55"/>
        <v>25.660000000000309</v>
      </c>
      <c r="M642" s="30">
        <f t="shared" si="56"/>
        <v>9.9675259093523465E-3</v>
      </c>
      <c r="N642" s="20" t="str">
        <f t="shared" si="59"/>
        <v>High volume</v>
      </c>
      <c r="O642" s="32">
        <f t="shared" si="57"/>
        <v>3604.2719999999999</v>
      </c>
      <c r="P642" s="20">
        <f t="shared" si="58"/>
        <v>7</v>
      </c>
      <c r="Q642" s="20" t="str" cm="1">
        <f t="array" ref="Q642">_xlfn.IFS(P642&lt;=3,"Q1",P642&lt;=6,"Q2",P642&lt;=9,"Q3",P642&lt;=12,"Q4")</f>
        <v>Q3</v>
      </c>
    </row>
    <row r="643" spans="1:17" x14ac:dyDescent="0.25">
      <c r="A643" s="14">
        <v>45839</v>
      </c>
      <c r="B643" s="15" t="s">
        <v>65</v>
      </c>
      <c r="C643" s="15" t="s">
        <v>66</v>
      </c>
      <c r="D643" s="15" t="s">
        <v>67</v>
      </c>
      <c r="E643" s="16">
        <v>223.49</v>
      </c>
      <c r="F643" s="16">
        <v>224.5</v>
      </c>
      <c r="G643" s="16">
        <v>222.52</v>
      </c>
      <c r="H643" s="16">
        <v>223.82</v>
      </c>
      <c r="I643" s="17">
        <v>4268202</v>
      </c>
      <c r="J643" s="16">
        <v>55955000000</v>
      </c>
      <c r="K643" s="30">
        <f t="shared" ref="K643:K706" si="60">((H643-E643)/E643)*100</f>
        <v>0.14765761331602492</v>
      </c>
      <c r="L643" s="31">
        <f t="shared" ref="L643:L706" si="61">F643-G643</f>
        <v>1.9799999999999898</v>
      </c>
      <c r="M643" s="30">
        <f t="shared" ref="M643:M706" si="62">L643/E643</f>
        <v>8.8594567989618758E-3</v>
      </c>
      <c r="N643" s="20" t="str">
        <f t="shared" si="59"/>
        <v>High volume</v>
      </c>
      <c r="O643" s="32">
        <f t="shared" ref="O643:O706" si="63">J643/1000000000</f>
        <v>55.954999999999998</v>
      </c>
      <c r="P643" s="20">
        <f t="shared" ref="P643:P706" si="64">MONTH(A643)</f>
        <v>7</v>
      </c>
      <c r="Q643" s="20" t="str" cm="1">
        <f t="array" ref="Q643">_xlfn.IFS(P643&lt;=3,"Q1",P643&lt;=6,"Q2",P643&lt;=9,"Q3",P643&lt;=12,"Q4")</f>
        <v>Q3</v>
      </c>
    </row>
    <row r="644" spans="1:17" x14ac:dyDescent="0.25">
      <c r="A644" s="8">
        <v>45839</v>
      </c>
      <c r="B644" s="9" t="s">
        <v>69</v>
      </c>
      <c r="C644" s="9" t="s">
        <v>70</v>
      </c>
      <c r="D644" s="9" t="s">
        <v>71</v>
      </c>
      <c r="E644" s="10">
        <v>666.61</v>
      </c>
      <c r="F644" s="10">
        <v>667.61</v>
      </c>
      <c r="G644" s="10">
        <v>662.09</v>
      </c>
      <c r="H644" s="10">
        <v>665.92</v>
      </c>
      <c r="I644" s="11">
        <v>625331</v>
      </c>
      <c r="J644" s="10">
        <v>532736000000</v>
      </c>
      <c r="K644" s="30">
        <f t="shared" si="60"/>
        <v>-0.10350879824785925</v>
      </c>
      <c r="L644" s="31">
        <f t="shared" si="61"/>
        <v>5.5199999999999818</v>
      </c>
      <c r="M644" s="30">
        <f t="shared" si="62"/>
        <v>8.2807038598280581E-3</v>
      </c>
      <c r="N644" s="20" t="str">
        <f t="shared" ref="N644:N707" si="65">IF(I644&gt;2000000,"High volume","Normal")</f>
        <v>Normal</v>
      </c>
      <c r="O644" s="32">
        <f t="shared" si="63"/>
        <v>532.73599999999999</v>
      </c>
      <c r="P644" s="20">
        <f t="shared" si="64"/>
        <v>7</v>
      </c>
      <c r="Q644" s="20" t="str" cm="1">
        <f t="array" ref="Q644">_xlfn.IFS(P644&lt;=3,"Q1",P644&lt;=6,"Q2",P644&lt;=9,"Q3",P644&lt;=12,"Q4")</f>
        <v>Q3</v>
      </c>
    </row>
    <row r="645" spans="1:17" x14ac:dyDescent="0.25">
      <c r="A645" s="14">
        <v>45839</v>
      </c>
      <c r="B645" s="15" t="s">
        <v>73</v>
      </c>
      <c r="C645" s="15" t="s">
        <v>74</v>
      </c>
      <c r="D645" s="15" t="s">
        <v>75</v>
      </c>
      <c r="E645" s="16">
        <v>97.7</v>
      </c>
      <c r="F645" s="16">
        <v>98.97</v>
      </c>
      <c r="G645" s="16">
        <v>96.72</v>
      </c>
      <c r="H645" s="16">
        <v>98.27</v>
      </c>
      <c r="I645" s="17">
        <v>713482</v>
      </c>
      <c r="J645" s="16">
        <v>21619400000</v>
      </c>
      <c r="K645" s="30">
        <f t="shared" si="60"/>
        <v>0.58341862845444536</v>
      </c>
      <c r="L645" s="31">
        <f t="shared" si="61"/>
        <v>2.25</v>
      </c>
      <c r="M645" s="30">
        <f t="shared" si="62"/>
        <v>2.3029682702149435E-2</v>
      </c>
      <c r="N645" s="20" t="str">
        <f t="shared" si="65"/>
        <v>Normal</v>
      </c>
      <c r="O645" s="32">
        <f t="shared" si="63"/>
        <v>21.619399999999999</v>
      </c>
      <c r="P645" s="20">
        <f t="shared" si="64"/>
        <v>7</v>
      </c>
      <c r="Q645" s="20" t="str" cm="1">
        <f t="array" ref="Q645">_xlfn.IFS(P645&lt;=3,"Q1",P645&lt;=6,"Q2",P645&lt;=9,"Q3",P645&lt;=12,"Q4")</f>
        <v>Q3</v>
      </c>
    </row>
    <row r="646" spans="1:17" x14ac:dyDescent="0.25">
      <c r="A646" s="8">
        <v>45839</v>
      </c>
      <c r="B646" s="9" t="s">
        <v>76</v>
      </c>
      <c r="C646" s="9" t="s">
        <v>77</v>
      </c>
      <c r="D646" s="9" t="s">
        <v>75</v>
      </c>
      <c r="E646" s="10">
        <v>149.83000000000001</v>
      </c>
      <c r="F646" s="10">
        <v>152.53</v>
      </c>
      <c r="G646" s="10">
        <v>149.63999999999999</v>
      </c>
      <c r="H646" s="10">
        <v>152</v>
      </c>
      <c r="I646" s="11">
        <v>2842209</v>
      </c>
      <c r="J646" s="10">
        <v>30400000000</v>
      </c>
      <c r="K646" s="30">
        <f t="shared" si="60"/>
        <v>1.4483080824934842</v>
      </c>
      <c r="L646" s="31">
        <f t="shared" si="61"/>
        <v>2.8900000000000148</v>
      </c>
      <c r="M646" s="30">
        <f t="shared" si="62"/>
        <v>1.9288526997263661E-2</v>
      </c>
      <c r="N646" s="20" t="str">
        <f t="shared" si="65"/>
        <v>High volume</v>
      </c>
      <c r="O646" s="32">
        <f t="shared" si="63"/>
        <v>30.4</v>
      </c>
      <c r="P646" s="20">
        <f t="shared" si="64"/>
        <v>7</v>
      </c>
      <c r="Q646" s="20" t="str" cm="1">
        <f t="array" ref="Q646">_xlfn.IFS(P646&lt;=3,"Q1",P646&lt;=6,"Q2",P646&lt;=9,"Q3",P646&lt;=12,"Q4")</f>
        <v>Q3</v>
      </c>
    </row>
    <row r="647" spans="1:17" x14ac:dyDescent="0.25">
      <c r="A647" s="14">
        <v>45840</v>
      </c>
      <c r="B647" s="15" t="s">
        <v>60</v>
      </c>
      <c r="C647" s="15" t="s">
        <v>61</v>
      </c>
      <c r="D647" s="15" t="s">
        <v>62</v>
      </c>
      <c r="E647" s="16">
        <v>2570.29</v>
      </c>
      <c r="F647" s="16">
        <v>2585.0700000000002</v>
      </c>
      <c r="G647" s="16">
        <v>2533.6</v>
      </c>
      <c r="H647" s="16">
        <v>2577.77</v>
      </c>
      <c r="I647" s="17">
        <v>1123907</v>
      </c>
      <c r="J647" s="16">
        <v>3608878000000</v>
      </c>
      <c r="K647" s="30">
        <f t="shared" si="60"/>
        <v>0.29101774507934974</v>
      </c>
      <c r="L647" s="31">
        <f t="shared" si="61"/>
        <v>51.470000000000255</v>
      </c>
      <c r="M647" s="30">
        <f t="shared" si="62"/>
        <v>2.0024977726248887E-2</v>
      </c>
      <c r="N647" s="20" t="str">
        <f t="shared" si="65"/>
        <v>Normal</v>
      </c>
      <c r="O647" s="32">
        <f t="shared" si="63"/>
        <v>3608.8780000000002</v>
      </c>
      <c r="P647" s="20">
        <f t="shared" si="64"/>
        <v>7</v>
      </c>
      <c r="Q647" s="20" t="str" cm="1">
        <f t="array" ref="Q647">_xlfn.IFS(P647&lt;=3,"Q1",P647&lt;=6,"Q2",P647&lt;=9,"Q3",P647&lt;=12,"Q4")</f>
        <v>Q3</v>
      </c>
    </row>
    <row r="648" spans="1:17" x14ac:dyDescent="0.25">
      <c r="A648" s="8">
        <v>45840</v>
      </c>
      <c r="B648" s="9" t="s">
        <v>65</v>
      </c>
      <c r="C648" s="9" t="s">
        <v>66</v>
      </c>
      <c r="D648" s="9" t="s">
        <v>67</v>
      </c>
      <c r="E648" s="10">
        <v>226.24</v>
      </c>
      <c r="F648" s="10">
        <v>226.46</v>
      </c>
      <c r="G648" s="10">
        <v>225.31</v>
      </c>
      <c r="H648" s="10">
        <v>226.2</v>
      </c>
      <c r="I648" s="11">
        <v>2991638</v>
      </c>
      <c r="J648" s="10">
        <v>56550000000</v>
      </c>
      <c r="K648" s="30">
        <f t="shared" si="60"/>
        <v>-1.7680339462526725E-2</v>
      </c>
      <c r="L648" s="31">
        <f t="shared" si="61"/>
        <v>1.1500000000000057</v>
      </c>
      <c r="M648" s="30">
        <f t="shared" si="62"/>
        <v>5.0830975954738577E-3</v>
      </c>
      <c r="N648" s="20" t="str">
        <f t="shared" si="65"/>
        <v>High volume</v>
      </c>
      <c r="O648" s="32">
        <f t="shared" si="63"/>
        <v>56.55</v>
      </c>
      <c r="P648" s="20">
        <f t="shared" si="64"/>
        <v>7</v>
      </c>
      <c r="Q648" s="20" t="str" cm="1">
        <f t="array" ref="Q648">_xlfn.IFS(P648&lt;=3,"Q1",P648&lt;=6,"Q2",P648&lt;=9,"Q3",P648&lt;=12,"Q4")</f>
        <v>Q3</v>
      </c>
    </row>
    <row r="649" spans="1:17" x14ac:dyDescent="0.25">
      <c r="A649" s="14">
        <v>45840</v>
      </c>
      <c r="B649" s="15" t="s">
        <v>69</v>
      </c>
      <c r="C649" s="15" t="s">
        <v>70</v>
      </c>
      <c r="D649" s="15" t="s">
        <v>71</v>
      </c>
      <c r="E649" s="16">
        <v>681.71</v>
      </c>
      <c r="F649" s="16">
        <v>682.4</v>
      </c>
      <c r="G649" s="16">
        <v>676.09</v>
      </c>
      <c r="H649" s="16">
        <v>680.16</v>
      </c>
      <c r="I649" s="17">
        <v>1876518</v>
      </c>
      <c r="J649" s="16">
        <v>544128000000</v>
      </c>
      <c r="K649" s="30">
        <f t="shared" si="60"/>
        <v>-0.22736940927961569</v>
      </c>
      <c r="L649" s="31">
        <f t="shared" si="61"/>
        <v>6.3099999999999454</v>
      </c>
      <c r="M649" s="30">
        <f t="shared" si="62"/>
        <v>9.2561353068019315E-3</v>
      </c>
      <c r="N649" s="20" t="str">
        <f t="shared" si="65"/>
        <v>Normal</v>
      </c>
      <c r="O649" s="32">
        <f t="shared" si="63"/>
        <v>544.12800000000004</v>
      </c>
      <c r="P649" s="20">
        <f t="shared" si="64"/>
        <v>7</v>
      </c>
      <c r="Q649" s="20" t="str" cm="1">
        <f t="array" ref="Q649">_xlfn.IFS(P649&lt;=3,"Q1",P649&lt;=6,"Q2",P649&lt;=9,"Q3",P649&lt;=12,"Q4")</f>
        <v>Q3</v>
      </c>
    </row>
    <row r="650" spans="1:17" x14ac:dyDescent="0.25">
      <c r="A650" s="8">
        <v>45840</v>
      </c>
      <c r="B650" s="9" t="s">
        <v>73</v>
      </c>
      <c r="C650" s="9" t="s">
        <v>74</v>
      </c>
      <c r="D650" s="9" t="s">
        <v>75</v>
      </c>
      <c r="E650" s="10">
        <v>95.25</v>
      </c>
      <c r="F650" s="10">
        <v>95.85</v>
      </c>
      <c r="G650" s="10">
        <v>94.52</v>
      </c>
      <c r="H650" s="10">
        <v>95.21</v>
      </c>
      <c r="I650" s="11">
        <v>3436586</v>
      </c>
      <c r="J650" s="10">
        <v>20946200000</v>
      </c>
      <c r="K650" s="30">
        <f t="shared" si="60"/>
        <v>-4.1994750656174543E-2</v>
      </c>
      <c r="L650" s="31">
        <f t="shared" si="61"/>
        <v>1.3299999999999983</v>
      </c>
      <c r="M650" s="30">
        <f t="shared" si="62"/>
        <v>1.3963254593175834E-2</v>
      </c>
      <c r="N650" s="20" t="str">
        <f t="shared" si="65"/>
        <v>High volume</v>
      </c>
      <c r="O650" s="32">
        <f t="shared" si="63"/>
        <v>20.946200000000001</v>
      </c>
      <c r="P650" s="20">
        <f t="shared" si="64"/>
        <v>7</v>
      </c>
      <c r="Q650" s="20" t="str" cm="1">
        <f t="array" ref="Q650">_xlfn.IFS(P650&lt;=3,"Q1",P650&lt;=6,"Q2",P650&lt;=9,"Q3",P650&lt;=12,"Q4")</f>
        <v>Q3</v>
      </c>
    </row>
    <row r="651" spans="1:17" x14ac:dyDescent="0.25">
      <c r="A651" s="14">
        <v>45840</v>
      </c>
      <c r="B651" s="15" t="s">
        <v>76</v>
      </c>
      <c r="C651" s="15" t="s">
        <v>77</v>
      </c>
      <c r="D651" s="15" t="s">
        <v>75</v>
      </c>
      <c r="E651" s="16">
        <v>153.47999999999999</v>
      </c>
      <c r="F651" s="16">
        <v>154.12</v>
      </c>
      <c r="G651" s="16">
        <v>152.15</v>
      </c>
      <c r="H651" s="16">
        <v>152.46</v>
      </c>
      <c r="I651" s="17">
        <v>2909889</v>
      </c>
      <c r="J651" s="16">
        <v>30492000000</v>
      </c>
      <c r="K651" s="30">
        <f t="shared" si="60"/>
        <v>-0.66458170445659492</v>
      </c>
      <c r="L651" s="31">
        <f t="shared" si="61"/>
        <v>1.9699999999999989</v>
      </c>
      <c r="M651" s="30">
        <f t="shared" si="62"/>
        <v>1.2835548605681516E-2</v>
      </c>
      <c r="N651" s="20" t="str">
        <f t="shared" si="65"/>
        <v>High volume</v>
      </c>
      <c r="O651" s="32">
        <f t="shared" si="63"/>
        <v>30.492000000000001</v>
      </c>
      <c r="P651" s="20">
        <f t="shared" si="64"/>
        <v>7</v>
      </c>
      <c r="Q651" s="20" t="str" cm="1">
        <f t="array" ref="Q651">_xlfn.IFS(P651&lt;=3,"Q1",P651&lt;=6,"Q2",P651&lt;=9,"Q3",P651&lt;=12,"Q4")</f>
        <v>Q3</v>
      </c>
    </row>
    <row r="652" spans="1:17" x14ac:dyDescent="0.25">
      <c r="A652" s="8">
        <v>45841</v>
      </c>
      <c r="B652" s="9" t="s">
        <v>60</v>
      </c>
      <c r="C652" s="9" t="s">
        <v>61</v>
      </c>
      <c r="D652" s="9" t="s">
        <v>62</v>
      </c>
      <c r="E652" s="10">
        <v>2568.41</v>
      </c>
      <c r="F652" s="10">
        <v>2588.62</v>
      </c>
      <c r="G652" s="10">
        <v>2563.64</v>
      </c>
      <c r="H652" s="10">
        <v>2577.85</v>
      </c>
      <c r="I652" s="11">
        <v>1757414</v>
      </c>
      <c r="J652" s="10">
        <v>3608990000000</v>
      </c>
      <c r="K652" s="30">
        <f t="shared" si="60"/>
        <v>0.36754256524464768</v>
      </c>
      <c r="L652" s="31">
        <f t="shared" si="61"/>
        <v>24.980000000000018</v>
      </c>
      <c r="M652" s="30">
        <f t="shared" si="62"/>
        <v>9.7258615252237834E-3</v>
      </c>
      <c r="N652" s="20" t="str">
        <f t="shared" si="65"/>
        <v>Normal</v>
      </c>
      <c r="O652" s="32">
        <f t="shared" si="63"/>
        <v>3608.99</v>
      </c>
      <c r="P652" s="20">
        <f t="shared" si="64"/>
        <v>7</v>
      </c>
      <c r="Q652" s="20" t="str" cm="1">
        <f t="array" ref="Q652">_xlfn.IFS(P652&lt;=3,"Q1",P652&lt;=6,"Q2",P652&lt;=9,"Q3",P652&lt;=12,"Q4")</f>
        <v>Q3</v>
      </c>
    </row>
    <row r="653" spans="1:17" x14ac:dyDescent="0.25">
      <c r="A653" s="14">
        <v>45841</v>
      </c>
      <c r="B653" s="15" t="s">
        <v>65</v>
      </c>
      <c r="C653" s="15" t="s">
        <v>66</v>
      </c>
      <c r="D653" s="15" t="s">
        <v>67</v>
      </c>
      <c r="E653" s="16">
        <v>222.19</v>
      </c>
      <c r="F653" s="16">
        <v>223.37</v>
      </c>
      <c r="G653" s="16">
        <v>219.04</v>
      </c>
      <c r="H653" s="16">
        <v>222.66</v>
      </c>
      <c r="I653" s="17">
        <v>2392876</v>
      </c>
      <c r="J653" s="16">
        <v>55665000000</v>
      </c>
      <c r="K653" s="30">
        <f t="shared" si="60"/>
        <v>0.21153067194743186</v>
      </c>
      <c r="L653" s="31">
        <f t="shared" si="61"/>
        <v>4.3300000000000125</v>
      </c>
      <c r="M653" s="30">
        <f t="shared" si="62"/>
        <v>1.9487825734731592E-2</v>
      </c>
      <c r="N653" s="20" t="str">
        <f t="shared" si="65"/>
        <v>High volume</v>
      </c>
      <c r="O653" s="32">
        <f t="shared" si="63"/>
        <v>55.664999999999999</v>
      </c>
      <c r="P653" s="20">
        <f t="shared" si="64"/>
        <v>7</v>
      </c>
      <c r="Q653" s="20" t="str" cm="1">
        <f t="array" ref="Q653">_xlfn.IFS(P653&lt;=3,"Q1",P653&lt;=6,"Q2",P653&lt;=9,"Q3",P653&lt;=12,"Q4")</f>
        <v>Q3</v>
      </c>
    </row>
    <row r="654" spans="1:17" x14ac:dyDescent="0.25">
      <c r="A654" s="8">
        <v>45841</v>
      </c>
      <c r="B654" s="9" t="s">
        <v>69</v>
      </c>
      <c r="C654" s="9" t="s">
        <v>70</v>
      </c>
      <c r="D654" s="9" t="s">
        <v>71</v>
      </c>
      <c r="E654" s="10">
        <v>683.51</v>
      </c>
      <c r="F654" s="10">
        <v>683.87</v>
      </c>
      <c r="G654" s="10">
        <v>681.18</v>
      </c>
      <c r="H654" s="10">
        <v>682.17</v>
      </c>
      <c r="I654" s="11">
        <v>4194146</v>
      </c>
      <c r="J654" s="10">
        <v>545736000000</v>
      </c>
      <c r="K654" s="30">
        <f t="shared" si="60"/>
        <v>-0.19604687568580298</v>
      </c>
      <c r="L654" s="31">
        <f t="shared" si="61"/>
        <v>2.6900000000000546</v>
      </c>
      <c r="M654" s="30">
        <f t="shared" si="62"/>
        <v>3.9355678775731947E-3</v>
      </c>
      <c r="N654" s="20" t="str">
        <f t="shared" si="65"/>
        <v>High volume</v>
      </c>
      <c r="O654" s="32">
        <f t="shared" si="63"/>
        <v>545.73599999999999</v>
      </c>
      <c r="P654" s="20">
        <f t="shared" si="64"/>
        <v>7</v>
      </c>
      <c r="Q654" s="20" t="str" cm="1">
        <f t="array" ref="Q654">_xlfn.IFS(P654&lt;=3,"Q1",P654&lt;=6,"Q2",P654&lt;=9,"Q3",P654&lt;=12,"Q4")</f>
        <v>Q3</v>
      </c>
    </row>
    <row r="655" spans="1:17" x14ac:dyDescent="0.25">
      <c r="A655" s="14">
        <v>45841</v>
      </c>
      <c r="B655" s="15" t="s">
        <v>73</v>
      </c>
      <c r="C655" s="15" t="s">
        <v>74</v>
      </c>
      <c r="D655" s="15" t="s">
        <v>75</v>
      </c>
      <c r="E655" s="16">
        <v>95.96</v>
      </c>
      <c r="F655" s="16">
        <v>97.05</v>
      </c>
      <c r="G655" s="16">
        <v>95.92</v>
      </c>
      <c r="H655" s="16">
        <v>96.06</v>
      </c>
      <c r="I655" s="17">
        <v>556382</v>
      </c>
      <c r="J655" s="16">
        <v>21133200000</v>
      </c>
      <c r="K655" s="30">
        <f t="shared" si="60"/>
        <v>0.10421008753648242</v>
      </c>
      <c r="L655" s="31">
        <f t="shared" si="61"/>
        <v>1.1299999999999955</v>
      </c>
      <c r="M655" s="30">
        <f t="shared" si="62"/>
        <v>1.1775739891621463E-2</v>
      </c>
      <c r="N655" s="20" t="str">
        <f t="shared" si="65"/>
        <v>Normal</v>
      </c>
      <c r="O655" s="32">
        <f t="shared" si="63"/>
        <v>21.133199999999999</v>
      </c>
      <c r="P655" s="20">
        <f t="shared" si="64"/>
        <v>7</v>
      </c>
      <c r="Q655" s="20" t="str" cm="1">
        <f t="array" ref="Q655">_xlfn.IFS(P655&lt;=3,"Q1",P655&lt;=6,"Q2",P655&lt;=9,"Q3",P655&lt;=12,"Q4")</f>
        <v>Q3</v>
      </c>
    </row>
    <row r="656" spans="1:17" x14ac:dyDescent="0.25">
      <c r="A656" s="8">
        <v>45841</v>
      </c>
      <c r="B656" s="9" t="s">
        <v>76</v>
      </c>
      <c r="C656" s="9" t="s">
        <v>77</v>
      </c>
      <c r="D656" s="9" t="s">
        <v>75</v>
      </c>
      <c r="E656" s="10">
        <v>152.62</v>
      </c>
      <c r="F656" s="10">
        <v>154.03</v>
      </c>
      <c r="G656" s="10">
        <v>149.69</v>
      </c>
      <c r="H656" s="10">
        <v>151.75</v>
      </c>
      <c r="I656" s="11">
        <v>4924922</v>
      </c>
      <c r="J656" s="10">
        <v>30350000000</v>
      </c>
      <c r="K656" s="30">
        <f t="shared" si="60"/>
        <v>-0.57004324465994272</v>
      </c>
      <c r="L656" s="31">
        <f t="shared" si="61"/>
        <v>4.3400000000000034</v>
      </c>
      <c r="M656" s="30">
        <f t="shared" si="62"/>
        <v>2.843664002096713E-2</v>
      </c>
      <c r="N656" s="20" t="str">
        <f t="shared" si="65"/>
        <v>High volume</v>
      </c>
      <c r="O656" s="32">
        <f t="shared" si="63"/>
        <v>30.35</v>
      </c>
      <c r="P656" s="20">
        <f t="shared" si="64"/>
        <v>7</v>
      </c>
      <c r="Q656" s="20" t="str" cm="1">
        <f t="array" ref="Q656">_xlfn.IFS(P656&lt;=3,"Q1",P656&lt;=6,"Q2",P656&lt;=9,"Q3",P656&lt;=12,"Q4")</f>
        <v>Q3</v>
      </c>
    </row>
    <row r="657" spans="1:17" x14ac:dyDescent="0.25">
      <c r="A657" s="14">
        <v>45842</v>
      </c>
      <c r="B657" s="15" t="s">
        <v>60</v>
      </c>
      <c r="C657" s="15" t="s">
        <v>61</v>
      </c>
      <c r="D657" s="15" t="s">
        <v>62</v>
      </c>
      <c r="E657" s="16">
        <v>2611.02</v>
      </c>
      <c r="F657" s="16">
        <v>2618.34</v>
      </c>
      <c r="G657" s="16">
        <v>2600.91</v>
      </c>
      <c r="H657" s="16">
        <v>2616.5</v>
      </c>
      <c r="I657" s="17">
        <v>1058262</v>
      </c>
      <c r="J657" s="16">
        <v>3663100000000</v>
      </c>
      <c r="K657" s="30">
        <f t="shared" si="60"/>
        <v>0.20987966388614482</v>
      </c>
      <c r="L657" s="31">
        <f t="shared" si="61"/>
        <v>17.430000000000291</v>
      </c>
      <c r="M657" s="30">
        <f t="shared" si="62"/>
        <v>6.6755520830940746E-3</v>
      </c>
      <c r="N657" s="20" t="str">
        <f t="shared" si="65"/>
        <v>Normal</v>
      </c>
      <c r="O657" s="32">
        <f t="shared" si="63"/>
        <v>3663.1</v>
      </c>
      <c r="P657" s="20">
        <f t="shared" si="64"/>
        <v>7</v>
      </c>
      <c r="Q657" s="20" t="str" cm="1">
        <f t="array" ref="Q657">_xlfn.IFS(P657&lt;=3,"Q1",P657&lt;=6,"Q2",P657&lt;=9,"Q3",P657&lt;=12,"Q4")</f>
        <v>Q3</v>
      </c>
    </row>
    <row r="658" spans="1:17" x14ac:dyDescent="0.25">
      <c r="A658" s="8">
        <v>45842</v>
      </c>
      <c r="B658" s="9" t="s">
        <v>65</v>
      </c>
      <c r="C658" s="9" t="s">
        <v>66</v>
      </c>
      <c r="D658" s="9" t="s">
        <v>67</v>
      </c>
      <c r="E658" s="10">
        <v>221.98</v>
      </c>
      <c r="F658" s="10">
        <v>223.69</v>
      </c>
      <c r="G658" s="10">
        <v>220.78</v>
      </c>
      <c r="H658" s="10">
        <v>223.59</v>
      </c>
      <c r="I658" s="11">
        <v>2156827</v>
      </c>
      <c r="J658" s="10">
        <v>55897500000</v>
      </c>
      <c r="K658" s="30">
        <f t="shared" si="60"/>
        <v>0.72529056671772851</v>
      </c>
      <c r="L658" s="31">
        <f t="shared" si="61"/>
        <v>2.9099999999999966</v>
      </c>
      <c r="M658" s="30">
        <f t="shared" si="62"/>
        <v>1.3109289125146395E-2</v>
      </c>
      <c r="N658" s="20" t="str">
        <f t="shared" si="65"/>
        <v>High volume</v>
      </c>
      <c r="O658" s="32">
        <f t="shared" si="63"/>
        <v>55.897500000000001</v>
      </c>
      <c r="P658" s="20">
        <f t="shared" si="64"/>
        <v>7</v>
      </c>
      <c r="Q658" s="20" t="str" cm="1">
        <f t="array" ref="Q658">_xlfn.IFS(P658&lt;=3,"Q1",P658&lt;=6,"Q2",P658&lt;=9,"Q3",P658&lt;=12,"Q4")</f>
        <v>Q3</v>
      </c>
    </row>
    <row r="659" spans="1:17" x14ac:dyDescent="0.25">
      <c r="A659" s="14">
        <v>45842</v>
      </c>
      <c r="B659" s="15" t="s">
        <v>69</v>
      </c>
      <c r="C659" s="15" t="s">
        <v>70</v>
      </c>
      <c r="D659" s="15" t="s">
        <v>71</v>
      </c>
      <c r="E659" s="16">
        <v>693.69</v>
      </c>
      <c r="F659" s="16">
        <v>698.71</v>
      </c>
      <c r="G659" s="16">
        <v>687.02</v>
      </c>
      <c r="H659" s="16">
        <v>690.17</v>
      </c>
      <c r="I659" s="17">
        <v>3735195</v>
      </c>
      <c r="J659" s="16">
        <v>552136000000</v>
      </c>
      <c r="K659" s="30">
        <f t="shared" si="60"/>
        <v>-0.5074312733353652</v>
      </c>
      <c r="L659" s="31">
        <f t="shared" si="61"/>
        <v>11.690000000000055</v>
      </c>
      <c r="M659" s="30">
        <f t="shared" si="62"/>
        <v>1.6851907912756495E-2</v>
      </c>
      <c r="N659" s="20" t="str">
        <f t="shared" si="65"/>
        <v>High volume</v>
      </c>
      <c r="O659" s="32">
        <f t="shared" si="63"/>
        <v>552.13599999999997</v>
      </c>
      <c r="P659" s="20">
        <f t="shared" si="64"/>
        <v>7</v>
      </c>
      <c r="Q659" s="20" t="str" cm="1">
        <f t="array" ref="Q659">_xlfn.IFS(P659&lt;=3,"Q1",P659&lt;=6,"Q2",P659&lt;=9,"Q3",P659&lt;=12,"Q4")</f>
        <v>Q3</v>
      </c>
    </row>
    <row r="660" spans="1:17" x14ac:dyDescent="0.25">
      <c r="A660" s="8">
        <v>45842</v>
      </c>
      <c r="B660" s="9" t="s">
        <v>73</v>
      </c>
      <c r="C660" s="9" t="s">
        <v>74</v>
      </c>
      <c r="D660" s="9" t="s">
        <v>75</v>
      </c>
      <c r="E660" s="10">
        <v>93.21</v>
      </c>
      <c r="F660" s="10">
        <v>93.33</v>
      </c>
      <c r="G660" s="10">
        <v>92.1</v>
      </c>
      <c r="H660" s="10">
        <v>92.68</v>
      </c>
      <c r="I660" s="11">
        <v>1409931</v>
      </c>
      <c r="J660" s="10">
        <v>20389600000</v>
      </c>
      <c r="K660" s="30">
        <f t="shared" si="60"/>
        <v>-0.56860851839929938</v>
      </c>
      <c r="L660" s="31">
        <f t="shared" si="61"/>
        <v>1.230000000000004</v>
      </c>
      <c r="M660" s="30">
        <f t="shared" si="62"/>
        <v>1.3196009011908637E-2</v>
      </c>
      <c r="N660" s="20" t="str">
        <f t="shared" si="65"/>
        <v>Normal</v>
      </c>
      <c r="O660" s="32">
        <f t="shared" si="63"/>
        <v>20.389600000000002</v>
      </c>
      <c r="P660" s="20">
        <f t="shared" si="64"/>
        <v>7</v>
      </c>
      <c r="Q660" s="20" t="str" cm="1">
        <f t="array" ref="Q660">_xlfn.IFS(P660&lt;=3,"Q1",P660&lt;=6,"Q2",P660&lt;=9,"Q3",P660&lt;=12,"Q4")</f>
        <v>Q3</v>
      </c>
    </row>
    <row r="661" spans="1:17" x14ac:dyDescent="0.25">
      <c r="A661" s="14">
        <v>45842</v>
      </c>
      <c r="B661" s="15" t="s">
        <v>76</v>
      </c>
      <c r="C661" s="15" t="s">
        <v>77</v>
      </c>
      <c r="D661" s="15" t="s">
        <v>75</v>
      </c>
      <c r="E661" s="16">
        <v>151.07</v>
      </c>
      <c r="F661" s="16">
        <v>152.05000000000001</v>
      </c>
      <c r="G661" s="16">
        <v>149.76</v>
      </c>
      <c r="H661" s="16">
        <v>149.78</v>
      </c>
      <c r="I661" s="17">
        <v>2417204</v>
      </c>
      <c r="J661" s="16">
        <v>29956000000</v>
      </c>
      <c r="K661" s="30">
        <f t="shared" si="60"/>
        <v>-0.85390878400740855</v>
      </c>
      <c r="L661" s="31">
        <f t="shared" si="61"/>
        <v>2.2900000000000205</v>
      </c>
      <c r="M661" s="30">
        <f t="shared" si="62"/>
        <v>1.5158535778116241E-2</v>
      </c>
      <c r="N661" s="20" t="str">
        <f t="shared" si="65"/>
        <v>High volume</v>
      </c>
      <c r="O661" s="32">
        <f t="shared" si="63"/>
        <v>29.956</v>
      </c>
      <c r="P661" s="20">
        <f t="shared" si="64"/>
        <v>7</v>
      </c>
      <c r="Q661" s="20" t="str" cm="1">
        <f t="array" ref="Q661">_xlfn.IFS(P661&lt;=3,"Q1",P661&lt;=6,"Q2",P661&lt;=9,"Q3",P661&lt;=12,"Q4")</f>
        <v>Q3</v>
      </c>
    </row>
    <row r="662" spans="1:17" x14ac:dyDescent="0.25">
      <c r="A662" s="8">
        <v>45845</v>
      </c>
      <c r="B662" s="9" t="s">
        <v>60</v>
      </c>
      <c r="C662" s="9" t="s">
        <v>61</v>
      </c>
      <c r="D662" s="9" t="s">
        <v>62</v>
      </c>
      <c r="E662" s="10">
        <v>2544.02</v>
      </c>
      <c r="F662" s="10">
        <v>2574.6799999999998</v>
      </c>
      <c r="G662" s="10">
        <v>2536.6</v>
      </c>
      <c r="H662" s="10">
        <v>2547.09</v>
      </c>
      <c r="I662" s="11">
        <v>3458104</v>
      </c>
      <c r="J662" s="10">
        <v>3565926000000</v>
      </c>
      <c r="K662" s="30">
        <f t="shared" si="60"/>
        <v>0.12067515192491268</v>
      </c>
      <c r="L662" s="31">
        <f t="shared" si="61"/>
        <v>38.079999999999927</v>
      </c>
      <c r="M662" s="30">
        <f t="shared" si="62"/>
        <v>1.4968435782737528E-2</v>
      </c>
      <c r="N662" s="20" t="str">
        <f t="shared" si="65"/>
        <v>High volume</v>
      </c>
      <c r="O662" s="32">
        <f t="shared" si="63"/>
        <v>3565.9259999999999</v>
      </c>
      <c r="P662" s="20">
        <f t="shared" si="64"/>
        <v>7</v>
      </c>
      <c r="Q662" s="20" t="str" cm="1">
        <f t="array" ref="Q662">_xlfn.IFS(P662&lt;=3,"Q1",P662&lt;=6,"Q2",P662&lt;=9,"Q3",P662&lt;=12,"Q4")</f>
        <v>Q3</v>
      </c>
    </row>
    <row r="663" spans="1:17" x14ac:dyDescent="0.25">
      <c r="A663" s="14">
        <v>45845</v>
      </c>
      <c r="B663" s="15" t="s">
        <v>65</v>
      </c>
      <c r="C663" s="15" t="s">
        <v>66</v>
      </c>
      <c r="D663" s="15" t="s">
        <v>67</v>
      </c>
      <c r="E663" s="16">
        <v>218.51</v>
      </c>
      <c r="F663" s="16">
        <v>219.66</v>
      </c>
      <c r="G663" s="16">
        <v>216.95</v>
      </c>
      <c r="H663" s="16">
        <v>217.54</v>
      </c>
      <c r="I663" s="17">
        <v>2834576</v>
      </c>
      <c r="J663" s="16">
        <v>54385000000</v>
      </c>
      <c r="K663" s="30">
        <f t="shared" si="60"/>
        <v>-0.44391561026955234</v>
      </c>
      <c r="L663" s="31">
        <f t="shared" si="61"/>
        <v>2.710000000000008</v>
      </c>
      <c r="M663" s="30">
        <f t="shared" si="62"/>
        <v>1.2402178390005071E-2</v>
      </c>
      <c r="N663" s="20" t="str">
        <f t="shared" si="65"/>
        <v>High volume</v>
      </c>
      <c r="O663" s="32">
        <f t="shared" si="63"/>
        <v>54.384999999999998</v>
      </c>
      <c r="P663" s="20">
        <f t="shared" si="64"/>
        <v>7</v>
      </c>
      <c r="Q663" s="20" t="str" cm="1">
        <f t="array" ref="Q663">_xlfn.IFS(P663&lt;=3,"Q1",P663&lt;=6,"Q2",P663&lt;=9,"Q3",P663&lt;=12,"Q4")</f>
        <v>Q3</v>
      </c>
    </row>
    <row r="664" spans="1:17" x14ac:dyDescent="0.25">
      <c r="A664" s="8">
        <v>45845</v>
      </c>
      <c r="B664" s="9" t="s">
        <v>69</v>
      </c>
      <c r="C664" s="9" t="s">
        <v>70</v>
      </c>
      <c r="D664" s="9" t="s">
        <v>71</v>
      </c>
      <c r="E664" s="10">
        <v>681.78</v>
      </c>
      <c r="F664" s="10">
        <v>690.91</v>
      </c>
      <c r="G664" s="10">
        <v>679.76</v>
      </c>
      <c r="H664" s="10">
        <v>685.46</v>
      </c>
      <c r="I664" s="11">
        <v>3439266</v>
      </c>
      <c r="J664" s="10">
        <v>548368000000</v>
      </c>
      <c r="K664" s="30">
        <f t="shared" si="60"/>
        <v>0.53976356009270787</v>
      </c>
      <c r="L664" s="31">
        <f t="shared" si="61"/>
        <v>11.149999999999977</v>
      </c>
      <c r="M664" s="30">
        <f t="shared" si="62"/>
        <v>1.6354249171286892E-2</v>
      </c>
      <c r="N664" s="20" t="str">
        <f t="shared" si="65"/>
        <v>High volume</v>
      </c>
      <c r="O664" s="32">
        <f t="shared" si="63"/>
        <v>548.36800000000005</v>
      </c>
      <c r="P664" s="20">
        <f t="shared" si="64"/>
        <v>7</v>
      </c>
      <c r="Q664" s="20" t="str" cm="1">
        <f t="array" ref="Q664">_xlfn.IFS(P664&lt;=3,"Q1",P664&lt;=6,"Q2",P664&lt;=9,"Q3",P664&lt;=12,"Q4")</f>
        <v>Q3</v>
      </c>
    </row>
    <row r="665" spans="1:17" x14ac:dyDescent="0.25">
      <c r="A665" s="14">
        <v>45845</v>
      </c>
      <c r="B665" s="15" t="s">
        <v>73</v>
      </c>
      <c r="C665" s="15" t="s">
        <v>74</v>
      </c>
      <c r="D665" s="15" t="s">
        <v>75</v>
      </c>
      <c r="E665" s="16">
        <v>93.09</v>
      </c>
      <c r="F665" s="16">
        <v>94.02</v>
      </c>
      <c r="G665" s="16">
        <v>92.71</v>
      </c>
      <c r="H665" s="16">
        <v>93.08</v>
      </c>
      <c r="I665" s="17">
        <v>1206846</v>
      </c>
      <c r="J665" s="16">
        <v>20477600000</v>
      </c>
      <c r="K665" s="30">
        <f t="shared" si="60"/>
        <v>-1.0742292405204764E-2</v>
      </c>
      <c r="L665" s="31">
        <f t="shared" si="61"/>
        <v>1.3100000000000023</v>
      </c>
      <c r="M665" s="30">
        <f t="shared" si="62"/>
        <v>1.4072403050811068E-2</v>
      </c>
      <c r="N665" s="20" t="str">
        <f t="shared" si="65"/>
        <v>Normal</v>
      </c>
      <c r="O665" s="32">
        <f t="shared" si="63"/>
        <v>20.477599999999999</v>
      </c>
      <c r="P665" s="20">
        <f t="shared" si="64"/>
        <v>7</v>
      </c>
      <c r="Q665" s="20" t="str" cm="1">
        <f t="array" ref="Q665">_xlfn.IFS(P665&lt;=3,"Q1",P665&lt;=6,"Q2",P665&lt;=9,"Q3",P665&lt;=12,"Q4")</f>
        <v>Q3</v>
      </c>
    </row>
    <row r="666" spans="1:17" x14ac:dyDescent="0.25">
      <c r="A666" s="8">
        <v>45845</v>
      </c>
      <c r="B666" s="9" t="s">
        <v>76</v>
      </c>
      <c r="C666" s="9" t="s">
        <v>77</v>
      </c>
      <c r="D666" s="9" t="s">
        <v>75</v>
      </c>
      <c r="E666" s="10">
        <v>147.79</v>
      </c>
      <c r="F666" s="10">
        <v>147.91</v>
      </c>
      <c r="G666" s="10">
        <v>147.62</v>
      </c>
      <c r="H666" s="10">
        <v>147.69999999999999</v>
      </c>
      <c r="I666" s="11">
        <v>2806441</v>
      </c>
      <c r="J666" s="10">
        <v>29540000000</v>
      </c>
      <c r="K666" s="30">
        <f t="shared" si="60"/>
        <v>-6.0897219027000078E-2</v>
      </c>
      <c r="L666" s="31">
        <f t="shared" si="61"/>
        <v>0.28999999999999204</v>
      </c>
      <c r="M666" s="30">
        <f t="shared" si="62"/>
        <v>1.9622437242032076E-3</v>
      </c>
      <c r="N666" s="20" t="str">
        <f t="shared" si="65"/>
        <v>High volume</v>
      </c>
      <c r="O666" s="32">
        <f t="shared" si="63"/>
        <v>29.54</v>
      </c>
      <c r="P666" s="20">
        <f t="shared" si="64"/>
        <v>7</v>
      </c>
      <c r="Q666" s="20" t="str" cm="1">
        <f t="array" ref="Q666">_xlfn.IFS(P666&lt;=3,"Q1",P666&lt;=6,"Q2",P666&lt;=9,"Q3",P666&lt;=12,"Q4")</f>
        <v>Q3</v>
      </c>
    </row>
    <row r="667" spans="1:17" x14ac:dyDescent="0.25">
      <c r="A667" s="14">
        <v>45846</v>
      </c>
      <c r="B667" s="15" t="s">
        <v>60</v>
      </c>
      <c r="C667" s="15" t="s">
        <v>61</v>
      </c>
      <c r="D667" s="15" t="s">
        <v>62</v>
      </c>
      <c r="E667" s="16">
        <v>2581.0100000000002</v>
      </c>
      <c r="F667" s="16">
        <v>2590.42</v>
      </c>
      <c r="G667" s="16">
        <v>2557.9299999999998</v>
      </c>
      <c r="H667" s="16">
        <v>2565.7399999999998</v>
      </c>
      <c r="I667" s="17">
        <v>776260</v>
      </c>
      <c r="J667" s="16">
        <v>3592036000000</v>
      </c>
      <c r="K667" s="30">
        <f t="shared" si="60"/>
        <v>-0.59162885847015068</v>
      </c>
      <c r="L667" s="31">
        <f t="shared" si="61"/>
        <v>32.490000000000236</v>
      </c>
      <c r="M667" s="30">
        <f t="shared" si="62"/>
        <v>1.2588095358018851E-2</v>
      </c>
      <c r="N667" s="20" t="str">
        <f t="shared" si="65"/>
        <v>Normal</v>
      </c>
      <c r="O667" s="32">
        <f t="shared" si="63"/>
        <v>3592.0360000000001</v>
      </c>
      <c r="P667" s="20">
        <f t="shared" si="64"/>
        <v>7</v>
      </c>
      <c r="Q667" s="20" t="str" cm="1">
        <f t="array" ref="Q667">_xlfn.IFS(P667&lt;=3,"Q1",P667&lt;=6,"Q2",P667&lt;=9,"Q3",P667&lt;=12,"Q4")</f>
        <v>Q3</v>
      </c>
    </row>
    <row r="668" spans="1:17" x14ac:dyDescent="0.25">
      <c r="A668" s="8">
        <v>45846</v>
      </c>
      <c r="B668" s="9" t="s">
        <v>65</v>
      </c>
      <c r="C668" s="9" t="s">
        <v>66</v>
      </c>
      <c r="D668" s="9" t="s">
        <v>67</v>
      </c>
      <c r="E668" s="10">
        <v>219.59</v>
      </c>
      <c r="F668" s="10">
        <v>222.56</v>
      </c>
      <c r="G668" s="10">
        <v>217.5</v>
      </c>
      <c r="H668" s="10">
        <v>220.94</v>
      </c>
      <c r="I668" s="11">
        <v>513534</v>
      </c>
      <c r="J668" s="10">
        <v>55235000000</v>
      </c>
      <c r="K668" s="30">
        <f t="shared" si="60"/>
        <v>0.61478209390226979</v>
      </c>
      <c r="L668" s="31">
        <f t="shared" si="61"/>
        <v>5.0600000000000023</v>
      </c>
      <c r="M668" s="30">
        <f t="shared" si="62"/>
        <v>2.3042943667744443E-2</v>
      </c>
      <c r="N668" s="20" t="str">
        <f t="shared" si="65"/>
        <v>Normal</v>
      </c>
      <c r="O668" s="32">
        <f t="shared" si="63"/>
        <v>55.234999999999999</v>
      </c>
      <c r="P668" s="20">
        <f t="shared" si="64"/>
        <v>7</v>
      </c>
      <c r="Q668" s="20" t="str" cm="1">
        <f t="array" ref="Q668">_xlfn.IFS(P668&lt;=3,"Q1",P668&lt;=6,"Q2",P668&lt;=9,"Q3",P668&lt;=12,"Q4")</f>
        <v>Q3</v>
      </c>
    </row>
    <row r="669" spans="1:17" x14ac:dyDescent="0.25">
      <c r="A669" s="14">
        <v>45846</v>
      </c>
      <c r="B669" s="15" t="s">
        <v>69</v>
      </c>
      <c r="C669" s="15" t="s">
        <v>70</v>
      </c>
      <c r="D669" s="15" t="s">
        <v>71</v>
      </c>
      <c r="E669" s="16">
        <v>676.71</v>
      </c>
      <c r="F669" s="16">
        <v>687.19</v>
      </c>
      <c r="G669" s="16">
        <v>661.2</v>
      </c>
      <c r="H669" s="16">
        <v>667.94</v>
      </c>
      <c r="I669" s="17">
        <v>3811183</v>
      </c>
      <c r="J669" s="16">
        <v>534352000000</v>
      </c>
      <c r="K669" s="30">
        <f t="shared" si="60"/>
        <v>-1.295976119755875</v>
      </c>
      <c r="L669" s="31">
        <f t="shared" si="61"/>
        <v>25.990000000000009</v>
      </c>
      <c r="M669" s="30">
        <f t="shared" si="62"/>
        <v>3.8406407471442729E-2</v>
      </c>
      <c r="N669" s="20" t="str">
        <f t="shared" si="65"/>
        <v>High volume</v>
      </c>
      <c r="O669" s="32">
        <f t="shared" si="63"/>
        <v>534.35199999999998</v>
      </c>
      <c r="P669" s="20">
        <f t="shared" si="64"/>
        <v>7</v>
      </c>
      <c r="Q669" s="20" t="str" cm="1">
        <f t="array" ref="Q669">_xlfn.IFS(P669&lt;=3,"Q1",P669&lt;=6,"Q2",P669&lt;=9,"Q3",P669&lt;=12,"Q4")</f>
        <v>Q3</v>
      </c>
    </row>
    <row r="670" spans="1:17" x14ac:dyDescent="0.25">
      <c r="A670" s="8">
        <v>45846</v>
      </c>
      <c r="B670" s="9" t="s">
        <v>73</v>
      </c>
      <c r="C670" s="9" t="s">
        <v>74</v>
      </c>
      <c r="D670" s="9" t="s">
        <v>75</v>
      </c>
      <c r="E670" s="10">
        <v>91.22</v>
      </c>
      <c r="F670" s="10">
        <v>91.89</v>
      </c>
      <c r="G670" s="10">
        <v>89.17</v>
      </c>
      <c r="H670" s="10">
        <v>91.39</v>
      </c>
      <c r="I670" s="11">
        <v>3178693</v>
      </c>
      <c r="J670" s="10">
        <v>20105800000</v>
      </c>
      <c r="K670" s="30">
        <f t="shared" si="60"/>
        <v>0.1863626397719817</v>
      </c>
      <c r="L670" s="31">
        <f t="shared" si="61"/>
        <v>2.7199999999999989</v>
      </c>
      <c r="M670" s="30">
        <f t="shared" si="62"/>
        <v>2.9818022363516761E-2</v>
      </c>
      <c r="N670" s="20" t="str">
        <f t="shared" si="65"/>
        <v>High volume</v>
      </c>
      <c r="O670" s="32">
        <f t="shared" si="63"/>
        <v>20.105799999999999</v>
      </c>
      <c r="P670" s="20">
        <f t="shared" si="64"/>
        <v>7</v>
      </c>
      <c r="Q670" s="20" t="str" cm="1">
        <f t="array" ref="Q670">_xlfn.IFS(P670&lt;=3,"Q1",P670&lt;=6,"Q2",P670&lt;=9,"Q3",P670&lt;=12,"Q4")</f>
        <v>Q3</v>
      </c>
    </row>
    <row r="671" spans="1:17" x14ac:dyDescent="0.25">
      <c r="A671" s="14">
        <v>45846</v>
      </c>
      <c r="B671" s="15" t="s">
        <v>76</v>
      </c>
      <c r="C671" s="15" t="s">
        <v>77</v>
      </c>
      <c r="D671" s="15" t="s">
        <v>75</v>
      </c>
      <c r="E671" s="16">
        <v>144.15</v>
      </c>
      <c r="F671" s="16">
        <v>144.27000000000001</v>
      </c>
      <c r="G671" s="16">
        <v>143.34</v>
      </c>
      <c r="H671" s="16">
        <v>143.84</v>
      </c>
      <c r="I671" s="17">
        <v>4290756</v>
      </c>
      <c r="J671" s="16">
        <v>28768000000</v>
      </c>
      <c r="K671" s="30">
        <f t="shared" si="60"/>
        <v>-0.21505376344086177</v>
      </c>
      <c r="L671" s="31">
        <f t="shared" si="61"/>
        <v>0.93000000000000682</v>
      </c>
      <c r="M671" s="30">
        <f t="shared" si="62"/>
        <v>6.4516129032258533E-3</v>
      </c>
      <c r="N671" s="20" t="str">
        <f t="shared" si="65"/>
        <v>High volume</v>
      </c>
      <c r="O671" s="32">
        <f t="shared" si="63"/>
        <v>28.768000000000001</v>
      </c>
      <c r="P671" s="20">
        <f t="shared" si="64"/>
        <v>7</v>
      </c>
      <c r="Q671" s="20" t="str" cm="1">
        <f t="array" ref="Q671">_xlfn.IFS(P671&lt;=3,"Q1",P671&lt;=6,"Q2",P671&lt;=9,"Q3",P671&lt;=12,"Q4")</f>
        <v>Q3</v>
      </c>
    </row>
    <row r="672" spans="1:17" x14ac:dyDescent="0.25">
      <c r="A672" s="8">
        <v>45847</v>
      </c>
      <c r="B672" s="9" t="s">
        <v>60</v>
      </c>
      <c r="C672" s="9" t="s">
        <v>61</v>
      </c>
      <c r="D672" s="9" t="s">
        <v>62</v>
      </c>
      <c r="E672" s="10">
        <v>2614.08</v>
      </c>
      <c r="F672" s="10">
        <v>2631.38</v>
      </c>
      <c r="G672" s="10">
        <v>2573.71</v>
      </c>
      <c r="H672" s="10">
        <v>2622.19</v>
      </c>
      <c r="I672" s="11">
        <v>4982924</v>
      </c>
      <c r="J672" s="10">
        <v>3671066000000</v>
      </c>
      <c r="K672" s="30">
        <f t="shared" si="60"/>
        <v>0.31024299179826659</v>
      </c>
      <c r="L672" s="31">
        <f t="shared" si="61"/>
        <v>57.670000000000073</v>
      </c>
      <c r="M672" s="30">
        <f t="shared" si="62"/>
        <v>2.2061298812584187E-2</v>
      </c>
      <c r="N672" s="20" t="str">
        <f t="shared" si="65"/>
        <v>High volume</v>
      </c>
      <c r="O672" s="32">
        <f t="shared" si="63"/>
        <v>3671.0659999999998</v>
      </c>
      <c r="P672" s="20">
        <f t="shared" si="64"/>
        <v>7</v>
      </c>
      <c r="Q672" s="20" t="str" cm="1">
        <f t="array" ref="Q672">_xlfn.IFS(P672&lt;=3,"Q1",P672&lt;=6,"Q2",P672&lt;=9,"Q3",P672&lt;=12,"Q4")</f>
        <v>Q3</v>
      </c>
    </row>
    <row r="673" spans="1:17" x14ac:dyDescent="0.25">
      <c r="A673" s="14">
        <v>45847</v>
      </c>
      <c r="B673" s="15" t="s">
        <v>65</v>
      </c>
      <c r="C673" s="15" t="s">
        <v>66</v>
      </c>
      <c r="D673" s="15" t="s">
        <v>67</v>
      </c>
      <c r="E673" s="16">
        <v>220.69</v>
      </c>
      <c r="F673" s="16">
        <v>221.03</v>
      </c>
      <c r="G673" s="16">
        <v>219.96</v>
      </c>
      <c r="H673" s="16">
        <v>220.1</v>
      </c>
      <c r="I673" s="17">
        <v>2469728</v>
      </c>
      <c r="J673" s="16">
        <v>55025000000</v>
      </c>
      <c r="K673" s="30">
        <f t="shared" si="60"/>
        <v>-0.2673433322760449</v>
      </c>
      <c r="L673" s="31">
        <f t="shared" si="61"/>
        <v>1.0699999999999932</v>
      </c>
      <c r="M673" s="30">
        <f t="shared" si="62"/>
        <v>4.8484299243282125E-3</v>
      </c>
      <c r="N673" s="20" t="str">
        <f t="shared" si="65"/>
        <v>High volume</v>
      </c>
      <c r="O673" s="32">
        <f t="shared" si="63"/>
        <v>55.024999999999999</v>
      </c>
      <c r="P673" s="20">
        <f t="shared" si="64"/>
        <v>7</v>
      </c>
      <c r="Q673" s="20" t="str" cm="1">
        <f t="array" ref="Q673">_xlfn.IFS(P673&lt;=3,"Q1",P673&lt;=6,"Q2",P673&lt;=9,"Q3",P673&lt;=12,"Q4")</f>
        <v>Q3</v>
      </c>
    </row>
    <row r="674" spans="1:17" x14ac:dyDescent="0.25">
      <c r="A674" s="8">
        <v>45847</v>
      </c>
      <c r="B674" s="9" t="s">
        <v>69</v>
      </c>
      <c r="C674" s="9" t="s">
        <v>70</v>
      </c>
      <c r="D674" s="9" t="s">
        <v>71</v>
      </c>
      <c r="E674" s="10">
        <v>666.08</v>
      </c>
      <c r="F674" s="10">
        <v>672.82</v>
      </c>
      <c r="G674" s="10">
        <v>655.05999999999995</v>
      </c>
      <c r="H674" s="10">
        <v>671.04</v>
      </c>
      <c r="I674" s="11">
        <v>1049101</v>
      </c>
      <c r="J674" s="10">
        <v>536832000000</v>
      </c>
      <c r="K674" s="30">
        <f t="shared" si="60"/>
        <v>0.74465529666105013</v>
      </c>
      <c r="L674" s="31">
        <f t="shared" si="61"/>
        <v>17.760000000000105</v>
      </c>
      <c r="M674" s="30">
        <f t="shared" si="62"/>
        <v>2.6663463848186561E-2</v>
      </c>
      <c r="N674" s="20" t="str">
        <f t="shared" si="65"/>
        <v>Normal</v>
      </c>
      <c r="O674" s="32">
        <f t="shared" si="63"/>
        <v>536.83199999999999</v>
      </c>
      <c r="P674" s="20">
        <f t="shared" si="64"/>
        <v>7</v>
      </c>
      <c r="Q674" s="20" t="str" cm="1">
        <f t="array" ref="Q674">_xlfn.IFS(P674&lt;=3,"Q1",P674&lt;=6,"Q2",P674&lt;=9,"Q3",P674&lt;=12,"Q4")</f>
        <v>Q3</v>
      </c>
    </row>
    <row r="675" spans="1:17" x14ac:dyDescent="0.25">
      <c r="A675" s="14">
        <v>45847</v>
      </c>
      <c r="B675" s="15" t="s">
        <v>73</v>
      </c>
      <c r="C675" s="15" t="s">
        <v>74</v>
      </c>
      <c r="D675" s="15" t="s">
        <v>75</v>
      </c>
      <c r="E675" s="16">
        <v>89.67</v>
      </c>
      <c r="F675" s="16">
        <v>89.76</v>
      </c>
      <c r="G675" s="16">
        <v>89.17</v>
      </c>
      <c r="H675" s="16">
        <v>89.68</v>
      </c>
      <c r="I675" s="17">
        <v>3827179</v>
      </c>
      <c r="J675" s="16">
        <v>19729600000</v>
      </c>
      <c r="K675" s="30">
        <f t="shared" si="60"/>
        <v>1.115200178432599E-2</v>
      </c>
      <c r="L675" s="31">
        <f t="shared" si="61"/>
        <v>0.59000000000000341</v>
      </c>
      <c r="M675" s="30">
        <f t="shared" si="62"/>
        <v>6.5796810527490061E-3</v>
      </c>
      <c r="N675" s="20" t="str">
        <f t="shared" si="65"/>
        <v>High volume</v>
      </c>
      <c r="O675" s="32">
        <f t="shared" si="63"/>
        <v>19.729600000000001</v>
      </c>
      <c r="P675" s="20">
        <f t="shared" si="64"/>
        <v>7</v>
      </c>
      <c r="Q675" s="20" t="str" cm="1">
        <f t="array" ref="Q675">_xlfn.IFS(P675&lt;=3,"Q1",P675&lt;=6,"Q2",P675&lt;=9,"Q3",P675&lt;=12,"Q4")</f>
        <v>Q3</v>
      </c>
    </row>
    <row r="676" spans="1:17" x14ac:dyDescent="0.25">
      <c r="A676" s="8">
        <v>45847</v>
      </c>
      <c r="B676" s="9" t="s">
        <v>76</v>
      </c>
      <c r="C676" s="9" t="s">
        <v>77</v>
      </c>
      <c r="D676" s="9" t="s">
        <v>75</v>
      </c>
      <c r="E676" s="10">
        <v>144.33000000000001</v>
      </c>
      <c r="F676" s="10">
        <v>145.34</v>
      </c>
      <c r="G676" s="10">
        <v>144.27000000000001</v>
      </c>
      <c r="H676" s="10">
        <v>145.18</v>
      </c>
      <c r="I676" s="11">
        <v>4247146</v>
      </c>
      <c r="J676" s="10">
        <v>29036000000</v>
      </c>
      <c r="K676" s="30">
        <f t="shared" si="60"/>
        <v>0.58892815076560268</v>
      </c>
      <c r="L676" s="31">
        <f t="shared" si="61"/>
        <v>1.0699999999999932</v>
      </c>
      <c r="M676" s="30">
        <f t="shared" si="62"/>
        <v>7.4135661331669999E-3</v>
      </c>
      <c r="N676" s="20" t="str">
        <f t="shared" si="65"/>
        <v>High volume</v>
      </c>
      <c r="O676" s="32">
        <f t="shared" si="63"/>
        <v>29.036000000000001</v>
      </c>
      <c r="P676" s="20">
        <f t="shared" si="64"/>
        <v>7</v>
      </c>
      <c r="Q676" s="20" t="str" cm="1">
        <f t="array" ref="Q676">_xlfn.IFS(P676&lt;=3,"Q1",P676&lt;=6,"Q2",P676&lt;=9,"Q3",P676&lt;=12,"Q4")</f>
        <v>Q3</v>
      </c>
    </row>
    <row r="677" spans="1:17" x14ac:dyDescent="0.25">
      <c r="A677" s="14">
        <v>45848</v>
      </c>
      <c r="B677" s="15" t="s">
        <v>60</v>
      </c>
      <c r="C677" s="15" t="s">
        <v>61</v>
      </c>
      <c r="D677" s="15" t="s">
        <v>62</v>
      </c>
      <c r="E677" s="16">
        <v>2655.47</v>
      </c>
      <c r="F677" s="16">
        <v>2683.91</v>
      </c>
      <c r="G677" s="16">
        <v>2645.5</v>
      </c>
      <c r="H677" s="16">
        <v>2667.79</v>
      </c>
      <c r="I677" s="17">
        <v>897400</v>
      </c>
      <c r="J677" s="16">
        <v>3734906000000</v>
      </c>
      <c r="K677" s="30">
        <f t="shared" si="60"/>
        <v>0.46394800167202666</v>
      </c>
      <c r="L677" s="31">
        <f t="shared" si="61"/>
        <v>38.409999999999854</v>
      </c>
      <c r="M677" s="30">
        <f t="shared" si="62"/>
        <v>1.4464482746933634E-2</v>
      </c>
      <c r="N677" s="20" t="str">
        <f t="shared" si="65"/>
        <v>Normal</v>
      </c>
      <c r="O677" s="32">
        <f t="shared" si="63"/>
        <v>3734.9059999999999</v>
      </c>
      <c r="P677" s="20">
        <f t="shared" si="64"/>
        <v>7</v>
      </c>
      <c r="Q677" s="20" t="str" cm="1">
        <f t="array" ref="Q677">_xlfn.IFS(P677&lt;=3,"Q1",P677&lt;=6,"Q2",P677&lt;=9,"Q3",P677&lt;=12,"Q4")</f>
        <v>Q3</v>
      </c>
    </row>
    <row r="678" spans="1:17" x14ac:dyDescent="0.25">
      <c r="A678" s="8">
        <v>45848</v>
      </c>
      <c r="B678" s="9" t="s">
        <v>65</v>
      </c>
      <c r="C678" s="9" t="s">
        <v>66</v>
      </c>
      <c r="D678" s="9" t="s">
        <v>67</v>
      </c>
      <c r="E678" s="10">
        <v>218.01</v>
      </c>
      <c r="F678" s="10">
        <v>218.21</v>
      </c>
      <c r="G678" s="10">
        <v>216.09</v>
      </c>
      <c r="H678" s="10">
        <v>217.21</v>
      </c>
      <c r="I678" s="11">
        <v>3765394</v>
      </c>
      <c r="J678" s="10">
        <v>54302500000</v>
      </c>
      <c r="K678" s="30">
        <f t="shared" si="60"/>
        <v>-0.36695564423649513</v>
      </c>
      <c r="L678" s="31">
        <f t="shared" si="61"/>
        <v>2.1200000000000045</v>
      </c>
      <c r="M678" s="30">
        <f t="shared" si="62"/>
        <v>9.7243245722673493E-3</v>
      </c>
      <c r="N678" s="20" t="str">
        <f t="shared" si="65"/>
        <v>High volume</v>
      </c>
      <c r="O678" s="32">
        <f t="shared" si="63"/>
        <v>54.302500000000002</v>
      </c>
      <c r="P678" s="20">
        <f t="shared" si="64"/>
        <v>7</v>
      </c>
      <c r="Q678" s="20" t="str" cm="1">
        <f t="array" ref="Q678">_xlfn.IFS(P678&lt;=3,"Q1",P678&lt;=6,"Q2",P678&lt;=9,"Q3",P678&lt;=12,"Q4")</f>
        <v>Q3</v>
      </c>
    </row>
    <row r="679" spans="1:17" x14ac:dyDescent="0.25">
      <c r="A679" s="14">
        <v>45848</v>
      </c>
      <c r="B679" s="15" t="s">
        <v>69</v>
      </c>
      <c r="C679" s="15" t="s">
        <v>70</v>
      </c>
      <c r="D679" s="15" t="s">
        <v>71</v>
      </c>
      <c r="E679" s="16">
        <v>681.57</v>
      </c>
      <c r="F679" s="16">
        <v>691.66</v>
      </c>
      <c r="G679" s="16">
        <v>678</v>
      </c>
      <c r="H679" s="16">
        <v>679.88</v>
      </c>
      <c r="I679" s="17">
        <v>1980209</v>
      </c>
      <c r="J679" s="16">
        <v>543904000000</v>
      </c>
      <c r="K679" s="30">
        <f t="shared" si="60"/>
        <v>-0.24795692298664179</v>
      </c>
      <c r="L679" s="31">
        <f t="shared" si="61"/>
        <v>13.659999999999968</v>
      </c>
      <c r="M679" s="30">
        <f t="shared" si="62"/>
        <v>2.0041961940813074E-2</v>
      </c>
      <c r="N679" s="20" t="str">
        <f t="shared" si="65"/>
        <v>Normal</v>
      </c>
      <c r="O679" s="32">
        <f t="shared" si="63"/>
        <v>543.904</v>
      </c>
      <c r="P679" s="20">
        <f t="shared" si="64"/>
        <v>7</v>
      </c>
      <c r="Q679" s="20" t="str" cm="1">
        <f t="array" ref="Q679">_xlfn.IFS(P679&lt;=3,"Q1",P679&lt;=6,"Q2",P679&lt;=9,"Q3",P679&lt;=12,"Q4")</f>
        <v>Q3</v>
      </c>
    </row>
    <row r="680" spans="1:17" x14ac:dyDescent="0.25">
      <c r="A680" s="8">
        <v>45848</v>
      </c>
      <c r="B680" s="9" t="s">
        <v>73</v>
      </c>
      <c r="C680" s="9" t="s">
        <v>74</v>
      </c>
      <c r="D680" s="9" t="s">
        <v>75</v>
      </c>
      <c r="E680" s="10">
        <v>87.51</v>
      </c>
      <c r="F680" s="10">
        <v>89.24</v>
      </c>
      <c r="G680" s="10">
        <v>85.9</v>
      </c>
      <c r="H680" s="10">
        <v>86.38</v>
      </c>
      <c r="I680" s="11">
        <v>1812942</v>
      </c>
      <c r="J680" s="10">
        <v>19003600000</v>
      </c>
      <c r="K680" s="30">
        <f t="shared" si="60"/>
        <v>-1.2912809964575587</v>
      </c>
      <c r="L680" s="31">
        <f t="shared" si="61"/>
        <v>3.3399999999999892</v>
      </c>
      <c r="M680" s="30">
        <f t="shared" si="62"/>
        <v>3.8167066620957479E-2</v>
      </c>
      <c r="N680" s="20" t="str">
        <f t="shared" si="65"/>
        <v>Normal</v>
      </c>
      <c r="O680" s="32">
        <f t="shared" si="63"/>
        <v>19.003599999999999</v>
      </c>
      <c r="P680" s="20">
        <f t="shared" si="64"/>
        <v>7</v>
      </c>
      <c r="Q680" s="20" t="str" cm="1">
        <f t="array" ref="Q680">_xlfn.IFS(P680&lt;=3,"Q1",P680&lt;=6,"Q2",P680&lt;=9,"Q3",P680&lt;=12,"Q4")</f>
        <v>Q3</v>
      </c>
    </row>
    <row r="681" spans="1:17" x14ac:dyDescent="0.25">
      <c r="A681" s="14">
        <v>45848</v>
      </c>
      <c r="B681" s="15" t="s">
        <v>76</v>
      </c>
      <c r="C681" s="15" t="s">
        <v>77</v>
      </c>
      <c r="D681" s="15" t="s">
        <v>75</v>
      </c>
      <c r="E681" s="16">
        <v>141.22</v>
      </c>
      <c r="F681" s="16">
        <v>141.46</v>
      </c>
      <c r="G681" s="16">
        <v>139.94</v>
      </c>
      <c r="H681" s="16">
        <v>140.9</v>
      </c>
      <c r="I681" s="17">
        <v>1783309</v>
      </c>
      <c r="J681" s="16">
        <v>28180000000</v>
      </c>
      <c r="K681" s="30">
        <f t="shared" si="60"/>
        <v>-0.22659679932020477</v>
      </c>
      <c r="L681" s="31">
        <f t="shared" si="61"/>
        <v>1.5200000000000102</v>
      </c>
      <c r="M681" s="30">
        <f t="shared" si="62"/>
        <v>1.0763347967710028E-2</v>
      </c>
      <c r="N681" s="20" t="str">
        <f t="shared" si="65"/>
        <v>Normal</v>
      </c>
      <c r="O681" s="32">
        <f t="shared" si="63"/>
        <v>28.18</v>
      </c>
      <c r="P681" s="20">
        <f t="shared" si="64"/>
        <v>7</v>
      </c>
      <c r="Q681" s="20" t="str" cm="1">
        <f t="array" ref="Q681">_xlfn.IFS(P681&lt;=3,"Q1",P681&lt;=6,"Q2",P681&lt;=9,"Q3",P681&lt;=12,"Q4")</f>
        <v>Q3</v>
      </c>
    </row>
    <row r="682" spans="1:17" x14ac:dyDescent="0.25">
      <c r="A682" s="8">
        <v>45849</v>
      </c>
      <c r="B682" s="9" t="s">
        <v>60</v>
      </c>
      <c r="C682" s="9" t="s">
        <v>61</v>
      </c>
      <c r="D682" s="9" t="s">
        <v>62</v>
      </c>
      <c r="E682" s="10">
        <v>2662.96</v>
      </c>
      <c r="F682" s="10">
        <v>2669.75</v>
      </c>
      <c r="G682" s="10">
        <v>2649.01</v>
      </c>
      <c r="H682" s="10">
        <v>2665.05</v>
      </c>
      <c r="I682" s="11">
        <v>1629050</v>
      </c>
      <c r="J682" s="10">
        <v>3731070000000</v>
      </c>
      <c r="K682" s="30">
        <f t="shared" si="60"/>
        <v>7.8484092889121337E-2</v>
      </c>
      <c r="L682" s="31">
        <f t="shared" si="61"/>
        <v>20.739999999999782</v>
      </c>
      <c r="M682" s="30">
        <f t="shared" si="62"/>
        <v>7.7883257728241437E-3</v>
      </c>
      <c r="N682" s="20" t="str">
        <f t="shared" si="65"/>
        <v>Normal</v>
      </c>
      <c r="O682" s="32">
        <f t="shared" si="63"/>
        <v>3731.07</v>
      </c>
      <c r="P682" s="20">
        <f t="shared" si="64"/>
        <v>7</v>
      </c>
      <c r="Q682" s="20" t="str" cm="1">
        <f t="array" ref="Q682">_xlfn.IFS(P682&lt;=3,"Q1",P682&lt;=6,"Q2",P682&lt;=9,"Q3",P682&lt;=12,"Q4")</f>
        <v>Q3</v>
      </c>
    </row>
    <row r="683" spans="1:17" x14ac:dyDescent="0.25">
      <c r="A683" s="14">
        <v>45849</v>
      </c>
      <c r="B683" s="15" t="s">
        <v>65</v>
      </c>
      <c r="C683" s="15" t="s">
        <v>66</v>
      </c>
      <c r="D683" s="15" t="s">
        <v>67</v>
      </c>
      <c r="E683" s="16">
        <v>217.92</v>
      </c>
      <c r="F683" s="16">
        <v>220.87</v>
      </c>
      <c r="G683" s="16">
        <v>217.73</v>
      </c>
      <c r="H683" s="16">
        <v>218.01</v>
      </c>
      <c r="I683" s="17">
        <v>3938235</v>
      </c>
      <c r="J683" s="16">
        <v>54502500000</v>
      </c>
      <c r="K683" s="30">
        <f t="shared" si="60"/>
        <v>4.1299559471367209E-2</v>
      </c>
      <c r="L683" s="31">
        <f t="shared" si="61"/>
        <v>3.1400000000000148</v>
      </c>
      <c r="M683" s="30">
        <f t="shared" si="62"/>
        <v>1.4408957415565414E-2</v>
      </c>
      <c r="N683" s="20" t="str">
        <f t="shared" si="65"/>
        <v>High volume</v>
      </c>
      <c r="O683" s="32">
        <f t="shared" si="63"/>
        <v>54.502499999999998</v>
      </c>
      <c r="P683" s="20">
        <f t="shared" si="64"/>
        <v>7</v>
      </c>
      <c r="Q683" s="20" t="str" cm="1">
        <f t="array" ref="Q683">_xlfn.IFS(P683&lt;=3,"Q1",P683&lt;=6,"Q2",P683&lt;=9,"Q3",P683&lt;=12,"Q4")</f>
        <v>Q3</v>
      </c>
    </row>
    <row r="684" spans="1:17" x14ac:dyDescent="0.25">
      <c r="A684" s="8">
        <v>45849</v>
      </c>
      <c r="B684" s="9" t="s">
        <v>69</v>
      </c>
      <c r="C684" s="9" t="s">
        <v>70</v>
      </c>
      <c r="D684" s="9" t="s">
        <v>71</v>
      </c>
      <c r="E684" s="10">
        <v>673.09</v>
      </c>
      <c r="F684" s="10">
        <v>677.16</v>
      </c>
      <c r="G684" s="10">
        <v>667.92</v>
      </c>
      <c r="H684" s="10">
        <v>668.27</v>
      </c>
      <c r="I684" s="11">
        <v>1972807</v>
      </c>
      <c r="J684" s="10">
        <v>534616000000</v>
      </c>
      <c r="K684" s="30">
        <f t="shared" si="60"/>
        <v>-0.71610037290704798</v>
      </c>
      <c r="L684" s="31">
        <f t="shared" si="61"/>
        <v>9.2400000000000091</v>
      </c>
      <c r="M684" s="30">
        <f t="shared" si="62"/>
        <v>1.3727733289753241E-2</v>
      </c>
      <c r="N684" s="20" t="str">
        <f t="shared" si="65"/>
        <v>Normal</v>
      </c>
      <c r="O684" s="32">
        <f t="shared" si="63"/>
        <v>534.61599999999999</v>
      </c>
      <c r="P684" s="20">
        <f t="shared" si="64"/>
        <v>7</v>
      </c>
      <c r="Q684" s="20" t="str" cm="1">
        <f t="array" ref="Q684">_xlfn.IFS(P684&lt;=3,"Q1",P684&lt;=6,"Q2",P684&lt;=9,"Q3",P684&lt;=12,"Q4")</f>
        <v>Q3</v>
      </c>
    </row>
    <row r="685" spans="1:17" x14ac:dyDescent="0.25">
      <c r="A685" s="14">
        <v>45849</v>
      </c>
      <c r="B685" s="15" t="s">
        <v>73</v>
      </c>
      <c r="C685" s="15" t="s">
        <v>74</v>
      </c>
      <c r="D685" s="15" t="s">
        <v>75</v>
      </c>
      <c r="E685" s="16">
        <v>86.12</v>
      </c>
      <c r="F685" s="16">
        <v>86.32</v>
      </c>
      <c r="G685" s="16">
        <v>84.45</v>
      </c>
      <c r="H685" s="16">
        <v>86.12</v>
      </c>
      <c r="I685" s="17">
        <v>4754634</v>
      </c>
      <c r="J685" s="16">
        <v>18946400000</v>
      </c>
      <c r="K685" s="30">
        <f t="shared" si="60"/>
        <v>0</v>
      </c>
      <c r="L685" s="31">
        <f t="shared" si="61"/>
        <v>1.8699999999999903</v>
      </c>
      <c r="M685" s="30">
        <f t="shared" si="62"/>
        <v>2.1713887598699376E-2</v>
      </c>
      <c r="N685" s="20" t="str">
        <f t="shared" si="65"/>
        <v>High volume</v>
      </c>
      <c r="O685" s="32">
        <f t="shared" si="63"/>
        <v>18.946400000000001</v>
      </c>
      <c r="P685" s="20">
        <f t="shared" si="64"/>
        <v>7</v>
      </c>
      <c r="Q685" s="20" t="str" cm="1">
        <f t="array" ref="Q685">_xlfn.IFS(P685&lt;=3,"Q1",P685&lt;=6,"Q2",P685&lt;=9,"Q3",P685&lt;=12,"Q4")</f>
        <v>Q3</v>
      </c>
    </row>
    <row r="686" spans="1:17" x14ac:dyDescent="0.25">
      <c r="A686" s="8">
        <v>45849</v>
      </c>
      <c r="B686" s="9" t="s">
        <v>76</v>
      </c>
      <c r="C686" s="9" t="s">
        <v>77</v>
      </c>
      <c r="D686" s="9" t="s">
        <v>75</v>
      </c>
      <c r="E686" s="10">
        <v>142.09</v>
      </c>
      <c r="F686" s="10">
        <v>143.68</v>
      </c>
      <c r="G686" s="10">
        <v>141.49</v>
      </c>
      <c r="H686" s="10">
        <v>143.01</v>
      </c>
      <c r="I686" s="11">
        <v>3188615</v>
      </c>
      <c r="J686" s="10">
        <v>28602000000</v>
      </c>
      <c r="K686" s="30">
        <f t="shared" si="60"/>
        <v>0.64747695122808602</v>
      </c>
      <c r="L686" s="31">
        <f t="shared" si="61"/>
        <v>2.1899999999999977</v>
      </c>
      <c r="M686" s="30">
        <f t="shared" si="62"/>
        <v>1.5412766556407893E-2</v>
      </c>
      <c r="N686" s="20" t="str">
        <f t="shared" si="65"/>
        <v>High volume</v>
      </c>
      <c r="O686" s="32">
        <f t="shared" si="63"/>
        <v>28.602</v>
      </c>
      <c r="P686" s="20">
        <f t="shared" si="64"/>
        <v>7</v>
      </c>
      <c r="Q686" s="20" t="str" cm="1">
        <f t="array" ref="Q686">_xlfn.IFS(P686&lt;=3,"Q1",P686&lt;=6,"Q2",P686&lt;=9,"Q3",P686&lt;=12,"Q4")</f>
        <v>Q3</v>
      </c>
    </row>
    <row r="687" spans="1:17" x14ac:dyDescent="0.25">
      <c r="A687" s="14">
        <v>45852</v>
      </c>
      <c r="B687" s="15" t="s">
        <v>60</v>
      </c>
      <c r="C687" s="15" t="s">
        <v>61</v>
      </c>
      <c r="D687" s="15" t="s">
        <v>62</v>
      </c>
      <c r="E687" s="16">
        <v>2643.97</v>
      </c>
      <c r="F687" s="16">
        <v>2647.72</v>
      </c>
      <c r="G687" s="16">
        <v>2634.86</v>
      </c>
      <c r="H687" s="16">
        <v>2641.33</v>
      </c>
      <c r="I687" s="17">
        <v>2867879</v>
      </c>
      <c r="J687" s="16">
        <v>3697862000000</v>
      </c>
      <c r="K687" s="30">
        <f t="shared" si="60"/>
        <v>-9.9849847010362189E-2</v>
      </c>
      <c r="L687" s="31">
        <f t="shared" si="61"/>
        <v>12.859999999999673</v>
      </c>
      <c r="M687" s="30">
        <f t="shared" si="62"/>
        <v>4.8638978505806318E-3</v>
      </c>
      <c r="N687" s="20" t="str">
        <f t="shared" si="65"/>
        <v>High volume</v>
      </c>
      <c r="O687" s="32">
        <f t="shared" si="63"/>
        <v>3697.8620000000001</v>
      </c>
      <c r="P687" s="20">
        <f t="shared" si="64"/>
        <v>7</v>
      </c>
      <c r="Q687" s="20" t="str" cm="1">
        <f t="array" ref="Q687">_xlfn.IFS(P687&lt;=3,"Q1",P687&lt;=6,"Q2",P687&lt;=9,"Q3",P687&lt;=12,"Q4")</f>
        <v>Q3</v>
      </c>
    </row>
    <row r="688" spans="1:17" x14ac:dyDescent="0.25">
      <c r="A688" s="8">
        <v>45852</v>
      </c>
      <c r="B688" s="9" t="s">
        <v>65</v>
      </c>
      <c r="C688" s="9" t="s">
        <v>66</v>
      </c>
      <c r="D688" s="9" t="s">
        <v>67</v>
      </c>
      <c r="E688" s="10">
        <v>221.09</v>
      </c>
      <c r="F688" s="10">
        <v>223.95</v>
      </c>
      <c r="G688" s="10">
        <v>220.65</v>
      </c>
      <c r="H688" s="10">
        <v>223.05</v>
      </c>
      <c r="I688" s="11">
        <v>4696617</v>
      </c>
      <c r="J688" s="10">
        <v>55762500000</v>
      </c>
      <c r="K688" s="30">
        <f t="shared" si="60"/>
        <v>0.88651680311185843</v>
      </c>
      <c r="L688" s="31">
        <f t="shared" si="61"/>
        <v>3.2999999999999829</v>
      </c>
      <c r="M688" s="30">
        <f t="shared" si="62"/>
        <v>1.4926048215658703E-2</v>
      </c>
      <c r="N688" s="20" t="str">
        <f t="shared" si="65"/>
        <v>High volume</v>
      </c>
      <c r="O688" s="32">
        <f t="shared" si="63"/>
        <v>55.762500000000003</v>
      </c>
      <c r="P688" s="20">
        <f t="shared" si="64"/>
        <v>7</v>
      </c>
      <c r="Q688" s="20" t="str" cm="1">
        <f t="array" ref="Q688">_xlfn.IFS(P688&lt;=3,"Q1",P688&lt;=6,"Q2",P688&lt;=9,"Q3",P688&lt;=12,"Q4")</f>
        <v>Q3</v>
      </c>
    </row>
    <row r="689" spans="1:17" x14ac:dyDescent="0.25">
      <c r="A689" s="14">
        <v>45852</v>
      </c>
      <c r="B689" s="15" t="s">
        <v>69</v>
      </c>
      <c r="C689" s="15" t="s">
        <v>70</v>
      </c>
      <c r="D689" s="15" t="s">
        <v>71</v>
      </c>
      <c r="E689" s="16">
        <v>676.34</v>
      </c>
      <c r="F689" s="16">
        <v>682.28</v>
      </c>
      <c r="G689" s="16">
        <v>666.7</v>
      </c>
      <c r="H689" s="16">
        <v>682.21</v>
      </c>
      <c r="I689" s="17">
        <v>3175051</v>
      </c>
      <c r="J689" s="16">
        <v>545768000000</v>
      </c>
      <c r="K689" s="30">
        <f t="shared" si="60"/>
        <v>0.86790667415796863</v>
      </c>
      <c r="L689" s="31">
        <f t="shared" si="61"/>
        <v>15.579999999999927</v>
      </c>
      <c r="M689" s="30">
        <f t="shared" si="62"/>
        <v>2.303575124937151E-2</v>
      </c>
      <c r="N689" s="20" t="str">
        <f t="shared" si="65"/>
        <v>High volume</v>
      </c>
      <c r="O689" s="32">
        <f t="shared" si="63"/>
        <v>545.76800000000003</v>
      </c>
      <c r="P689" s="20">
        <f t="shared" si="64"/>
        <v>7</v>
      </c>
      <c r="Q689" s="20" t="str" cm="1">
        <f t="array" ref="Q689">_xlfn.IFS(P689&lt;=3,"Q1",P689&lt;=6,"Q2",P689&lt;=9,"Q3",P689&lt;=12,"Q4")</f>
        <v>Q3</v>
      </c>
    </row>
    <row r="690" spans="1:17" x14ac:dyDescent="0.25">
      <c r="A690" s="8">
        <v>45852</v>
      </c>
      <c r="B690" s="9" t="s">
        <v>73</v>
      </c>
      <c r="C690" s="9" t="s">
        <v>74</v>
      </c>
      <c r="D690" s="9" t="s">
        <v>75</v>
      </c>
      <c r="E690" s="10">
        <v>87.64</v>
      </c>
      <c r="F690" s="10">
        <v>87.66</v>
      </c>
      <c r="G690" s="10">
        <v>87.64</v>
      </c>
      <c r="H690" s="10">
        <v>87.66</v>
      </c>
      <c r="I690" s="11">
        <v>3683894</v>
      </c>
      <c r="J690" s="10">
        <v>19285200000</v>
      </c>
      <c r="K690" s="30">
        <f t="shared" si="60"/>
        <v>2.2820629849379302E-2</v>
      </c>
      <c r="L690" s="31">
        <f t="shared" si="61"/>
        <v>1.9999999999996021E-2</v>
      </c>
      <c r="M690" s="30">
        <f t="shared" si="62"/>
        <v>2.2820629849379303E-4</v>
      </c>
      <c r="N690" s="20" t="str">
        <f t="shared" si="65"/>
        <v>High volume</v>
      </c>
      <c r="O690" s="32">
        <f t="shared" si="63"/>
        <v>19.2852</v>
      </c>
      <c r="P690" s="20">
        <f t="shared" si="64"/>
        <v>7</v>
      </c>
      <c r="Q690" s="20" t="str" cm="1">
        <f t="array" ref="Q690">_xlfn.IFS(P690&lt;=3,"Q1",P690&lt;=6,"Q2",P690&lt;=9,"Q3",P690&lt;=12,"Q4")</f>
        <v>Q3</v>
      </c>
    </row>
    <row r="691" spans="1:17" x14ac:dyDescent="0.25">
      <c r="A691" s="14">
        <v>45852</v>
      </c>
      <c r="B691" s="15" t="s">
        <v>76</v>
      </c>
      <c r="C691" s="15" t="s">
        <v>77</v>
      </c>
      <c r="D691" s="15" t="s">
        <v>75</v>
      </c>
      <c r="E691" s="16">
        <v>141.75</v>
      </c>
      <c r="F691" s="16">
        <v>142.55000000000001</v>
      </c>
      <c r="G691" s="16">
        <v>141.65</v>
      </c>
      <c r="H691" s="16">
        <v>142.54</v>
      </c>
      <c r="I691" s="17">
        <v>2071592</v>
      </c>
      <c r="J691" s="16">
        <v>28508000000</v>
      </c>
      <c r="K691" s="30">
        <f t="shared" si="60"/>
        <v>0.55731922398588496</v>
      </c>
      <c r="L691" s="31">
        <f t="shared" si="61"/>
        <v>0.90000000000000568</v>
      </c>
      <c r="M691" s="30">
        <f t="shared" si="62"/>
        <v>6.3492063492063891E-3</v>
      </c>
      <c r="N691" s="20" t="str">
        <f t="shared" si="65"/>
        <v>High volume</v>
      </c>
      <c r="O691" s="32">
        <f t="shared" si="63"/>
        <v>28.507999999999999</v>
      </c>
      <c r="P691" s="20">
        <f t="shared" si="64"/>
        <v>7</v>
      </c>
      <c r="Q691" s="20" t="str" cm="1">
        <f t="array" ref="Q691">_xlfn.IFS(P691&lt;=3,"Q1",P691&lt;=6,"Q2",P691&lt;=9,"Q3",P691&lt;=12,"Q4")</f>
        <v>Q3</v>
      </c>
    </row>
    <row r="692" spans="1:17" x14ac:dyDescent="0.25">
      <c r="A692" s="8">
        <v>45853</v>
      </c>
      <c r="B692" s="9" t="s">
        <v>60</v>
      </c>
      <c r="C692" s="9" t="s">
        <v>61</v>
      </c>
      <c r="D692" s="9" t="s">
        <v>62</v>
      </c>
      <c r="E692" s="10">
        <v>2636.58</v>
      </c>
      <c r="F692" s="10">
        <v>2664.59</v>
      </c>
      <c r="G692" s="10">
        <v>2626.76</v>
      </c>
      <c r="H692" s="10">
        <v>2651.37</v>
      </c>
      <c r="I692" s="11">
        <v>613427</v>
      </c>
      <c r="J692" s="10">
        <v>3711918000000</v>
      </c>
      <c r="K692" s="30">
        <f t="shared" si="60"/>
        <v>0.56095396308854517</v>
      </c>
      <c r="L692" s="31">
        <f t="shared" si="61"/>
        <v>37.829999999999927</v>
      </c>
      <c r="M692" s="30">
        <f t="shared" si="62"/>
        <v>1.4348132808410869E-2</v>
      </c>
      <c r="N692" s="20" t="str">
        <f t="shared" si="65"/>
        <v>Normal</v>
      </c>
      <c r="O692" s="32">
        <f t="shared" si="63"/>
        <v>3711.9180000000001</v>
      </c>
      <c r="P692" s="20">
        <f t="shared" si="64"/>
        <v>7</v>
      </c>
      <c r="Q692" s="20" t="str" cm="1">
        <f t="array" ref="Q692">_xlfn.IFS(P692&lt;=3,"Q1",P692&lt;=6,"Q2",P692&lt;=9,"Q3",P692&lt;=12,"Q4")</f>
        <v>Q3</v>
      </c>
    </row>
    <row r="693" spans="1:17" x14ac:dyDescent="0.25">
      <c r="A693" s="14">
        <v>45853</v>
      </c>
      <c r="B693" s="15" t="s">
        <v>65</v>
      </c>
      <c r="C693" s="15" t="s">
        <v>66</v>
      </c>
      <c r="D693" s="15" t="s">
        <v>67</v>
      </c>
      <c r="E693" s="16">
        <v>225.89</v>
      </c>
      <c r="F693" s="16">
        <v>227.72</v>
      </c>
      <c r="G693" s="16">
        <v>224.06</v>
      </c>
      <c r="H693" s="16">
        <v>226.88</v>
      </c>
      <c r="I693" s="17">
        <v>707576</v>
      </c>
      <c r="J693" s="16">
        <v>56720000000</v>
      </c>
      <c r="K693" s="30">
        <f t="shared" si="60"/>
        <v>0.4382664128558188</v>
      </c>
      <c r="L693" s="31">
        <f t="shared" si="61"/>
        <v>3.6599999999999966</v>
      </c>
      <c r="M693" s="30">
        <f t="shared" si="62"/>
        <v>1.6202576475275562E-2</v>
      </c>
      <c r="N693" s="20" t="str">
        <f t="shared" si="65"/>
        <v>Normal</v>
      </c>
      <c r="O693" s="32">
        <f t="shared" si="63"/>
        <v>56.72</v>
      </c>
      <c r="P693" s="20">
        <f t="shared" si="64"/>
        <v>7</v>
      </c>
      <c r="Q693" s="20" t="str" cm="1">
        <f t="array" ref="Q693">_xlfn.IFS(P693&lt;=3,"Q1",P693&lt;=6,"Q2",P693&lt;=9,"Q3",P693&lt;=12,"Q4")</f>
        <v>Q3</v>
      </c>
    </row>
    <row r="694" spans="1:17" x14ac:dyDescent="0.25">
      <c r="A694" s="8">
        <v>45853</v>
      </c>
      <c r="B694" s="9" t="s">
        <v>69</v>
      </c>
      <c r="C694" s="9" t="s">
        <v>70</v>
      </c>
      <c r="D694" s="9" t="s">
        <v>71</v>
      </c>
      <c r="E694" s="10">
        <v>679.68</v>
      </c>
      <c r="F694" s="10">
        <v>680.63</v>
      </c>
      <c r="G694" s="10">
        <v>671.63</v>
      </c>
      <c r="H694" s="10">
        <v>672.06</v>
      </c>
      <c r="I694" s="11">
        <v>1271315</v>
      </c>
      <c r="J694" s="10">
        <v>537648000000</v>
      </c>
      <c r="K694" s="30">
        <f t="shared" si="60"/>
        <v>-1.1211158192090402</v>
      </c>
      <c r="L694" s="31">
        <f t="shared" si="61"/>
        <v>9</v>
      </c>
      <c r="M694" s="30">
        <f t="shared" si="62"/>
        <v>1.3241525423728815E-2</v>
      </c>
      <c r="N694" s="20" t="str">
        <f t="shared" si="65"/>
        <v>Normal</v>
      </c>
      <c r="O694" s="32">
        <f t="shared" si="63"/>
        <v>537.64800000000002</v>
      </c>
      <c r="P694" s="20">
        <f t="shared" si="64"/>
        <v>7</v>
      </c>
      <c r="Q694" s="20" t="str" cm="1">
        <f t="array" ref="Q694">_xlfn.IFS(P694&lt;=3,"Q1",P694&lt;=6,"Q2",P694&lt;=9,"Q3",P694&lt;=12,"Q4")</f>
        <v>Q3</v>
      </c>
    </row>
    <row r="695" spans="1:17" x14ac:dyDescent="0.25">
      <c r="A695" s="14">
        <v>45853</v>
      </c>
      <c r="B695" s="15" t="s">
        <v>73</v>
      </c>
      <c r="C695" s="15" t="s">
        <v>74</v>
      </c>
      <c r="D695" s="15" t="s">
        <v>75</v>
      </c>
      <c r="E695" s="16">
        <v>89.25</v>
      </c>
      <c r="F695" s="16">
        <v>89.86</v>
      </c>
      <c r="G695" s="16">
        <v>88.9</v>
      </c>
      <c r="H695" s="16">
        <v>89.43</v>
      </c>
      <c r="I695" s="17">
        <v>4279524</v>
      </c>
      <c r="J695" s="16">
        <v>19674600000</v>
      </c>
      <c r="K695" s="30">
        <f t="shared" si="60"/>
        <v>0.2016806722689152</v>
      </c>
      <c r="L695" s="31">
        <f t="shared" si="61"/>
        <v>0.95999999999999375</v>
      </c>
      <c r="M695" s="30">
        <f t="shared" si="62"/>
        <v>1.0756302521008333E-2</v>
      </c>
      <c r="N695" s="20" t="str">
        <f t="shared" si="65"/>
        <v>High volume</v>
      </c>
      <c r="O695" s="32">
        <f t="shared" si="63"/>
        <v>19.674600000000002</v>
      </c>
      <c r="P695" s="20">
        <f t="shared" si="64"/>
        <v>7</v>
      </c>
      <c r="Q695" s="20" t="str" cm="1">
        <f t="array" ref="Q695">_xlfn.IFS(P695&lt;=3,"Q1",P695&lt;=6,"Q2",P695&lt;=9,"Q3",P695&lt;=12,"Q4")</f>
        <v>Q3</v>
      </c>
    </row>
    <row r="696" spans="1:17" x14ac:dyDescent="0.25">
      <c r="A696" s="8">
        <v>45853</v>
      </c>
      <c r="B696" s="9" t="s">
        <v>76</v>
      </c>
      <c r="C696" s="9" t="s">
        <v>77</v>
      </c>
      <c r="D696" s="9" t="s">
        <v>75</v>
      </c>
      <c r="E696" s="10">
        <v>142.13999999999999</v>
      </c>
      <c r="F696" s="10">
        <v>142.88</v>
      </c>
      <c r="G696" s="10">
        <v>142.08000000000001</v>
      </c>
      <c r="H696" s="10">
        <v>142.41999999999999</v>
      </c>
      <c r="I696" s="11">
        <v>1147080</v>
      </c>
      <c r="J696" s="10">
        <v>28484000000</v>
      </c>
      <c r="K696" s="30">
        <f t="shared" si="60"/>
        <v>0.19698888419867819</v>
      </c>
      <c r="L696" s="31">
        <f t="shared" si="61"/>
        <v>0.79999999999998295</v>
      </c>
      <c r="M696" s="30">
        <f t="shared" si="62"/>
        <v>5.6282538342478051E-3</v>
      </c>
      <c r="N696" s="20" t="str">
        <f t="shared" si="65"/>
        <v>Normal</v>
      </c>
      <c r="O696" s="32">
        <f t="shared" si="63"/>
        <v>28.484000000000002</v>
      </c>
      <c r="P696" s="20">
        <f t="shared" si="64"/>
        <v>7</v>
      </c>
      <c r="Q696" s="20" t="str" cm="1">
        <f t="array" ref="Q696">_xlfn.IFS(P696&lt;=3,"Q1",P696&lt;=6,"Q2",P696&lt;=9,"Q3",P696&lt;=12,"Q4")</f>
        <v>Q3</v>
      </c>
    </row>
    <row r="697" spans="1:17" x14ac:dyDescent="0.25">
      <c r="A697" s="14">
        <v>45854</v>
      </c>
      <c r="B697" s="15" t="s">
        <v>60</v>
      </c>
      <c r="C697" s="15" t="s">
        <v>61</v>
      </c>
      <c r="D697" s="15" t="s">
        <v>62</v>
      </c>
      <c r="E697" s="16">
        <v>2646.9</v>
      </c>
      <c r="F697" s="16">
        <v>2655.68</v>
      </c>
      <c r="G697" s="16">
        <v>2632.58</v>
      </c>
      <c r="H697" s="16">
        <v>2646.57</v>
      </c>
      <c r="I697" s="17">
        <v>1450611</v>
      </c>
      <c r="J697" s="16">
        <v>3705198000000</v>
      </c>
      <c r="K697" s="30">
        <f t="shared" si="60"/>
        <v>-1.2467414711546609E-2</v>
      </c>
      <c r="L697" s="31">
        <f t="shared" si="61"/>
        <v>23.099999999999909</v>
      </c>
      <c r="M697" s="30">
        <f t="shared" si="62"/>
        <v>8.7271902980845164E-3</v>
      </c>
      <c r="N697" s="20" t="str">
        <f t="shared" si="65"/>
        <v>Normal</v>
      </c>
      <c r="O697" s="32">
        <f t="shared" si="63"/>
        <v>3705.1979999999999</v>
      </c>
      <c r="P697" s="20">
        <f t="shared" si="64"/>
        <v>7</v>
      </c>
      <c r="Q697" s="20" t="str" cm="1">
        <f t="array" ref="Q697">_xlfn.IFS(P697&lt;=3,"Q1",P697&lt;=6,"Q2",P697&lt;=9,"Q3",P697&lt;=12,"Q4")</f>
        <v>Q3</v>
      </c>
    </row>
    <row r="698" spans="1:17" x14ac:dyDescent="0.25">
      <c r="A698" s="8">
        <v>45854</v>
      </c>
      <c r="B698" s="9" t="s">
        <v>65</v>
      </c>
      <c r="C698" s="9" t="s">
        <v>66</v>
      </c>
      <c r="D698" s="9" t="s">
        <v>67</v>
      </c>
      <c r="E698" s="10">
        <v>220.57</v>
      </c>
      <c r="F698" s="10">
        <v>222.41</v>
      </c>
      <c r="G698" s="10">
        <v>218.13</v>
      </c>
      <c r="H698" s="10">
        <v>219.34</v>
      </c>
      <c r="I698" s="11">
        <v>1191404</v>
      </c>
      <c r="J698" s="10">
        <v>54835000000</v>
      </c>
      <c r="K698" s="30">
        <f t="shared" si="60"/>
        <v>-0.55764609874415827</v>
      </c>
      <c r="L698" s="31">
        <f t="shared" si="61"/>
        <v>4.2800000000000011</v>
      </c>
      <c r="M698" s="30">
        <f t="shared" si="62"/>
        <v>1.9404270753048923E-2</v>
      </c>
      <c r="N698" s="20" t="str">
        <f t="shared" si="65"/>
        <v>Normal</v>
      </c>
      <c r="O698" s="32">
        <f t="shared" si="63"/>
        <v>54.835000000000001</v>
      </c>
      <c r="P698" s="20">
        <f t="shared" si="64"/>
        <v>7</v>
      </c>
      <c r="Q698" s="20" t="str" cm="1">
        <f t="array" ref="Q698">_xlfn.IFS(P698&lt;=3,"Q1",P698&lt;=6,"Q2",P698&lt;=9,"Q3",P698&lt;=12,"Q4")</f>
        <v>Q3</v>
      </c>
    </row>
    <row r="699" spans="1:17" x14ac:dyDescent="0.25">
      <c r="A699" s="14">
        <v>45854</v>
      </c>
      <c r="B699" s="15" t="s">
        <v>69</v>
      </c>
      <c r="C699" s="15" t="s">
        <v>70</v>
      </c>
      <c r="D699" s="15" t="s">
        <v>71</v>
      </c>
      <c r="E699" s="16">
        <v>671.18</v>
      </c>
      <c r="F699" s="16">
        <v>678.54</v>
      </c>
      <c r="G699" s="16">
        <v>671.08</v>
      </c>
      <c r="H699" s="16">
        <v>676.88</v>
      </c>
      <c r="I699" s="17">
        <v>4688467</v>
      </c>
      <c r="J699" s="16">
        <v>541504000000</v>
      </c>
      <c r="K699" s="30">
        <f t="shared" si="60"/>
        <v>0.84925057361662248</v>
      </c>
      <c r="L699" s="31">
        <f t="shared" si="61"/>
        <v>7.4599999999999227</v>
      </c>
      <c r="M699" s="30">
        <f t="shared" si="62"/>
        <v>1.1114753121368223E-2</v>
      </c>
      <c r="N699" s="20" t="str">
        <f t="shared" si="65"/>
        <v>High volume</v>
      </c>
      <c r="O699" s="32">
        <f t="shared" si="63"/>
        <v>541.50400000000002</v>
      </c>
      <c r="P699" s="20">
        <f t="shared" si="64"/>
        <v>7</v>
      </c>
      <c r="Q699" s="20" t="str" cm="1">
        <f t="array" ref="Q699">_xlfn.IFS(P699&lt;=3,"Q1",P699&lt;=6,"Q2",P699&lt;=9,"Q3",P699&lt;=12,"Q4")</f>
        <v>Q3</v>
      </c>
    </row>
    <row r="700" spans="1:17" x14ac:dyDescent="0.25">
      <c r="A700" s="8">
        <v>45854</v>
      </c>
      <c r="B700" s="9" t="s">
        <v>73</v>
      </c>
      <c r="C700" s="9" t="s">
        <v>74</v>
      </c>
      <c r="D700" s="9" t="s">
        <v>75</v>
      </c>
      <c r="E700" s="10">
        <v>90.69</v>
      </c>
      <c r="F700" s="10">
        <v>90.8</v>
      </c>
      <c r="G700" s="10">
        <v>90.33</v>
      </c>
      <c r="H700" s="10">
        <v>90.59</v>
      </c>
      <c r="I700" s="11">
        <v>2042263</v>
      </c>
      <c r="J700" s="10">
        <v>19929800000</v>
      </c>
      <c r="K700" s="30">
        <f t="shared" si="60"/>
        <v>-0.11026574043444075</v>
      </c>
      <c r="L700" s="31">
        <f t="shared" si="61"/>
        <v>0.46999999999999886</v>
      </c>
      <c r="M700" s="30">
        <f t="shared" si="62"/>
        <v>5.1824898004189978E-3</v>
      </c>
      <c r="N700" s="20" t="str">
        <f t="shared" si="65"/>
        <v>High volume</v>
      </c>
      <c r="O700" s="32">
        <f t="shared" si="63"/>
        <v>19.9298</v>
      </c>
      <c r="P700" s="20">
        <f t="shared" si="64"/>
        <v>7</v>
      </c>
      <c r="Q700" s="20" t="str" cm="1">
        <f t="array" ref="Q700">_xlfn.IFS(P700&lt;=3,"Q1",P700&lt;=6,"Q2",P700&lt;=9,"Q3",P700&lt;=12,"Q4")</f>
        <v>Q3</v>
      </c>
    </row>
    <row r="701" spans="1:17" x14ac:dyDescent="0.25">
      <c r="A701" s="14">
        <v>45854</v>
      </c>
      <c r="B701" s="15" t="s">
        <v>76</v>
      </c>
      <c r="C701" s="15" t="s">
        <v>77</v>
      </c>
      <c r="D701" s="15" t="s">
        <v>75</v>
      </c>
      <c r="E701" s="16">
        <v>143.13</v>
      </c>
      <c r="F701" s="16">
        <v>143.63</v>
      </c>
      <c r="G701" s="16">
        <v>141.91999999999999</v>
      </c>
      <c r="H701" s="16">
        <v>142.32</v>
      </c>
      <c r="I701" s="17">
        <v>406949</v>
      </c>
      <c r="J701" s="16">
        <v>28464000000</v>
      </c>
      <c r="K701" s="30">
        <f t="shared" si="60"/>
        <v>-0.56591909452945033</v>
      </c>
      <c r="L701" s="31">
        <f t="shared" si="61"/>
        <v>1.710000000000008</v>
      </c>
      <c r="M701" s="30">
        <f t="shared" si="62"/>
        <v>1.194718088451064E-2</v>
      </c>
      <c r="N701" s="20" t="str">
        <f t="shared" si="65"/>
        <v>Normal</v>
      </c>
      <c r="O701" s="32">
        <f t="shared" si="63"/>
        <v>28.463999999999999</v>
      </c>
      <c r="P701" s="20">
        <f t="shared" si="64"/>
        <v>7</v>
      </c>
      <c r="Q701" s="20" t="str" cm="1">
        <f t="array" ref="Q701">_xlfn.IFS(P701&lt;=3,"Q1",P701&lt;=6,"Q2",P701&lt;=9,"Q3",P701&lt;=12,"Q4")</f>
        <v>Q3</v>
      </c>
    </row>
    <row r="702" spans="1:17" x14ac:dyDescent="0.25">
      <c r="A702" s="8">
        <v>45855</v>
      </c>
      <c r="B702" s="9" t="s">
        <v>60</v>
      </c>
      <c r="C702" s="9" t="s">
        <v>61</v>
      </c>
      <c r="D702" s="9" t="s">
        <v>62</v>
      </c>
      <c r="E702" s="10">
        <v>2606.21</v>
      </c>
      <c r="F702" s="10">
        <v>2646.24</v>
      </c>
      <c r="G702" s="10">
        <v>2590.39</v>
      </c>
      <c r="H702" s="10">
        <v>2598.7199999999998</v>
      </c>
      <c r="I702" s="11">
        <v>1055668</v>
      </c>
      <c r="J702" s="10">
        <v>3638208000000</v>
      </c>
      <c r="K702" s="30">
        <f t="shared" si="60"/>
        <v>-0.28739050191658522</v>
      </c>
      <c r="L702" s="31">
        <f t="shared" si="61"/>
        <v>55.849999999999909</v>
      </c>
      <c r="M702" s="30">
        <f t="shared" si="62"/>
        <v>2.1429585490041057E-2</v>
      </c>
      <c r="N702" s="20" t="str">
        <f t="shared" si="65"/>
        <v>Normal</v>
      </c>
      <c r="O702" s="32">
        <f t="shared" si="63"/>
        <v>3638.2080000000001</v>
      </c>
      <c r="P702" s="20">
        <f t="shared" si="64"/>
        <v>7</v>
      </c>
      <c r="Q702" s="20" t="str" cm="1">
        <f t="array" ref="Q702">_xlfn.IFS(P702&lt;=3,"Q1",P702&lt;=6,"Q2",P702&lt;=9,"Q3",P702&lt;=12,"Q4")</f>
        <v>Q3</v>
      </c>
    </row>
    <row r="703" spans="1:17" x14ac:dyDescent="0.25">
      <c r="A703" s="14">
        <v>45855</v>
      </c>
      <c r="B703" s="15" t="s">
        <v>65</v>
      </c>
      <c r="C703" s="15" t="s">
        <v>66</v>
      </c>
      <c r="D703" s="15" t="s">
        <v>67</v>
      </c>
      <c r="E703" s="16">
        <v>215.18</v>
      </c>
      <c r="F703" s="16">
        <v>215.31</v>
      </c>
      <c r="G703" s="16">
        <v>214.51</v>
      </c>
      <c r="H703" s="16">
        <v>215.09</v>
      </c>
      <c r="I703" s="17">
        <v>2446578</v>
      </c>
      <c r="J703" s="16">
        <v>53772500000</v>
      </c>
      <c r="K703" s="30">
        <f t="shared" si="60"/>
        <v>-4.1825448461754532E-2</v>
      </c>
      <c r="L703" s="31">
        <f t="shared" si="61"/>
        <v>0.80000000000001137</v>
      </c>
      <c r="M703" s="30">
        <f t="shared" si="62"/>
        <v>3.7178176410447594E-3</v>
      </c>
      <c r="N703" s="20" t="str">
        <f t="shared" si="65"/>
        <v>High volume</v>
      </c>
      <c r="O703" s="32">
        <f t="shared" si="63"/>
        <v>53.772500000000001</v>
      </c>
      <c r="P703" s="20">
        <f t="shared" si="64"/>
        <v>7</v>
      </c>
      <c r="Q703" s="20" t="str" cm="1">
        <f t="array" ref="Q703">_xlfn.IFS(P703&lt;=3,"Q1",P703&lt;=6,"Q2",P703&lt;=9,"Q3",P703&lt;=12,"Q4")</f>
        <v>Q3</v>
      </c>
    </row>
    <row r="704" spans="1:17" x14ac:dyDescent="0.25">
      <c r="A704" s="8">
        <v>45855</v>
      </c>
      <c r="B704" s="9" t="s">
        <v>69</v>
      </c>
      <c r="C704" s="9" t="s">
        <v>70</v>
      </c>
      <c r="D704" s="9" t="s">
        <v>71</v>
      </c>
      <c r="E704" s="10">
        <v>670.1</v>
      </c>
      <c r="F704" s="10">
        <v>674.76</v>
      </c>
      <c r="G704" s="10">
        <v>665.94</v>
      </c>
      <c r="H704" s="10">
        <v>666.38</v>
      </c>
      <c r="I704" s="11">
        <v>1765504</v>
      </c>
      <c r="J704" s="10">
        <v>533104000000</v>
      </c>
      <c r="K704" s="30">
        <f t="shared" si="60"/>
        <v>-0.55514102372780594</v>
      </c>
      <c r="L704" s="31">
        <f t="shared" si="61"/>
        <v>8.8199999999999363</v>
      </c>
      <c r="M704" s="30">
        <f t="shared" si="62"/>
        <v>1.3162214594836496E-2</v>
      </c>
      <c r="N704" s="20" t="str">
        <f t="shared" si="65"/>
        <v>Normal</v>
      </c>
      <c r="O704" s="32">
        <f t="shared" si="63"/>
        <v>533.10400000000004</v>
      </c>
      <c r="P704" s="20">
        <f t="shared" si="64"/>
        <v>7</v>
      </c>
      <c r="Q704" s="20" t="str" cm="1">
        <f t="array" ref="Q704">_xlfn.IFS(P704&lt;=3,"Q1",P704&lt;=6,"Q2",P704&lt;=9,"Q3",P704&lt;=12,"Q4")</f>
        <v>Q3</v>
      </c>
    </row>
    <row r="705" spans="1:17" x14ac:dyDescent="0.25">
      <c r="A705" s="14">
        <v>45855</v>
      </c>
      <c r="B705" s="15" t="s">
        <v>73</v>
      </c>
      <c r="C705" s="15" t="s">
        <v>74</v>
      </c>
      <c r="D705" s="15" t="s">
        <v>75</v>
      </c>
      <c r="E705" s="16">
        <v>90.46</v>
      </c>
      <c r="F705" s="16">
        <v>91.46</v>
      </c>
      <c r="G705" s="16">
        <v>89.45</v>
      </c>
      <c r="H705" s="16">
        <v>90.17</v>
      </c>
      <c r="I705" s="17">
        <v>2923177</v>
      </c>
      <c r="J705" s="16">
        <v>19837400000</v>
      </c>
      <c r="K705" s="30">
        <f t="shared" si="60"/>
        <v>-0.32058368339596738</v>
      </c>
      <c r="L705" s="31">
        <f t="shared" si="61"/>
        <v>2.0099999999999909</v>
      </c>
      <c r="M705" s="30">
        <f t="shared" si="62"/>
        <v>2.221976564227273E-2</v>
      </c>
      <c r="N705" s="20" t="str">
        <f t="shared" si="65"/>
        <v>High volume</v>
      </c>
      <c r="O705" s="32">
        <f t="shared" si="63"/>
        <v>19.837399999999999</v>
      </c>
      <c r="P705" s="20">
        <f t="shared" si="64"/>
        <v>7</v>
      </c>
      <c r="Q705" s="20" t="str" cm="1">
        <f t="array" ref="Q705">_xlfn.IFS(P705&lt;=3,"Q1",P705&lt;=6,"Q2",P705&lt;=9,"Q3",P705&lt;=12,"Q4")</f>
        <v>Q3</v>
      </c>
    </row>
    <row r="706" spans="1:17" x14ac:dyDescent="0.25">
      <c r="A706" s="8">
        <v>45855</v>
      </c>
      <c r="B706" s="9" t="s">
        <v>76</v>
      </c>
      <c r="C706" s="9" t="s">
        <v>77</v>
      </c>
      <c r="D706" s="9" t="s">
        <v>75</v>
      </c>
      <c r="E706" s="10">
        <v>141.4</v>
      </c>
      <c r="F706" s="10">
        <v>141.65</v>
      </c>
      <c r="G706" s="10">
        <v>139.99</v>
      </c>
      <c r="H706" s="10">
        <v>140.01</v>
      </c>
      <c r="I706" s="11">
        <v>1460936</v>
      </c>
      <c r="J706" s="10">
        <v>28002000000</v>
      </c>
      <c r="K706" s="30">
        <f t="shared" si="60"/>
        <v>-0.98302687411599354</v>
      </c>
      <c r="L706" s="31">
        <f t="shared" si="61"/>
        <v>1.6599999999999966</v>
      </c>
      <c r="M706" s="30">
        <f t="shared" si="62"/>
        <v>1.1739745403111715E-2</v>
      </c>
      <c r="N706" s="20" t="str">
        <f t="shared" si="65"/>
        <v>Normal</v>
      </c>
      <c r="O706" s="32">
        <f t="shared" si="63"/>
        <v>28.001999999999999</v>
      </c>
      <c r="P706" s="20">
        <f t="shared" si="64"/>
        <v>7</v>
      </c>
      <c r="Q706" s="20" t="str" cm="1">
        <f t="array" ref="Q706">_xlfn.IFS(P706&lt;=3,"Q1",P706&lt;=6,"Q2",P706&lt;=9,"Q3",P706&lt;=12,"Q4")</f>
        <v>Q3</v>
      </c>
    </row>
    <row r="707" spans="1:17" x14ac:dyDescent="0.25">
      <c r="A707" s="14">
        <v>45856</v>
      </c>
      <c r="B707" s="15" t="s">
        <v>60</v>
      </c>
      <c r="C707" s="15" t="s">
        <v>61</v>
      </c>
      <c r="D707" s="15" t="s">
        <v>62</v>
      </c>
      <c r="E707" s="16">
        <v>2533.3200000000002</v>
      </c>
      <c r="F707" s="16">
        <v>2539.7399999999998</v>
      </c>
      <c r="G707" s="16">
        <v>2522.7199999999998</v>
      </c>
      <c r="H707" s="16">
        <v>2528.81</v>
      </c>
      <c r="I707" s="17">
        <v>3971815</v>
      </c>
      <c r="J707" s="16">
        <v>3540334000000</v>
      </c>
      <c r="K707" s="30">
        <f t="shared" ref="K707:K770" si="66">((H707-E707)/E707)*100</f>
        <v>-0.17802725277502321</v>
      </c>
      <c r="L707" s="31">
        <f t="shared" ref="L707:L770" si="67">F707-G707</f>
        <v>17.019999999999982</v>
      </c>
      <c r="M707" s="30">
        <f t="shared" ref="M707:M770" si="68">L707/E707</f>
        <v>6.7184564129284816E-3</v>
      </c>
      <c r="N707" s="20" t="str">
        <f t="shared" si="65"/>
        <v>High volume</v>
      </c>
      <c r="O707" s="32">
        <f t="shared" ref="O707:O770" si="69">J707/1000000000</f>
        <v>3540.3339999999998</v>
      </c>
      <c r="P707" s="20">
        <f t="shared" ref="P707:P770" si="70">MONTH(A707)</f>
        <v>7</v>
      </c>
      <c r="Q707" s="20" t="str" cm="1">
        <f t="array" ref="Q707">_xlfn.IFS(P707&lt;=3,"Q1",P707&lt;=6,"Q2",P707&lt;=9,"Q3",P707&lt;=12,"Q4")</f>
        <v>Q3</v>
      </c>
    </row>
    <row r="708" spans="1:17" x14ac:dyDescent="0.25">
      <c r="A708" s="8">
        <v>45856</v>
      </c>
      <c r="B708" s="9" t="s">
        <v>65</v>
      </c>
      <c r="C708" s="9" t="s">
        <v>66</v>
      </c>
      <c r="D708" s="9" t="s">
        <v>67</v>
      </c>
      <c r="E708" s="10">
        <v>217.58</v>
      </c>
      <c r="F708" s="10">
        <v>217.96</v>
      </c>
      <c r="G708" s="10">
        <v>217.4</v>
      </c>
      <c r="H708" s="10">
        <v>217.59</v>
      </c>
      <c r="I708" s="11">
        <v>1254892</v>
      </c>
      <c r="J708" s="10">
        <v>54397500000</v>
      </c>
      <c r="K708" s="30">
        <f t="shared" si="66"/>
        <v>4.5960106627405571E-3</v>
      </c>
      <c r="L708" s="31">
        <f t="shared" si="67"/>
        <v>0.56000000000000227</v>
      </c>
      <c r="M708" s="30">
        <f t="shared" si="68"/>
        <v>2.5737659711370636E-3</v>
      </c>
      <c r="N708" s="20" t="str">
        <f t="shared" ref="N708:N771" si="71">IF(I708&gt;2000000,"High volume","Normal")</f>
        <v>Normal</v>
      </c>
      <c r="O708" s="32">
        <f t="shared" si="69"/>
        <v>54.397500000000001</v>
      </c>
      <c r="P708" s="20">
        <f t="shared" si="70"/>
        <v>7</v>
      </c>
      <c r="Q708" s="20" t="str" cm="1">
        <f t="array" ref="Q708">_xlfn.IFS(P708&lt;=3,"Q1",P708&lt;=6,"Q2",P708&lt;=9,"Q3",P708&lt;=12,"Q4")</f>
        <v>Q3</v>
      </c>
    </row>
    <row r="709" spans="1:17" x14ac:dyDescent="0.25">
      <c r="A709" s="14">
        <v>45856</v>
      </c>
      <c r="B709" s="15" t="s">
        <v>69</v>
      </c>
      <c r="C709" s="15" t="s">
        <v>70</v>
      </c>
      <c r="D709" s="15" t="s">
        <v>71</v>
      </c>
      <c r="E709" s="16">
        <v>656.92</v>
      </c>
      <c r="F709" s="16">
        <v>667.85</v>
      </c>
      <c r="G709" s="16">
        <v>649.05999999999995</v>
      </c>
      <c r="H709" s="16">
        <v>654.16999999999996</v>
      </c>
      <c r="I709" s="17">
        <v>3535616</v>
      </c>
      <c r="J709" s="16">
        <v>523336000000</v>
      </c>
      <c r="K709" s="30">
        <f t="shared" si="66"/>
        <v>-0.41862022772940394</v>
      </c>
      <c r="L709" s="31">
        <f t="shared" si="67"/>
        <v>18.790000000000077</v>
      </c>
      <c r="M709" s="30">
        <f t="shared" si="68"/>
        <v>2.8603178469220114E-2</v>
      </c>
      <c r="N709" s="20" t="str">
        <f t="shared" si="71"/>
        <v>High volume</v>
      </c>
      <c r="O709" s="32">
        <f t="shared" si="69"/>
        <v>523.33600000000001</v>
      </c>
      <c r="P709" s="20">
        <f t="shared" si="70"/>
        <v>7</v>
      </c>
      <c r="Q709" s="20" t="str" cm="1">
        <f t="array" ref="Q709">_xlfn.IFS(P709&lt;=3,"Q1",P709&lt;=6,"Q2",P709&lt;=9,"Q3",P709&lt;=12,"Q4")</f>
        <v>Q3</v>
      </c>
    </row>
    <row r="710" spans="1:17" x14ac:dyDescent="0.25">
      <c r="A710" s="8">
        <v>45856</v>
      </c>
      <c r="B710" s="9" t="s">
        <v>73</v>
      </c>
      <c r="C710" s="9" t="s">
        <v>74</v>
      </c>
      <c r="D710" s="9" t="s">
        <v>75</v>
      </c>
      <c r="E710" s="10">
        <v>89.62</v>
      </c>
      <c r="F710" s="10">
        <v>90.38</v>
      </c>
      <c r="G710" s="10">
        <v>88.3</v>
      </c>
      <c r="H710" s="10">
        <v>88.65</v>
      </c>
      <c r="I710" s="11">
        <v>1411587</v>
      </c>
      <c r="J710" s="10">
        <v>19503000000</v>
      </c>
      <c r="K710" s="30">
        <f t="shared" si="66"/>
        <v>-1.0823476902477112</v>
      </c>
      <c r="L710" s="31">
        <f t="shared" si="67"/>
        <v>2.0799999999999983</v>
      </c>
      <c r="M710" s="30">
        <f t="shared" si="68"/>
        <v>2.3209105110466394E-2</v>
      </c>
      <c r="N710" s="20" t="str">
        <f t="shared" si="71"/>
        <v>Normal</v>
      </c>
      <c r="O710" s="32">
        <f t="shared" si="69"/>
        <v>19.503</v>
      </c>
      <c r="P710" s="20">
        <f t="shared" si="70"/>
        <v>7</v>
      </c>
      <c r="Q710" s="20" t="str" cm="1">
        <f t="array" ref="Q710">_xlfn.IFS(P710&lt;=3,"Q1",P710&lt;=6,"Q2",P710&lt;=9,"Q3",P710&lt;=12,"Q4")</f>
        <v>Q3</v>
      </c>
    </row>
    <row r="711" spans="1:17" x14ac:dyDescent="0.25">
      <c r="A711" s="14">
        <v>45856</v>
      </c>
      <c r="B711" s="15" t="s">
        <v>76</v>
      </c>
      <c r="C711" s="15" t="s">
        <v>77</v>
      </c>
      <c r="D711" s="15" t="s">
        <v>75</v>
      </c>
      <c r="E711" s="16">
        <v>142.1</v>
      </c>
      <c r="F711" s="16">
        <v>142.22999999999999</v>
      </c>
      <c r="G711" s="16">
        <v>141.72999999999999</v>
      </c>
      <c r="H711" s="16">
        <v>142.19999999999999</v>
      </c>
      <c r="I711" s="17">
        <v>1637105</v>
      </c>
      <c r="J711" s="16">
        <v>28440000000</v>
      </c>
      <c r="K711" s="30">
        <f t="shared" si="66"/>
        <v>7.0372976776913662E-2</v>
      </c>
      <c r="L711" s="31">
        <f t="shared" si="67"/>
        <v>0.5</v>
      </c>
      <c r="M711" s="30">
        <f t="shared" si="68"/>
        <v>3.5186488388458835E-3</v>
      </c>
      <c r="N711" s="20" t="str">
        <f t="shared" si="71"/>
        <v>Normal</v>
      </c>
      <c r="O711" s="32">
        <f t="shared" si="69"/>
        <v>28.44</v>
      </c>
      <c r="P711" s="20">
        <f t="shared" si="70"/>
        <v>7</v>
      </c>
      <c r="Q711" s="20" t="str" cm="1">
        <f t="array" ref="Q711">_xlfn.IFS(P711&lt;=3,"Q1",P711&lt;=6,"Q2",P711&lt;=9,"Q3",P711&lt;=12,"Q4")</f>
        <v>Q3</v>
      </c>
    </row>
    <row r="712" spans="1:17" x14ac:dyDescent="0.25">
      <c r="A712" s="8">
        <v>45859</v>
      </c>
      <c r="B712" s="9" t="s">
        <v>60</v>
      </c>
      <c r="C712" s="9" t="s">
        <v>61</v>
      </c>
      <c r="D712" s="9" t="s">
        <v>62</v>
      </c>
      <c r="E712" s="10">
        <v>2595.69</v>
      </c>
      <c r="F712" s="10">
        <v>2623.41</v>
      </c>
      <c r="G712" s="10">
        <v>2568.91</v>
      </c>
      <c r="H712" s="10">
        <v>2592.79</v>
      </c>
      <c r="I712" s="11">
        <v>3485580</v>
      </c>
      <c r="J712" s="10">
        <v>3629906000000</v>
      </c>
      <c r="K712" s="30">
        <f t="shared" si="66"/>
        <v>-0.11172366499852028</v>
      </c>
      <c r="L712" s="31">
        <f t="shared" si="67"/>
        <v>54.5</v>
      </c>
      <c r="M712" s="30">
        <f t="shared" si="68"/>
        <v>2.0996343939376428E-2</v>
      </c>
      <c r="N712" s="20" t="str">
        <f t="shared" si="71"/>
        <v>High volume</v>
      </c>
      <c r="O712" s="32">
        <f t="shared" si="69"/>
        <v>3629.9059999999999</v>
      </c>
      <c r="P712" s="20">
        <f t="shared" si="70"/>
        <v>7</v>
      </c>
      <c r="Q712" s="20" t="str" cm="1">
        <f t="array" ref="Q712">_xlfn.IFS(P712&lt;=3,"Q1",P712&lt;=6,"Q2",P712&lt;=9,"Q3",P712&lt;=12,"Q4")</f>
        <v>Q3</v>
      </c>
    </row>
    <row r="713" spans="1:17" x14ac:dyDescent="0.25">
      <c r="A713" s="14">
        <v>45859</v>
      </c>
      <c r="B713" s="15" t="s">
        <v>65</v>
      </c>
      <c r="C713" s="15" t="s">
        <v>66</v>
      </c>
      <c r="D713" s="15" t="s">
        <v>67</v>
      </c>
      <c r="E713" s="16">
        <v>218.09</v>
      </c>
      <c r="F713" s="16">
        <v>218.53</v>
      </c>
      <c r="G713" s="16">
        <v>215.73</v>
      </c>
      <c r="H713" s="16">
        <v>218.15</v>
      </c>
      <c r="I713" s="17">
        <v>1396016</v>
      </c>
      <c r="J713" s="16">
        <v>54537500000</v>
      </c>
      <c r="K713" s="30">
        <f t="shared" si="66"/>
        <v>2.7511577788987239E-2</v>
      </c>
      <c r="L713" s="31">
        <f t="shared" si="67"/>
        <v>2.8000000000000114</v>
      </c>
      <c r="M713" s="30">
        <f t="shared" si="68"/>
        <v>1.2838736301526944E-2</v>
      </c>
      <c r="N713" s="20" t="str">
        <f t="shared" si="71"/>
        <v>Normal</v>
      </c>
      <c r="O713" s="32">
        <f t="shared" si="69"/>
        <v>54.537500000000001</v>
      </c>
      <c r="P713" s="20">
        <f t="shared" si="70"/>
        <v>7</v>
      </c>
      <c r="Q713" s="20" t="str" cm="1">
        <f t="array" ref="Q713">_xlfn.IFS(P713&lt;=3,"Q1",P713&lt;=6,"Q2",P713&lt;=9,"Q3",P713&lt;=12,"Q4")</f>
        <v>Q3</v>
      </c>
    </row>
    <row r="714" spans="1:17" x14ac:dyDescent="0.25">
      <c r="A714" s="8">
        <v>45859</v>
      </c>
      <c r="B714" s="9" t="s">
        <v>69</v>
      </c>
      <c r="C714" s="9" t="s">
        <v>70</v>
      </c>
      <c r="D714" s="9" t="s">
        <v>71</v>
      </c>
      <c r="E714" s="10">
        <v>643.01</v>
      </c>
      <c r="F714" s="10">
        <v>643.64</v>
      </c>
      <c r="G714" s="10">
        <v>638.79</v>
      </c>
      <c r="H714" s="10">
        <v>639.1</v>
      </c>
      <c r="I714" s="11">
        <v>2936018</v>
      </c>
      <c r="J714" s="10">
        <v>511280000000</v>
      </c>
      <c r="K714" s="30">
        <f t="shared" si="66"/>
        <v>-0.60807763487348065</v>
      </c>
      <c r="L714" s="31">
        <f t="shared" si="67"/>
        <v>4.8500000000000227</v>
      </c>
      <c r="M714" s="30">
        <f t="shared" si="68"/>
        <v>7.5426509696583611E-3</v>
      </c>
      <c r="N714" s="20" t="str">
        <f t="shared" si="71"/>
        <v>High volume</v>
      </c>
      <c r="O714" s="32">
        <f t="shared" si="69"/>
        <v>511.28</v>
      </c>
      <c r="P714" s="20">
        <f t="shared" si="70"/>
        <v>7</v>
      </c>
      <c r="Q714" s="20" t="str" cm="1">
        <f t="array" ref="Q714">_xlfn.IFS(P714&lt;=3,"Q1",P714&lt;=6,"Q2",P714&lt;=9,"Q3",P714&lt;=12,"Q4")</f>
        <v>Q3</v>
      </c>
    </row>
    <row r="715" spans="1:17" x14ac:dyDescent="0.25">
      <c r="A715" s="14">
        <v>45859</v>
      </c>
      <c r="B715" s="15" t="s">
        <v>73</v>
      </c>
      <c r="C715" s="15" t="s">
        <v>74</v>
      </c>
      <c r="D715" s="15" t="s">
        <v>75</v>
      </c>
      <c r="E715" s="16">
        <v>87.74</v>
      </c>
      <c r="F715" s="16">
        <v>89.15</v>
      </c>
      <c r="G715" s="16">
        <v>87.63</v>
      </c>
      <c r="H715" s="16">
        <v>88.43</v>
      </c>
      <c r="I715" s="17">
        <v>2178921</v>
      </c>
      <c r="J715" s="16">
        <v>19454600000</v>
      </c>
      <c r="K715" s="30">
        <f t="shared" si="66"/>
        <v>0.78641440620015046</v>
      </c>
      <c r="L715" s="31">
        <f t="shared" si="67"/>
        <v>1.5200000000000102</v>
      </c>
      <c r="M715" s="30">
        <f t="shared" si="68"/>
        <v>1.7323911556872695E-2</v>
      </c>
      <c r="N715" s="20" t="str">
        <f t="shared" si="71"/>
        <v>High volume</v>
      </c>
      <c r="O715" s="32">
        <f t="shared" si="69"/>
        <v>19.454599999999999</v>
      </c>
      <c r="P715" s="20">
        <f t="shared" si="70"/>
        <v>7</v>
      </c>
      <c r="Q715" s="20" t="str" cm="1">
        <f t="array" ref="Q715">_xlfn.IFS(P715&lt;=3,"Q1",P715&lt;=6,"Q2",P715&lt;=9,"Q3",P715&lt;=12,"Q4")</f>
        <v>Q3</v>
      </c>
    </row>
    <row r="716" spans="1:17" x14ac:dyDescent="0.25">
      <c r="A716" s="8">
        <v>45859</v>
      </c>
      <c r="B716" s="9" t="s">
        <v>76</v>
      </c>
      <c r="C716" s="9" t="s">
        <v>77</v>
      </c>
      <c r="D716" s="9" t="s">
        <v>75</v>
      </c>
      <c r="E716" s="10">
        <v>145.37</v>
      </c>
      <c r="F716" s="10">
        <v>145.61000000000001</v>
      </c>
      <c r="G716" s="10">
        <v>144.62</v>
      </c>
      <c r="H716" s="10">
        <v>145.31</v>
      </c>
      <c r="I716" s="11">
        <v>1098948</v>
      </c>
      <c r="J716" s="10">
        <v>29062000000</v>
      </c>
      <c r="K716" s="30">
        <f t="shared" si="66"/>
        <v>-4.1273990506983743E-2</v>
      </c>
      <c r="L716" s="31">
        <f t="shared" si="67"/>
        <v>0.99000000000000909</v>
      </c>
      <c r="M716" s="30">
        <f t="shared" si="68"/>
        <v>6.8102084336521228E-3</v>
      </c>
      <c r="N716" s="20" t="str">
        <f t="shared" si="71"/>
        <v>Normal</v>
      </c>
      <c r="O716" s="32">
        <f t="shared" si="69"/>
        <v>29.062000000000001</v>
      </c>
      <c r="P716" s="20">
        <f t="shared" si="70"/>
        <v>7</v>
      </c>
      <c r="Q716" s="20" t="str" cm="1">
        <f t="array" ref="Q716">_xlfn.IFS(P716&lt;=3,"Q1",P716&lt;=6,"Q2",P716&lt;=9,"Q3",P716&lt;=12,"Q4")</f>
        <v>Q3</v>
      </c>
    </row>
    <row r="717" spans="1:17" x14ac:dyDescent="0.25">
      <c r="A717" s="14">
        <v>45860</v>
      </c>
      <c r="B717" s="15" t="s">
        <v>60</v>
      </c>
      <c r="C717" s="15" t="s">
        <v>61</v>
      </c>
      <c r="D717" s="15" t="s">
        <v>62</v>
      </c>
      <c r="E717" s="16">
        <v>2633.54</v>
      </c>
      <c r="F717" s="16">
        <v>2664.5</v>
      </c>
      <c r="G717" s="16">
        <v>2619.64</v>
      </c>
      <c r="H717" s="16">
        <v>2641.26</v>
      </c>
      <c r="I717" s="17">
        <v>3528579</v>
      </c>
      <c r="J717" s="16">
        <v>3697764000000</v>
      </c>
      <c r="K717" s="30">
        <f t="shared" si="66"/>
        <v>0.29314155091626687</v>
      </c>
      <c r="L717" s="31">
        <f t="shared" si="67"/>
        <v>44.860000000000127</v>
      </c>
      <c r="M717" s="30">
        <f t="shared" si="68"/>
        <v>1.7034106184071678E-2</v>
      </c>
      <c r="N717" s="20" t="str">
        <f t="shared" si="71"/>
        <v>High volume</v>
      </c>
      <c r="O717" s="32">
        <f t="shared" si="69"/>
        <v>3697.7640000000001</v>
      </c>
      <c r="P717" s="20">
        <f t="shared" si="70"/>
        <v>7</v>
      </c>
      <c r="Q717" s="20" t="str" cm="1">
        <f t="array" ref="Q717">_xlfn.IFS(P717&lt;=3,"Q1",P717&lt;=6,"Q2",P717&lt;=9,"Q3",P717&lt;=12,"Q4")</f>
        <v>Q3</v>
      </c>
    </row>
    <row r="718" spans="1:17" x14ac:dyDescent="0.25">
      <c r="A718" s="8">
        <v>45860</v>
      </c>
      <c r="B718" s="9" t="s">
        <v>65</v>
      </c>
      <c r="C718" s="9" t="s">
        <v>66</v>
      </c>
      <c r="D718" s="9" t="s">
        <v>67</v>
      </c>
      <c r="E718" s="10">
        <v>221.83</v>
      </c>
      <c r="F718" s="10">
        <v>224.5</v>
      </c>
      <c r="G718" s="10">
        <v>219.93</v>
      </c>
      <c r="H718" s="10">
        <v>219.98</v>
      </c>
      <c r="I718" s="11">
        <v>1616402</v>
      </c>
      <c r="J718" s="10">
        <v>54995000000</v>
      </c>
      <c r="K718" s="30">
        <f t="shared" si="66"/>
        <v>-0.83397196051031086</v>
      </c>
      <c r="L718" s="31">
        <f t="shared" si="67"/>
        <v>4.5699999999999932</v>
      </c>
      <c r="M718" s="30">
        <f t="shared" si="68"/>
        <v>2.0601361402876044E-2</v>
      </c>
      <c r="N718" s="20" t="str">
        <f t="shared" si="71"/>
        <v>Normal</v>
      </c>
      <c r="O718" s="32">
        <f t="shared" si="69"/>
        <v>54.994999999999997</v>
      </c>
      <c r="P718" s="20">
        <f t="shared" si="70"/>
        <v>7</v>
      </c>
      <c r="Q718" s="20" t="str" cm="1">
        <f t="array" ref="Q718">_xlfn.IFS(P718&lt;=3,"Q1",P718&lt;=6,"Q2",P718&lt;=9,"Q3",P718&lt;=12,"Q4")</f>
        <v>Q3</v>
      </c>
    </row>
    <row r="719" spans="1:17" x14ac:dyDescent="0.25">
      <c r="A719" s="14">
        <v>45860</v>
      </c>
      <c r="B719" s="15" t="s">
        <v>69</v>
      </c>
      <c r="C719" s="15" t="s">
        <v>70</v>
      </c>
      <c r="D719" s="15" t="s">
        <v>71</v>
      </c>
      <c r="E719" s="16">
        <v>630.94000000000005</v>
      </c>
      <c r="F719" s="16">
        <v>636.62</v>
      </c>
      <c r="G719" s="16">
        <v>630.74</v>
      </c>
      <c r="H719" s="16">
        <v>633.66</v>
      </c>
      <c r="I719" s="17">
        <v>1687508</v>
      </c>
      <c r="J719" s="16">
        <v>506928000000</v>
      </c>
      <c r="K719" s="30">
        <f t="shared" si="66"/>
        <v>0.43110279899830617</v>
      </c>
      <c r="L719" s="31">
        <f t="shared" si="67"/>
        <v>5.8799999999999955</v>
      </c>
      <c r="M719" s="30">
        <f t="shared" si="68"/>
        <v>9.3194281548166155E-3</v>
      </c>
      <c r="N719" s="20" t="str">
        <f t="shared" si="71"/>
        <v>Normal</v>
      </c>
      <c r="O719" s="32">
        <f t="shared" si="69"/>
        <v>506.928</v>
      </c>
      <c r="P719" s="20">
        <f t="shared" si="70"/>
        <v>7</v>
      </c>
      <c r="Q719" s="20" t="str" cm="1">
        <f t="array" ref="Q719">_xlfn.IFS(P719&lt;=3,"Q1",P719&lt;=6,"Q2",P719&lt;=9,"Q3",P719&lt;=12,"Q4")</f>
        <v>Q3</v>
      </c>
    </row>
    <row r="720" spans="1:17" x14ac:dyDescent="0.25">
      <c r="A720" s="8">
        <v>45860</v>
      </c>
      <c r="B720" s="9" t="s">
        <v>73</v>
      </c>
      <c r="C720" s="9" t="s">
        <v>74</v>
      </c>
      <c r="D720" s="9" t="s">
        <v>75</v>
      </c>
      <c r="E720" s="10">
        <v>89.82</v>
      </c>
      <c r="F720" s="10">
        <v>90.2</v>
      </c>
      <c r="G720" s="10">
        <v>89.71</v>
      </c>
      <c r="H720" s="10">
        <v>89.73</v>
      </c>
      <c r="I720" s="11">
        <v>2168197</v>
      </c>
      <c r="J720" s="10">
        <v>19740600000</v>
      </c>
      <c r="K720" s="30">
        <f t="shared" si="66"/>
        <v>-0.10020040080159119</v>
      </c>
      <c r="L720" s="31">
        <f t="shared" si="67"/>
        <v>0.49000000000000909</v>
      </c>
      <c r="M720" s="30">
        <f t="shared" si="68"/>
        <v>5.4553551547540536E-3</v>
      </c>
      <c r="N720" s="20" t="str">
        <f t="shared" si="71"/>
        <v>High volume</v>
      </c>
      <c r="O720" s="32">
        <f t="shared" si="69"/>
        <v>19.740600000000001</v>
      </c>
      <c r="P720" s="20">
        <f t="shared" si="70"/>
        <v>7</v>
      </c>
      <c r="Q720" s="20" t="str" cm="1">
        <f t="array" ref="Q720">_xlfn.IFS(P720&lt;=3,"Q1",P720&lt;=6,"Q2",P720&lt;=9,"Q3",P720&lt;=12,"Q4")</f>
        <v>Q3</v>
      </c>
    </row>
    <row r="721" spans="1:17" x14ac:dyDescent="0.25">
      <c r="A721" s="14">
        <v>45860</v>
      </c>
      <c r="B721" s="15" t="s">
        <v>76</v>
      </c>
      <c r="C721" s="15" t="s">
        <v>77</v>
      </c>
      <c r="D721" s="15" t="s">
        <v>75</v>
      </c>
      <c r="E721" s="16">
        <v>151.11000000000001</v>
      </c>
      <c r="F721" s="16">
        <v>152.22999999999999</v>
      </c>
      <c r="G721" s="16">
        <v>150.74</v>
      </c>
      <c r="H721" s="16">
        <v>151.96</v>
      </c>
      <c r="I721" s="17">
        <v>961278</v>
      </c>
      <c r="J721" s="16">
        <v>30392000000</v>
      </c>
      <c r="K721" s="30">
        <f t="shared" si="66"/>
        <v>0.56250413605982019</v>
      </c>
      <c r="L721" s="31">
        <f t="shared" si="67"/>
        <v>1.4899999999999807</v>
      </c>
      <c r="M721" s="30">
        <f t="shared" si="68"/>
        <v>9.8603666203426685E-3</v>
      </c>
      <c r="N721" s="20" t="str">
        <f t="shared" si="71"/>
        <v>Normal</v>
      </c>
      <c r="O721" s="32">
        <f t="shared" si="69"/>
        <v>30.391999999999999</v>
      </c>
      <c r="P721" s="20">
        <f t="shared" si="70"/>
        <v>7</v>
      </c>
      <c r="Q721" s="20" t="str" cm="1">
        <f t="array" ref="Q721">_xlfn.IFS(P721&lt;=3,"Q1",P721&lt;=6,"Q2",P721&lt;=9,"Q3",P721&lt;=12,"Q4")</f>
        <v>Q3</v>
      </c>
    </row>
    <row r="722" spans="1:17" x14ac:dyDescent="0.25">
      <c r="A722" s="8">
        <v>45861</v>
      </c>
      <c r="B722" s="9" t="s">
        <v>60</v>
      </c>
      <c r="C722" s="9" t="s">
        <v>61</v>
      </c>
      <c r="D722" s="9" t="s">
        <v>62</v>
      </c>
      <c r="E722" s="10">
        <v>2572.91</v>
      </c>
      <c r="F722" s="10">
        <v>2582.3200000000002</v>
      </c>
      <c r="G722" s="10">
        <v>2534.48</v>
      </c>
      <c r="H722" s="10">
        <v>2555.87</v>
      </c>
      <c r="I722" s="11">
        <v>1295785</v>
      </c>
      <c r="J722" s="10">
        <v>3578218000000</v>
      </c>
      <c r="K722" s="30">
        <f t="shared" si="66"/>
        <v>-0.66228511685212321</v>
      </c>
      <c r="L722" s="31">
        <f t="shared" si="67"/>
        <v>47.840000000000146</v>
      </c>
      <c r="M722" s="30">
        <f t="shared" si="68"/>
        <v>1.8593732388618393E-2</v>
      </c>
      <c r="N722" s="20" t="str">
        <f t="shared" si="71"/>
        <v>Normal</v>
      </c>
      <c r="O722" s="32">
        <f t="shared" si="69"/>
        <v>3578.2179999999998</v>
      </c>
      <c r="P722" s="20">
        <f t="shared" si="70"/>
        <v>7</v>
      </c>
      <c r="Q722" s="20" t="str" cm="1">
        <f t="array" ref="Q722">_xlfn.IFS(P722&lt;=3,"Q1",P722&lt;=6,"Q2",P722&lt;=9,"Q3",P722&lt;=12,"Q4")</f>
        <v>Q3</v>
      </c>
    </row>
    <row r="723" spans="1:17" x14ac:dyDescent="0.25">
      <c r="A723" s="14">
        <v>45861</v>
      </c>
      <c r="B723" s="15" t="s">
        <v>65</v>
      </c>
      <c r="C723" s="15" t="s">
        <v>66</v>
      </c>
      <c r="D723" s="15" t="s">
        <v>67</v>
      </c>
      <c r="E723" s="16">
        <v>222.11</v>
      </c>
      <c r="F723" s="16">
        <v>225.03</v>
      </c>
      <c r="G723" s="16">
        <v>221.75</v>
      </c>
      <c r="H723" s="16">
        <v>221.81</v>
      </c>
      <c r="I723" s="17">
        <v>3684297</v>
      </c>
      <c r="J723" s="16">
        <v>55452500000</v>
      </c>
      <c r="K723" s="30">
        <f t="shared" si="66"/>
        <v>-0.13506820944577522</v>
      </c>
      <c r="L723" s="31">
        <f t="shared" si="67"/>
        <v>3.2800000000000011</v>
      </c>
      <c r="M723" s="30">
        <f t="shared" si="68"/>
        <v>1.476745756607087E-2</v>
      </c>
      <c r="N723" s="20" t="str">
        <f t="shared" si="71"/>
        <v>High volume</v>
      </c>
      <c r="O723" s="32">
        <f t="shared" si="69"/>
        <v>55.452500000000001</v>
      </c>
      <c r="P723" s="20">
        <f t="shared" si="70"/>
        <v>7</v>
      </c>
      <c r="Q723" s="20" t="str" cm="1">
        <f t="array" ref="Q723">_xlfn.IFS(P723&lt;=3,"Q1",P723&lt;=6,"Q2",P723&lt;=9,"Q3",P723&lt;=12,"Q4")</f>
        <v>Q3</v>
      </c>
    </row>
    <row r="724" spans="1:17" x14ac:dyDescent="0.25">
      <c r="A724" s="8">
        <v>45861</v>
      </c>
      <c r="B724" s="9" t="s">
        <v>69</v>
      </c>
      <c r="C724" s="9" t="s">
        <v>70</v>
      </c>
      <c r="D724" s="9" t="s">
        <v>71</v>
      </c>
      <c r="E724" s="10">
        <v>623.45000000000005</v>
      </c>
      <c r="F724" s="10">
        <v>626.78</v>
      </c>
      <c r="G724" s="10">
        <v>621.27</v>
      </c>
      <c r="H724" s="10">
        <v>624.6</v>
      </c>
      <c r="I724" s="11">
        <v>2855152</v>
      </c>
      <c r="J724" s="10">
        <v>499680000000</v>
      </c>
      <c r="K724" s="30">
        <f t="shared" si="66"/>
        <v>0.18445745448712442</v>
      </c>
      <c r="L724" s="31">
        <f t="shared" si="67"/>
        <v>5.5099999999999909</v>
      </c>
      <c r="M724" s="30">
        <f t="shared" si="68"/>
        <v>8.8379180367310784E-3</v>
      </c>
      <c r="N724" s="20" t="str">
        <f t="shared" si="71"/>
        <v>High volume</v>
      </c>
      <c r="O724" s="32">
        <f t="shared" si="69"/>
        <v>499.68</v>
      </c>
      <c r="P724" s="20">
        <f t="shared" si="70"/>
        <v>7</v>
      </c>
      <c r="Q724" s="20" t="str" cm="1">
        <f t="array" ref="Q724">_xlfn.IFS(P724&lt;=3,"Q1",P724&lt;=6,"Q2",P724&lt;=9,"Q3",P724&lt;=12,"Q4")</f>
        <v>Q3</v>
      </c>
    </row>
    <row r="725" spans="1:17" x14ac:dyDescent="0.25">
      <c r="A725" s="14">
        <v>45861</v>
      </c>
      <c r="B725" s="15" t="s">
        <v>73</v>
      </c>
      <c r="C725" s="15" t="s">
        <v>74</v>
      </c>
      <c r="D725" s="15" t="s">
        <v>75</v>
      </c>
      <c r="E725" s="16">
        <v>89.75</v>
      </c>
      <c r="F725" s="16">
        <v>90.46</v>
      </c>
      <c r="G725" s="16">
        <v>89.16</v>
      </c>
      <c r="H725" s="16">
        <v>90.01</v>
      </c>
      <c r="I725" s="17">
        <v>4126949</v>
      </c>
      <c r="J725" s="16">
        <v>19802200000</v>
      </c>
      <c r="K725" s="30">
        <f t="shared" si="66"/>
        <v>0.2896935933147689</v>
      </c>
      <c r="L725" s="31">
        <f t="shared" si="67"/>
        <v>1.2999999999999972</v>
      </c>
      <c r="M725" s="30">
        <f t="shared" si="68"/>
        <v>1.448467966573813E-2</v>
      </c>
      <c r="N725" s="20" t="str">
        <f t="shared" si="71"/>
        <v>High volume</v>
      </c>
      <c r="O725" s="32">
        <f t="shared" si="69"/>
        <v>19.802199999999999</v>
      </c>
      <c r="P725" s="20">
        <f t="shared" si="70"/>
        <v>7</v>
      </c>
      <c r="Q725" s="20" t="str" cm="1">
        <f t="array" ref="Q725">_xlfn.IFS(P725&lt;=3,"Q1",P725&lt;=6,"Q2",P725&lt;=9,"Q3",P725&lt;=12,"Q4")</f>
        <v>Q3</v>
      </c>
    </row>
    <row r="726" spans="1:17" x14ac:dyDescent="0.25">
      <c r="A726" s="8">
        <v>45861</v>
      </c>
      <c r="B726" s="9" t="s">
        <v>76</v>
      </c>
      <c r="C726" s="9" t="s">
        <v>77</v>
      </c>
      <c r="D726" s="9" t="s">
        <v>75</v>
      </c>
      <c r="E726" s="10">
        <v>154.05000000000001</v>
      </c>
      <c r="F726" s="10">
        <v>154.41</v>
      </c>
      <c r="G726" s="10">
        <v>153.22999999999999</v>
      </c>
      <c r="H726" s="10">
        <v>153.77000000000001</v>
      </c>
      <c r="I726" s="11">
        <v>4998885</v>
      </c>
      <c r="J726" s="10">
        <v>30754000000</v>
      </c>
      <c r="K726" s="30">
        <f t="shared" si="66"/>
        <v>-0.18175916910094198</v>
      </c>
      <c r="L726" s="31">
        <f t="shared" si="67"/>
        <v>1.1800000000000068</v>
      </c>
      <c r="M726" s="30">
        <f t="shared" si="68"/>
        <v>7.6598506978254252E-3</v>
      </c>
      <c r="N726" s="20" t="str">
        <f t="shared" si="71"/>
        <v>High volume</v>
      </c>
      <c r="O726" s="32">
        <f t="shared" si="69"/>
        <v>30.754000000000001</v>
      </c>
      <c r="P726" s="20">
        <f t="shared" si="70"/>
        <v>7</v>
      </c>
      <c r="Q726" s="20" t="str" cm="1">
        <f t="array" ref="Q726">_xlfn.IFS(P726&lt;=3,"Q1",P726&lt;=6,"Q2",P726&lt;=9,"Q3",P726&lt;=12,"Q4")</f>
        <v>Q3</v>
      </c>
    </row>
    <row r="727" spans="1:17" x14ac:dyDescent="0.25">
      <c r="A727" s="14">
        <v>45862</v>
      </c>
      <c r="B727" s="15" t="s">
        <v>60</v>
      </c>
      <c r="C727" s="15" t="s">
        <v>61</v>
      </c>
      <c r="D727" s="15" t="s">
        <v>62</v>
      </c>
      <c r="E727" s="16">
        <v>2565.4899999999998</v>
      </c>
      <c r="F727" s="16">
        <v>2568.52</v>
      </c>
      <c r="G727" s="16">
        <v>2537.87</v>
      </c>
      <c r="H727" s="16">
        <v>2559.84</v>
      </c>
      <c r="I727" s="17">
        <v>3347535</v>
      </c>
      <c r="J727" s="16">
        <v>3583776000000</v>
      </c>
      <c r="K727" s="30">
        <f t="shared" si="66"/>
        <v>-0.22023083309619748</v>
      </c>
      <c r="L727" s="31">
        <f t="shared" si="67"/>
        <v>30.650000000000091</v>
      </c>
      <c r="M727" s="30">
        <f t="shared" si="68"/>
        <v>1.194703545911311E-2</v>
      </c>
      <c r="N727" s="20" t="str">
        <f t="shared" si="71"/>
        <v>High volume</v>
      </c>
      <c r="O727" s="32">
        <f t="shared" si="69"/>
        <v>3583.7759999999998</v>
      </c>
      <c r="P727" s="20">
        <f t="shared" si="70"/>
        <v>7</v>
      </c>
      <c r="Q727" s="20" t="str" cm="1">
        <f t="array" ref="Q727">_xlfn.IFS(P727&lt;=3,"Q1",P727&lt;=6,"Q2",P727&lt;=9,"Q3",P727&lt;=12,"Q4")</f>
        <v>Q3</v>
      </c>
    </row>
    <row r="728" spans="1:17" x14ac:dyDescent="0.25">
      <c r="A728" s="8">
        <v>45862</v>
      </c>
      <c r="B728" s="9" t="s">
        <v>65</v>
      </c>
      <c r="C728" s="9" t="s">
        <v>66</v>
      </c>
      <c r="D728" s="9" t="s">
        <v>67</v>
      </c>
      <c r="E728" s="10">
        <v>221.51</v>
      </c>
      <c r="F728" s="10">
        <v>222.36</v>
      </c>
      <c r="G728" s="10">
        <v>221.44</v>
      </c>
      <c r="H728" s="10">
        <v>221.75</v>
      </c>
      <c r="I728" s="11">
        <v>2749335</v>
      </c>
      <c r="J728" s="10">
        <v>55437500000</v>
      </c>
      <c r="K728" s="30">
        <f t="shared" si="66"/>
        <v>0.10834725294569506</v>
      </c>
      <c r="L728" s="31">
        <f t="shared" si="67"/>
        <v>0.92000000000001592</v>
      </c>
      <c r="M728" s="30">
        <f t="shared" si="68"/>
        <v>4.1533113629182248E-3</v>
      </c>
      <c r="N728" s="20" t="str">
        <f t="shared" si="71"/>
        <v>High volume</v>
      </c>
      <c r="O728" s="32">
        <f t="shared" si="69"/>
        <v>55.4375</v>
      </c>
      <c r="P728" s="20">
        <f t="shared" si="70"/>
        <v>7</v>
      </c>
      <c r="Q728" s="20" t="str" cm="1">
        <f t="array" ref="Q728">_xlfn.IFS(P728&lt;=3,"Q1",P728&lt;=6,"Q2",P728&lt;=9,"Q3",P728&lt;=12,"Q4")</f>
        <v>Q3</v>
      </c>
    </row>
    <row r="729" spans="1:17" x14ac:dyDescent="0.25">
      <c r="A729" s="14">
        <v>45862</v>
      </c>
      <c r="B729" s="15" t="s">
        <v>69</v>
      </c>
      <c r="C729" s="15" t="s">
        <v>70</v>
      </c>
      <c r="D729" s="15" t="s">
        <v>71</v>
      </c>
      <c r="E729" s="16">
        <v>618.1</v>
      </c>
      <c r="F729" s="16">
        <v>622.66999999999996</v>
      </c>
      <c r="G729" s="16">
        <v>616.69000000000005</v>
      </c>
      <c r="H729" s="16">
        <v>617.33000000000004</v>
      </c>
      <c r="I729" s="17">
        <v>1677035</v>
      </c>
      <c r="J729" s="16">
        <v>493864000000</v>
      </c>
      <c r="K729" s="30">
        <f t="shared" si="66"/>
        <v>-0.12457531143827566</v>
      </c>
      <c r="L729" s="31">
        <f t="shared" si="67"/>
        <v>5.9799999999999045</v>
      </c>
      <c r="M729" s="30">
        <f t="shared" si="68"/>
        <v>9.6748099013103123E-3</v>
      </c>
      <c r="N729" s="20" t="str">
        <f t="shared" si="71"/>
        <v>Normal</v>
      </c>
      <c r="O729" s="32">
        <f t="shared" si="69"/>
        <v>493.86399999999998</v>
      </c>
      <c r="P729" s="20">
        <f t="shared" si="70"/>
        <v>7</v>
      </c>
      <c r="Q729" s="20" t="str" cm="1">
        <f t="array" ref="Q729">_xlfn.IFS(P729&lt;=3,"Q1",P729&lt;=6,"Q2",P729&lt;=9,"Q3",P729&lt;=12,"Q4")</f>
        <v>Q3</v>
      </c>
    </row>
    <row r="730" spans="1:17" x14ac:dyDescent="0.25">
      <c r="A730" s="8">
        <v>45862</v>
      </c>
      <c r="B730" s="9" t="s">
        <v>73</v>
      </c>
      <c r="C730" s="9" t="s">
        <v>74</v>
      </c>
      <c r="D730" s="9" t="s">
        <v>75</v>
      </c>
      <c r="E730" s="10">
        <v>87.52</v>
      </c>
      <c r="F730" s="10">
        <v>87.58</v>
      </c>
      <c r="G730" s="10">
        <v>87.49</v>
      </c>
      <c r="H730" s="10">
        <v>87.51</v>
      </c>
      <c r="I730" s="11">
        <v>1943508</v>
      </c>
      <c r="J730" s="10">
        <v>19252200000</v>
      </c>
      <c r="K730" s="30">
        <f t="shared" si="66"/>
        <v>-1.1425959780611181E-2</v>
      </c>
      <c r="L730" s="31">
        <f t="shared" si="67"/>
        <v>9.0000000000003411E-2</v>
      </c>
      <c r="M730" s="30">
        <f t="shared" si="68"/>
        <v>1.0283363802559805E-3</v>
      </c>
      <c r="N730" s="20" t="str">
        <f t="shared" si="71"/>
        <v>Normal</v>
      </c>
      <c r="O730" s="32">
        <f t="shared" si="69"/>
        <v>19.252199999999998</v>
      </c>
      <c r="P730" s="20">
        <f t="shared" si="70"/>
        <v>7</v>
      </c>
      <c r="Q730" s="20" t="str" cm="1">
        <f t="array" ref="Q730">_xlfn.IFS(P730&lt;=3,"Q1",P730&lt;=6,"Q2",P730&lt;=9,"Q3",P730&lt;=12,"Q4")</f>
        <v>Q3</v>
      </c>
    </row>
    <row r="731" spans="1:17" x14ac:dyDescent="0.25">
      <c r="A731" s="14">
        <v>45862</v>
      </c>
      <c r="B731" s="15" t="s">
        <v>76</v>
      </c>
      <c r="C731" s="15" t="s">
        <v>77</v>
      </c>
      <c r="D731" s="15" t="s">
        <v>75</v>
      </c>
      <c r="E731" s="16">
        <v>151.44</v>
      </c>
      <c r="F731" s="16">
        <v>152.51</v>
      </c>
      <c r="G731" s="16">
        <v>148.86000000000001</v>
      </c>
      <c r="H731" s="16">
        <v>150.29</v>
      </c>
      <c r="I731" s="17">
        <v>4133979</v>
      </c>
      <c r="J731" s="16">
        <v>30058000000</v>
      </c>
      <c r="K731" s="30">
        <f t="shared" si="66"/>
        <v>-0.7593766508188099</v>
      </c>
      <c r="L731" s="31">
        <f t="shared" si="67"/>
        <v>3.6499999999999773</v>
      </c>
      <c r="M731" s="30">
        <f t="shared" si="68"/>
        <v>2.4101954569466306E-2</v>
      </c>
      <c r="N731" s="20" t="str">
        <f t="shared" si="71"/>
        <v>High volume</v>
      </c>
      <c r="O731" s="32">
        <f t="shared" si="69"/>
        <v>30.058</v>
      </c>
      <c r="P731" s="20">
        <f t="shared" si="70"/>
        <v>7</v>
      </c>
      <c r="Q731" s="20" t="str" cm="1">
        <f t="array" ref="Q731">_xlfn.IFS(P731&lt;=3,"Q1",P731&lt;=6,"Q2",P731&lt;=9,"Q3",P731&lt;=12,"Q4")</f>
        <v>Q3</v>
      </c>
    </row>
    <row r="732" spans="1:17" x14ac:dyDescent="0.25">
      <c r="A732" s="8">
        <v>45863</v>
      </c>
      <c r="B732" s="9" t="s">
        <v>60</v>
      </c>
      <c r="C732" s="9" t="s">
        <v>61</v>
      </c>
      <c r="D732" s="9" t="s">
        <v>62</v>
      </c>
      <c r="E732" s="10">
        <v>2571.63</v>
      </c>
      <c r="F732" s="10">
        <v>2583.5700000000002</v>
      </c>
      <c r="G732" s="10">
        <v>2553.46</v>
      </c>
      <c r="H732" s="10">
        <v>2554.86</v>
      </c>
      <c r="I732" s="11">
        <v>1333637</v>
      </c>
      <c r="J732" s="10">
        <v>3576804000000</v>
      </c>
      <c r="K732" s="30">
        <f t="shared" si="66"/>
        <v>-0.65211558427923066</v>
      </c>
      <c r="L732" s="31">
        <f t="shared" si="67"/>
        <v>30.110000000000127</v>
      </c>
      <c r="M732" s="30">
        <f t="shared" si="68"/>
        <v>1.1708527276474503E-2</v>
      </c>
      <c r="N732" s="20" t="str">
        <f t="shared" si="71"/>
        <v>Normal</v>
      </c>
      <c r="O732" s="32">
        <f t="shared" si="69"/>
        <v>3576.8040000000001</v>
      </c>
      <c r="P732" s="20">
        <f t="shared" si="70"/>
        <v>7</v>
      </c>
      <c r="Q732" s="20" t="str" cm="1">
        <f t="array" ref="Q732">_xlfn.IFS(P732&lt;=3,"Q1",P732&lt;=6,"Q2",P732&lt;=9,"Q3",P732&lt;=12,"Q4")</f>
        <v>Q3</v>
      </c>
    </row>
    <row r="733" spans="1:17" x14ac:dyDescent="0.25">
      <c r="A733" s="14">
        <v>45863</v>
      </c>
      <c r="B733" s="15" t="s">
        <v>65</v>
      </c>
      <c r="C733" s="15" t="s">
        <v>66</v>
      </c>
      <c r="D733" s="15" t="s">
        <v>67</v>
      </c>
      <c r="E733" s="16">
        <v>226.56</v>
      </c>
      <c r="F733" s="16">
        <v>226.84</v>
      </c>
      <c r="G733" s="16">
        <v>224.6</v>
      </c>
      <c r="H733" s="16">
        <v>226.07</v>
      </c>
      <c r="I733" s="17">
        <v>4529515</v>
      </c>
      <c r="J733" s="16">
        <v>56517500000</v>
      </c>
      <c r="K733" s="30">
        <f t="shared" si="66"/>
        <v>-0.21627824858757461</v>
      </c>
      <c r="L733" s="31">
        <f t="shared" si="67"/>
        <v>2.2400000000000091</v>
      </c>
      <c r="M733" s="30">
        <f t="shared" si="68"/>
        <v>9.8870056497175549E-3</v>
      </c>
      <c r="N733" s="20" t="str">
        <f t="shared" si="71"/>
        <v>High volume</v>
      </c>
      <c r="O733" s="32">
        <f t="shared" si="69"/>
        <v>56.517499999999998</v>
      </c>
      <c r="P733" s="20">
        <f t="shared" si="70"/>
        <v>7</v>
      </c>
      <c r="Q733" s="20" t="str" cm="1">
        <f t="array" ref="Q733">_xlfn.IFS(P733&lt;=3,"Q1",P733&lt;=6,"Q2",P733&lt;=9,"Q3",P733&lt;=12,"Q4")</f>
        <v>Q3</v>
      </c>
    </row>
    <row r="734" spans="1:17" x14ac:dyDescent="0.25">
      <c r="A734" s="8">
        <v>45863</v>
      </c>
      <c r="B734" s="9" t="s">
        <v>69</v>
      </c>
      <c r="C734" s="9" t="s">
        <v>70</v>
      </c>
      <c r="D734" s="9" t="s">
        <v>71</v>
      </c>
      <c r="E734" s="10">
        <v>624.66999999999996</v>
      </c>
      <c r="F734" s="10">
        <v>629.07000000000005</v>
      </c>
      <c r="G734" s="10">
        <v>623.12</v>
      </c>
      <c r="H734" s="10">
        <v>628.69000000000005</v>
      </c>
      <c r="I734" s="11">
        <v>4351126</v>
      </c>
      <c r="J734" s="10">
        <v>502952000000</v>
      </c>
      <c r="K734" s="30">
        <f t="shared" si="66"/>
        <v>0.64353978900861186</v>
      </c>
      <c r="L734" s="31">
        <f t="shared" si="67"/>
        <v>5.9500000000000455</v>
      </c>
      <c r="M734" s="30">
        <f t="shared" si="68"/>
        <v>9.5250292154258186E-3</v>
      </c>
      <c r="N734" s="20" t="str">
        <f t="shared" si="71"/>
        <v>High volume</v>
      </c>
      <c r="O734" s="32">
        <f t="shared" si="69"/>
        <v>502.952</v>
      </c>
      <c r="P734" s="20">
        <f t="shared" si="70"/>
        <v>7</v>
      </c>
      <c r="Q734" s="20" t="str" cm="1">
        <f t="array" ref="Q734">_xlfn.IFS(P734&lt;=3,"Q1",P734&lt;=6,"Q2",P734&lt;=9,"Q3",P734&lt;=12,"Q4")</f>
        <v>Q3</v>
      </c>
    </row>
    <row r="735" spans="1:17" x14ac:dyDescent="0.25">
      <c r="A735" s="14">
        <v>45863</v>
      </c>
      <c r="B735" s="15" t="s">
        <v>73</v>
      </c>
      <c r="C735" s="15" t="s">
        <v>74</v>
      </c>
      <c r="D735" s="15" t="s">
        <v>75</v>
      </c>
      <c r="E735" s="16">
        <v>87.45</v>
      </c>
      <c r="F735" s="16">
        <v>88.53</v>
      </c>
      <c r="G735" s="16">
        <v>86.89</v>
      </c>
      <c r="H735" s="16">
        <v>88.38</v>
      </c>
      <c r="I735" s="17">
        <v>1756684</v>
      </c>
      <c r="J735" s="16">
        <v>19443600000</v>
      </c>
      <c r="K735" s="30">
        <f t="shared" si="66"/>
        <v>1.0634648370497344</v>
      </c>
      <c r="L735" s="31">
        <f t="shared" si="67"/>
        <v>1.6400000000000006</v>
      </c>
      <c r="M735" s="30">
        <f t="shared" si="68"/>
        <v>1.8753573470554608E-2</v>
      </c>
      <c r="N735" s="20" t="str">
        <f t="shared" si="71"/>
        <v>Normal</v>
      </c>
      <c r="O735" s="32">
        <f t="shared" si="69"/>
        <v>19.4436</v>
      </c>
      <c r="P735" s="20">
        <f t="shared" si="70"/>
        <v>7</v>
      </c>
      <c r="Q735" s="20" t="str" cm="1">
        <f t="array" ref="Q735">_xlfn.IFS(P735&lt;=3,"Q1",P735&lt;=6,"Q2",P735&lt;=9,"Q3",P735&lt;=12,"Q4")</f>
        <v>Q3</v>
      </c>
    </row>
    <row r="736" spans="1:17" x14ac:dyDescent="0.25">
      <c r="A736" s="8">
        <v>45863</v>
      </c>
      <c r="B736" s="9" t="s">
        <v>76</v>
      </c>
      <c r="C736" s="9" t="s">
        <v>77</v>
      </c>
      <c r="D736" s="9" t="s">
        <v>75</v>
      </c>
      <c r="E736" s="10">
        <v>150.18</v>
      </c>
      <c r="F736" s="10">
        <v>150.81</v>
      </c>
      <c r="G736" s="10">
        <v>148.94</v>
      </c>
      <c r="H736" s="10">
        <v>150.59</v>
      </c>
      <c r="I736" s="11">
        <v>4528782</v>
      </c>
      <c r="J736" s="10">
        <v>30118000000</v>
      </c>
      <c r="K736" s="30">
        <f t="shared" si="66"/>
        <v>0.27300572646157717</v>
      </c>
      <c r="L736" s="31">
        <f t="shared" si="67"/>
        <v>1.8700000000000045</v>
      </c>
      <c r="M736" s="30">
        <f t="shared" si="68"/>
        <v>1.2451724597150117E-2</v>
      </c>
      <c r="N736" s="20" t="str">
        <f t="shared" si="71"/>
        <v>High volume</v>
      </c>
      <c r="O736" s="32">
        <f t="shared" si="69"/>
        <v>30.117999999999999</v>
      </c>
      <c r="P736" s="20">
        <f t="shared" si="70"/>
        <v>7</v>
      </c>
      <c r="Q736" s="20" t="str" cm="1">
        <f t="array" ref="Q736">_xlfn.IFS(P736&lt;=3,"Q1",P736&lt;=6,"Q2",P736&lt;=9,"Q3",P736&lt;=12,"Q4")</f>
        <v>Q3</v>
      </c>
    </row>
    <row r="737" spans="1:17" x14ac:dyDescent="0.25">
      <c r="A737" s="14">
        <v>45866</v>
      </c>
      <c r="B737" s="15" t="s">
        <v>60</v>
      </c>
      <c r="C737" s="15" t="s">
        <v>61</v>
      </c>
      <c r="D737" s="15" t="s">
        <v>62</v>
      </c>
      <c r="E737" s="16">
        <v>2589.11</v>
      </c>
      <c r="F737" s="16">
        <v>2604.9699999999998</v>
      </c>
      <c r="G737" s="16">
        <v>2574.48</v>
      </c>
      <c r="H737" s="16">
        <v>2593.0500000000002</v>
      </c>
      <c r="I737" s="17">
        <v>2382377</v>
      </c>
      <c r="J737" s="16">
        <v>3630270000000</v>
      </c>
      <c r="K737" s="30">
        <f t="shared" si="66"/>
        <v>0.152175844209016</v>
      </c>
      <c r="L737" s="31">
        <f t="shared" si="67"/>
        <v>30.489999999999782</v>
      </c>
      <c r="M737" s="30">
        <f t="shared" si="68"/>
        <v>1.1776247436377667E-2</v>
      </c>
      <c r="N737" s="20" t="str">
        <f t="shared" si="71"/>
        <v>High volume</v>
      </c>
      <c r="O737" s="32">
        <f t="shared" si="69"/>
        <v>3630.27</v>
      </c>
      <c r="P737" s="20">
        <f t="shared" si="70"/>
        <v>7</v>
      </c>
      <c r="Q737" s="20" t="str" cm="1">
        <f t="array" ref="Q737">_xlfn.IFS(P737&lt;=3,"Q1",P737&lt;=6,"Q2",P737&lt;=9,"Q3",P737&lt;=12,"Q4")</f>
        <v>Q3</v>
      </c>
    </row>
    <row r="738" spans="1:17" x14ac:dyDescent="0.25">
      <c r="A738" s="8">
        <v>45866</v>
      </c>
      <c r="B738" s="9" t="s">
        <v>65</v>
      </c>
      <c r="C738" s="9" t="s">
        <v>66</v>
      </c>
      <c r="D738" s="9" t="s">
        <v>67</v>
      </c>
      <c r="E738" s="10">
        <v>224.83</v>
      </c>
      <c r="F738" s="10">
        <v>229.41</v>
      </c>
      <c r="G738" s="10">
        <v>222.89</v>
      </c>
      <c r="H738" s="10">
        <v>223.76</v>
      </c>
      <c r="I738" s="11">
        <v>3762359</v>
      </c>
      <c r="J738" s="10">
        <v>55940000000</v>
      </c>
      <c r="K738" s="30">
        <f t="shared" si="66"/>
        <v>-0.47591513588045259</v>
      </c>
      <c r="L738" s="31">
        <f t="shared" si="67"/>
        <v>6.5200000000000102</v>
      </c>
      <c r="M738" s="30">
        <f t="shared" si="68"/>
        <v>2.8999688653649467E-2</v>
      </c>
      <c r="N738" s="20" t="str">
        <f t="shared" si="71"/>
        <v>High volume</v>
      </c>
      <c r="O738" s="32">
        <f t="shared" si="69"/>
        <v>55.94</v>
      </c>
      <c r="P738" s="20">
        <f t="shared" si="70"/>
        <v>7</v>
      </c>
      <c r="Q738" s="20" t="str" cm="1">
        <f t="array" ref="Q738">_xlfn.IFS(P738&lt;=3,"Q1",P738&lt;=6,"Q2",P738&lt;=9,"Q3",P738&lt;=12,"Q4")</f>
        <v>Q3</v>
      </c>
    </row>
    <row r="739" spans="1:17" x14ac:dyDescent="0.25">
      <c r="A739" s="14">
        <v>45866</v>
      </c>
      <c r="B739" s="15" t="s">
        <v>69</v>
      </c>
      <c r="C739" s="15" t="s">
        <v>70</v>
      </c>
      <c r="D739" s="15" t="s">
        <v>71</v>
      </c>
      <c r="E739" s="16">
        <v>626.91</v>
      </c>
      <c r="F739" s="16">
        <v>635.27</v>
      </c>
      <c r="G739" s="16">
        <v>620.63</v>
      </c>
      <c r="H739" s="16">
        <v>628.13</v>
      </c>
      <c r="I739" s="17">
        <v>4895329</v>
      </c>
      <c r="J739" s="16">
        <v>502504000000</v>
      </c>
      <c r="K739" s="30">
        <f t="shared" si="66"/>
        <v>0.19460528624523893</v>
      </c>
      <c r="L739" s="31">
        <f t="shared" si="67"/>
        <v>14.639999999999986</v>
      </c>
      <c r="M739" s="30">
        <f t="shared" si="68"/>
        <v>2.3352634349428126E-2</v>
      </c>
      <c r="N739" s="20" t="str">
        <f t="shared" si="71"/>
        <v>High volume</v>
      </c>
      <c r="O739" s="32">
        <f t="shared" si="69"/>
        <v>502.50400000000002</v>
      </c>
      <c r="P739" s="20">
        <f t="shared" si="70"/>
        <v>7</v>
      </c>
      <c r="Q739" s="20" t="str" cm="1">
        <f t="array" ref="Q739">_xlfn.IFS(P739&lt;=3,"Q1",P739&lt;=6,"Q2",P739&lt;=9,"Q3",P739&lt;=12,"Q4")</f>
        <v>Q3</v>
      </c>
    </row>
    <row r="740" spans="1:17" x14ac:dyDescent="0.25">
      <c r="A740" s="8">
        <v>45866</v>
      </c>
      <c r="B740" s="9" t="s">
        <v>73</v>
      </c>
      <c r="C740" s="9" t="s">
        <v>74</v>
      </c>
      <c r="D740" s="9" t="s">
        <v>75</v>
      </c>
      <c r="E740" s="10">
        <v>89.74</v>
      </c>
      <c r="F740" s="10">
        <v>90.61</v>
      </c>
      <c r="G740" s="10">
        <v>88.81</v>
      </c>
      <c r="H740" s="10">
        <v>89.17</v>
      </c>
      <c r="I740" s="11">
        <v>2737557</v>
      </c>
      <c r="J740" s="10">
        <v>19617400000</v>
      </c>
      <c r="K740" s="30">
        <f t="shared" si="66"/>
        <v>-0.63516826387340453</v>
      </c>
      <c r="L740" s="31">
        <f t="shared" si="67"/>
        <v>1.7999999999999972</v>
      </c>
      <c r="M740" s="30">
        <f t="shared" si="68"/>
        <v>2.0057945174949826E-2</v>
      </c>
      <c r="N740" s="20" t="str">
        <f t="shared" si="71"/>
        <v>High volume</v>
      </c>
      <c r="O740" s="32">
        <f t="shared" si="69"/>
        <v>19.6174</v>
      </c>
      <c r="P740" s="20">
        <f t="shared" si="70"/>
        <v>7</v>
      </c>
      <c r="Q740" s="20" t="str" cm="1">
        <f t="array" ref="Q740">_xlfn.IFS(P740&lt;=3,"Q1",P740&lt;=6,"Q2",P740&lt;=9,"Q3",P740&lt;=12,"Q4")</f>
        <v>Q3</v>
      </c>
    </row>
    <row r="741" spans="1:17" x14ac:dyDescent="0.25">
      <c r="A741" s="14">
        <v>45866</v>
      </c>
      <c r="B741" s="15" t="s">
        <v>76</v>
      </c>
      <c r="C741" s="15" t="s">
        <v>77</v>
      </c>
      <c r="D741" s="15" t="s">
        <v>75</v>
      </c>
      <c r="E741" s="16">
        <v>149.36000000000001</v>
      </c>
      <c r="F741" s="16">
        <v>150.4</v>
      </c>
      <c r="G741" s="16">
        <v>146.88</v>
      </c>
      <c r="H741" s="16">
        <v>147.35</v>
      </c>
      <c r="I741" s="17">
        <v>1791601</v>
      </c>
      <c r="J741" s="16">
        <v>29470000000</v>
      </c>
      <c r="K741" s="30">
        <f t="shared" si="66"/>
        <v>-1.3457418318157599</v>
      </c>
      <c r="L741" s="31">
        <f t="shared" si="67"/>
        <v>3.5200000000000102</v>
      </c>
      <c r="M741" s="30">
        <f t="shared" si="68"/>
        <v>2.3567220139260912E-2</v>
      </c>
      <c r="N741" s="20" t="str">
        <f t="shared" si="71"/>
        <v>Normal</v>
      </c>
      <c r="O741" s="32">
        <f t="shared" si="69"/>
        <v>29.47</v>
      </c>
      <c r="P741" s="20">
        <f t="shared" si="70"/>
        <v>7</v>
      </c>
      <c r="Q741" s="20" t="str" cm="1">
        <f t="array" ref="Q741">_xlfn.IFS(P741&lt;=3,"Q1",P741&lt;=6,"Q2",P741&lt;=9,"Q3",P741&lt;=12,"Q4")</f>
        <v>Q3</v>
      </c>
    </row>
    <row r="742" spans="1:17" x14ac:dyDescent="0.25">
      <c r="A742" s="8">
        <v>45867</v>
      </c>
      <c r="B742" s="9" t="s">
        <v>60</v>
      </c>
      <c r="C742" s="9" t="s">
        <v>61</v>
      </c>
      <c r="D742" s="9" t="s">
        <v>62</v>
      </c>
      <c r="E742" s="10">
        <v>2533.6999999999998</v>
      </c>
      <c r="F742" s="10">
        <v>2534.46</v>
      </c>
      <c r="G742" s="10">
        <v>2529.29</v>
      </c>
      <c r="H742" s="10">
        <v>2531.11</v>
      </c>
      <c r="I742" s="11">
        <v>4329634</v>
      </c>
      <c r="J742" s="10">
        <v>3543554000000</v>
      </c>
      <c r="K742" s="30">
        <f t="shared" si="66"/>
        <v>-0.10222204680900228</v>
      </c>
      <c r="L742" s="31">
        <f t="shared" si="67"/>
        <v>5.1700000000000728</v>
      </c>
      <c r="M742" s="30">
        <f t="shared" si="68"/>
        <v>2.0404941390062253E-3</v>
      </c>
      <c r="N742" s="20" t="str">
        <f t="shared" si="71"/>
        <v>High volume</v>
      </c>
      <c r="O742" s="32">
        <f t="shared" si="69"/>
        <v>3543.5540000000001</v>
      </c>
      <c r="P742" s="20">
        <f t="shared" si="70"/>
        <v>7</v>
      </c>
      <c r="Q742" s="20" t="str" cm="1">
        <f t="array" ref="Q742">_xlfn.IFS(P742&lt;=3,"Q1",P742&lt;=6,"Q2",P742&lt;=9,"Q3",P742&lt;=12,"Q4")</f>
        <v>Q3</v>
      </c>
    </row>
    <row r="743" spans="1:17" x14ac:dyDescent="0.25">
      <c r="A743" s="14">
        <v>45867</v>
      </c>
      <c r="B743" s="15" t="s">
        <v>65</v>
      </c>
      <c r="C743" s="15" t="s">
        <v>66</v>
      </c>
      <c r="D743" s="15" t="s">
        <v>67</v>
      </c>
      <c r="E743" s="16">
        <v>225.3</v>
      </c>
      <c r="F743" s="16">
        <v>229.04</v>
      </c>
      <c r="G743" s="16">
        <v>223.16</v>
      </c>
      <c r="H743" s="16">
        <v>227.34</v>
      </c>
      <c r="I743" s="17">
        <v>4778701</v>
      </c>
      <c r="J743" s="16">
        <v>56835000000</v>
      </c>
      <c r="K743" s="30">
        <f t="shared" si="66"/>
        <v>0.90545938748335197</v>
      </c>
      <c r="L743" s="31">
        <f t="shared" si="67"/>
        <v>5.8799999999999955</v>
      </c>
      <c r="M743" s="30">
        <f t="shared" si="68"/>
        <v>2.6098535286284932E-2</v>
      </c>
      <c r="N743" s="20" t="str">
        <f t="shared" si="71"/>
        <v>High volume</v>
      </c>
      <c r="O743" s="32">
        <f t="shared" si="69"/>
        <v>56.835000000000001</v>
      </c>
      <c r="P743" s="20">
        <f t="shared" si="70"/>
        <v>7</v>
      </c>
      <c r="Q743" s="20" t="str" cm="1">
        <f t="array" ref="Q743">_xlfn.IFS(P743&lt;=3,"Q1",P743&lt;=6,"Q2",P743&lt;=9,"Q3",P743&lt;=12,"Q4")</f>
        <v>Q3</v>
      </c>
    </row>
    <row r="744" spans="1:17" x14ac:dyDescent="0.25">
      <c r="A744" s="8">
        <v>45867</v>
      </c>
      <c r="B744" s="9" t="s">
        <v>69</v>
      </c>
      <c r="C744" s="9" t="s">
        <v>70</v>
      </c>
      <c r="D744" s="9" t="s">
        <v>71</v>
      </c>
      <c r="E744" s="10">
        <v>624.16999999999996</v>
      </c>
      <c r="F744" s="10">
        <v>633.61</v>
      </c>
      <c r="G744" s="10">
        <v>621.99</v>
      </c>
      <c r="H744" s="10">
        <v>622.28</v>
      </c>
      <c r="I744" s="11">
        <v>1519088</v>
      </c>
      <c r="J744" s="10">
        <v>497824000000</v>
      </c>
      <c r="K744" s="30">
        <f t="shared" si="66"/>
        <v>-0.30280212121697397</v>
      </c>
      <c r="L744" s="31">
        <f t="shared" si="67"/>
        <v>11.620000000000005</v>
      </c>
      <c r="M744" s="30">
        <f t="shared" si="68"/>
        <v>1.861672300815484E-2</v>
      </c>
      <c r="N744" s="20" t="str">
        <f t="shared" si="71"/>
        <v>Normal</v>
      </c>
      <c r="O744" s="32">
        <f t="shared" si="69"/>
        <v>497.82400000000001</v>
      </c>
      <c r="P744" s="20">
        <f t="shared" si="70"/>
        <v>7</v>
      </c>
      <c r="Q744" s="20" t="str" cm="1">
        <f t="array" ref="Q744">_xlfn.IFS(P744&lt;=3,"Q1",P744&lt;=6,"Q2",P744&lt;=9,"Q3",P744&lt;=12,"Q4")</f>
        <v>Q3</v>
      </c>
    </row>
    <row r="745" spans="1:17" x14ac:dyDescent="0.25">
      <c r="A745" s="14">
        <v>45867</v>
      </c>
      <c r="B745" s="15" t="s">
        <v>73</v>
      </c>
      <c r="C745" s="15" t="s">
        <v>74</v>
      </c>
      <c r="D745" s="15" t="s">
        <v>75</v>
      </c>
      <c r="E745" s="16">
        <v>87.67</v>
      </c>
      <c r="F745" s="16">
        <v>87.9</v>
      </c>
      <c r="G745" s="16">
        <v>87.59</v>
      </c>
      <c r="H745" s="16">
        <v>87.67</v>
      </c>
      <c r="I745" s="17">
        <v>1650023</v>
      </c>
      <c r="J745" s="16">
        <v>19287400000</v>
      </c>
      <c r="K745" s="30">
        <f t="shared" si="66"/>
        <v>0</v>
      </c>
      <c r="L745" s="31">
        <f t="shared" si="67"/>
        <v>0.31000000000000227</v>
      </c>
      <c r="M745" s="30">
        <f t="shared" si="68"/>
        <v>3.535987224820375E-3</v>
      </c>
      <c r="N745" s="20" t="str">
        <f t="shared" si="71"/>
        <v>Normal</v>
      </c>
      <c r="O745" s="32">
        <f t="shared" si="69"/>
        <v>19.287400000000002</v>
      </c>
      <c r="P745" s="20">
        <f t="shared" si="70"/>
        <v>7</v>
      </c>
      <c r="Q745" s="20" t="str" cm="1">
        <f t="array" ref="Q745">_xlfn.IFS(P745&lt;=3,"Q1",P745&lt;=6,"Q2",P745&lt;=9,"Q3",P745&lt;=12,"Q4")</f>
        <v>Q3</v>
      </c>
    </row>
    <row r="746" spans="1:17" x14ac:dyDescent="0.25">
      <c r="A746" s="8">
        <v>45867</v>
      </c>
      <c r="B746" s="9" t="s">
        <v>76</v>
      </c>
      <c r="C746" s="9" t="s">
        <v>77</v>
      </c>
      <c r="D746" s="9" t="s">
        <v>75</v>
      </c>
      <c r="E746" s="10">
        <v>150.71</v>
      </c>
      <c r="F746" s="10">
        <v>150.9</v>
      </c>
      <c r="G746" s="10">
        <v>150.44999999999999</v>
      </c>
      <c r="H746" s="10">
        <v>150.80000000000001</v>
      </c>
      <c r="I746" s="11">
        <v>2011283</v>
      </c>
      <c r="J746" s="10">
        <v>30160000000</v>
      </c>
      <c r="K746" s="30">
        <f t="shared" si="66"/>
        <v>5.9717337933782366E-2</v>
      </c>
      <c r="L746" s="31">
        <f t="shared" si="67"/>
        <v>0.45000000000001705</v>
      </c>
      <c r="M746" s="30">
        <f t="shared" si="68"/>
        <v>2.9858668966891186E-3</v>
      </c>
      <c r="N746" s="20" t="str">
        <f t="shared" si="71"/>
        <v>High volume</v>
      </c>
      <c r="O746" s="32">
        <f t="shared" si="69"/>
        <v>30.16</v>
      </c>
      <c r="P746" s="20">
        <f t="shared" si="70"/>
        <v>7</v>
      </c>
      <c r="Q746" s="20" t="str" cm="1">
        <f t="array" ref="Q746">_xlfn.IFS(P746&lt;=3,"Q1",P746&lt;=6,"Q2",P746&lt;=9,"Q3",P746&lt;=12,"Q4")</f>
        <v>Q3</v>
      </c>
    </row>
    <row r="747" spans="1:17" x14ac:dyDescent="0.25">
      <c r="A747" s="14">
        <v>45868</v>
      </c>
      <c r="B747" s="15" t="s">
        <v>60</v>
      </c>
      <c r="C747" s="15" t="s">
        <v>61</v>
      </c>
      <c r="D747" s="15" t="s">
        <v>62</v>
      </c>
      <c r="E747" s="16">
        <v>2542.4299999999998</v>
      </c>
      <c r="F747" s="16">
        <v>2542.5500000000002</v>
      </c>
      <c r="G747" s="16">
        <v>2537.2199999999998</v>
      </c>
      <c r="H747" s="16">
        <v>2541.56</v>
      </c>
      <c r="I747" s="17">
        <v>1159664</v>
      </c>
      <c r="J747" s="16">
        <v>3558184000000</v>
      </c>
      <c r="K747" s="30">
        <f t="shared" si="66"/>
        <v>-3.4219231207934575E-2</v>
      </c>
      <c r="L747" s="31">
        <f t="shared" si="67"/>
        <v>5.330000000000382</v>
      </c>
      <c r="M747" s="30">
        <f t="shared" si="68"/>
        <v>2.0964195671072093E-3</v>
      </c>
      <c r="N747" s="20" t="str">
        <f t="shared" si="71"/>
        <v>Normal</v>
      </c>
      <c r="O747" s="32">
        <f t="shared" si="69"/>
        <v>3558.1840000000002</v>
      </c>
      <c r="P747" s="20">
        <f t="shared" si="70"/>
        <v>7</v>
      </c>
      <c r="Q747" s="20" t="str" cm="1">
        <f t="array" ref="Q747">_xlfn.IFS(P747&lt;=3,"Q1",P747&lt;=6,"Q2",P747&lt;=9,"Q3",P747&lt;=12,"Q4")</f>
        <v>Q3</v>
      </c>
    </row>
    <row r="748" spans="1:17" x14ac:dyDescent="0.25">
      <c r="A748" s="8">
        <v>45868</v>
      </c>
      <c r="B748" s="9" t="s">
        <v>65</v>
      </c>
      <c r="C748" s="9" t="s">
        <v>66</v>
      </c>
      <c r="D748" s="9" t="s">
        <v>67</v>
      </c>
      <c r="E748" s="10">
        <v>223.57</v>
      </c>
      <c r="F748" s="10">
        <v>225.36</v>
      </c>
      <c r="G748" s="10">
        <v>222.39</v>
      </c>
      <c r="H748" s="10">
        <v>224.31</v>
      </c>
      <c r="I748" s="11">
        <v>3562217</v>
      </c>
      <c r="J748" s="10">
        <v>56077500000</v>
      </c>
      <c r="K748" s="30">
        <f t="shared" si="66"/>
        <v>0.33099253030371212</v>
      </c>
      <c r="L748" s="31">
        <f t="shared" si="67"/>
        <v>2.9700000000000273</v>
      </c>
      <c r="M748" s="30">
        <f t="shared" si="68"/>
        <v>1.3284429932459756E-2</v>
      </c>
      <c r="N748" s="20" t="str">
        <f t="shared" si="71"/>
        <v>High volume</v>
      </c>
      <c r="O748" s="32">
        <f t="shared" si="69"/>
        <v>56.077500000000001</v>
      </c>
      <c r="P748" s="20">
        <f t="shared" si="70"/>
        <v>7</v>
      </c>
      <c r="Q748" s="20" t="str" cm="1">
        <f t="array" ref="Q748">_xlfn.IFS(P748&lt;=3,"Q1",P748&lt;=6,"Q2",P748&lt;=9,"Q3",P748&lt;=12,"Q4")</f>
        <v>Q3</v>
      </c>
    </row>
    <row r="749" spans="1:17" x14ac:dyDescent="0.25">
      <c r="A749" s="14">
        <v>45868</v>
      </c>
      <c r="B749" s="15" t="s">
        <v>69</v>
      </c>
      <c r="C749" s="15" t="s">
        <v>70</v>
      </c>
      <c r="D749" s="15" t="s">
        <v>71</v>
      </c>
      <c r="E749" s="16">
        <v>619.88</v>
      </c>
      <c r="F749" s="16">
        <v>620.55999999999995</v>
      </c>
      <c r="G749" s="16">
        <v>611.22</v>
      </c>
      <c r="H749" s="16">
        <v>618.67999999999995</v>
      </c>
      <c r="I749" s="17">
        <v>2712887</v>
      </c>
      <c r="J749" s="16">
        <v>494944000000</v>
      </c>
      <c r="K749" s="30">
        <f t="shared" si="66"/>
        <v>-0.1935858553268448</v>
      </c>
      <c r="L749" s="31">
        <f t="shared" si="67"/>
        <v>9.3399999999999181</v>
      </c>
      <c r="M749" s="30">
        <f t="shared" si="68"/>
        <v>1.5067432406272049E-2</v>
      </c>
      <c r="N749" s="20" t="str">
        <f t="shared" si="71"/>
        <v>High volume</v>
      </c>
      <c r="O749" s="32">
        <f t="shared" si="69"/>
        <v>494.94400000000002</v>
      </c>
      <c r="P749" s="20">
        <f t="shared" si="70"/>
        <v>7</v>
      </c>
      <c r="Q749" s="20" t="str" cm="1">
        <f t="array" ref="Q749">_xlfn.IFS(P749&lt;=3,"Q1",P749&lt;=6,"Q2",P749&lt;=9,"Q3",P749&lt;=12,"Q4")</f>
        <v>Q3</v>
      </c>
    </row>
    <row r="750" spans="1:17" x14ac:dyDescent="0.25">
      <c r="A750" s="8">
        <v>45868</v>
      </c>
      <c r="B750" s="9" t="s">
        <v>73</v>
      </c>
      <c r="C750" s="9" t="s">
        <v>74</v>
      </c>
      <c r="D750" s="9" t="s">
        <v>75</v>
      </c>
      <c r="E750" s="10">
        <v>87.54</v>
      </c>
      <c r="F750" s="10">
        <v>87.74</v>
      </c>
      <c r="G750" s="10">
        <v>87.01</v>
      </c>
      <c r="H750" s="10">
        <v>87.59</v>
      </c>
      <c r="I750" s="11">
        <v>2922731</v>
      </c>
      <c r="J750" s="10">
        <v>19269800000</v>
      </c>
      <c r="K750" s="30">
        <f t="shared" si="66"/>
        <v>5.7116746630108697E-2</v>
      </c>
      <c r="L750" s="31">
        <f t="shared" si="67"/>
        <v>0.72999999999998977</v>
      </c>
      <c r="M750" s="30">
        <f t="shared" si="68"/>
        <v>8.3390450079962267E-3</v>
      </c>
      <c r="N750" s="20" t="str">
        <f t="shared" si="71"/>
        <v>High volume</v>
      </c>
      <c r="O750" s="32">
        <f t="shared" si="69"/>
        <v>19.2698</v>
      </c>
      <c r="P750" s="20">
        <f t="shared" si="70"/>
        <v>7</v>
      </c>
      <c r="Q750" s="20" t="str" cm="1">
        <f t="array" ref="Q750">_xlfn.IFS(P750&lt;=3,"Q1",P750&lt;=6,"Q2",P750&lt;=9,"Q3",P750&lt;=12,"Q4")</f>
        <v>Q3</v>
      </c>
    </row>
    <row r="751" spans="1:17" x14ac:dyDescent="0.25">
      <c r="A751" s="14">
        <v>45868</v>
      </c>
      <c r="B751" s="15" t="s">
        <v>76</v>
      </c>
      <c r="C751" s="15" t="s">
        <v>77</v>
      </c>
      <c r="D751" s="15" t="s">
        <v>75</v>
      </c>
      <c r="E751" s="16">
        <v>152.41999999999999</v>
      </c>
      <c r="F751" s="16">
        <v>152.82</v>
      </c>
      <c r="G751" s="16">
        <v>152.33000000000001</v>
      </c>
      <c r="H751" s="16">
        <v>152.69</v>
      </c>
      <c r="I751" s="17">
        <v>2003619</v>
      </c>
      <c r="J751" s="16">
        <v>30538000000</v>
      </c>
      <c r="K751" s="30">
        <f t="shared" si="66"/>
        <v>0.17714210733500213</v>
      </c>
      <c r="L751" s="31">
        <f t="shared" si="67"/>
        <v>0.48999999999998067</v>
      </c>
      <c r="M751" s="30">
        <f t="shared" si="68"/>
        <v>3.214801207190531E-3</v>
      </c>
      <c r="N751" s="20" t="str">
        <f t="shared" si="71"/>
        <v>High volume</v>
      </c>
      <c r="O751" s="32">
        <f t="shared" si="69"/>
        <v>30.538</v>
      </c>
      <c r="P751" s="20">
        <f t="shared" si="70"/>
        <v>7</v>
      </c>
      <c r="Q751" s="20" t="str" cm="1">
        <f t="array" ref="Q751">_xlfn.IFS(P751&lt;=3,"Q1",P751&lt;=6,"Q2",P751&lt;=9,"Q3",P751&lt;=12,"Q4")</f>
        <v>Q3</v>
      </c>
    </row>
    <row r="752" spans="1:17" x14ac:dyDescent="0.25">
      <c r="A752" s="8">
        <v>45869</v>
      </c>
      <c r="B752" s="9" t="s">
        <v>60</v>
      </c>
      <c r="C752" s="9" t="s">
        <v>61</v>
      </c>
      <c r="D752" s="9" t="s">
        <v>62</v>
      </c>
      <c r="E752" s="10">
        <v>2493.8000000000002</v>
      </c>
      <c r="F752" s="10">
        <v>2517.69</v>
      </c>
      <c r="G752" s="10">
        <v>2468.0700000000002</v>
      </c>
      <c r="H752" s="10">
        <v>2513.3000000000002</v>
      </c>
      <c r="I752" s="11">
        <v>3384836</v>
      </c>
      <c r="J752" s="10">
        <v>3518620000000</v>
      </c>
      <c r="K752" s="30">
        <f t="shared" si="66"/>
        <v>0.78193920923891236</v>
      </c>
      <c r="L752" s="31">
        <f t="shared" si="67"/>
        <v>49.619999999999891</v>
      </c>
      <c r="M752" s="30">
        <f t="shared" si="68"/>
        <v>1.9897345416633204E-2</v>
      </c>
      <c r="N752" s="20" t="str">
        <f t="shared" si="71"/>
        <v>High volume</v>
      </c>
      <c r="O752" s="32">
        <f t="shared" si="69"/>
        <v>3518.62</v>
      </c>
      <c r="P752" s="20">
        <f t="shared" si="70"/>
        <v>7</v>
      </c>
      <c r="Q752" s="20" t="str" cm="1">
        <f t="array" ref="Q752">_xlfn.IFS(P752&lt;=3,"Q1",P752&lt;=6,"Q2",P752&lt;=9,"Q3",P752&lt;=12,"Q4")</f>
        <v>Q3</v>
      </c>
    </row>
    <row r="753" spans="1:17" x14ac:dyDescent="0.25">
      <c r="A753" s="14">
        <v>45869</v>
      </c>
      <c r="B753" s="15" t="s">
        <v>65</v>
      </c>
      <c r="C753" s="15" t="s">
        <v>66</v>
      </c>
      <c r="D753" s="15" t="s">
        <v>67</v>
      </c>
      <c r="E753" s="16">
        <v>219.74</v>
      </c>
      <c r="F753" s="16">
        <v>219.81</v>
      </c>
      <c r="G753" s="16">
        <v>217.53</v>
      </c>
      <c r="H753" s="16">
        <v>218.91</v>
      </c>
      <c r="I753" s="17">
        <v>1923176</v>
      </c>
      <c r="J753" s="16">
        <v>54727500000</v>
      </c>
      <c r="K753" s="30">
        <f t="shared" si="66"/>
        <v>-0.3777191225994414</v>
      </c>
      <c r="L753" s="31">
        <f t="shared" si="67"/>
        <v>2.2800000000000011</v>
      </c>
      <c r="M753" s="30">
        <f t="shared" si="68"/>
        <v>1.0375898789478479E-2</v>
      </c>
      <c r="N753" s="20" t="str">
        <f t="shared" si="71"/>
        <v>Normal</v>
      </c>
      <c r="O753" s="32">
        <f t="shared" si="69"/>
        <v>54.727499999999999</v>
      </c>
      <c r="P753" s="20">
        <f t="shared" si="70"/>
        <v>7</v>
      </c>
      <c r="Q753" s="20" t="str" cm="1">
        <f t="array" ref="Q753">_xlfn.IFS(P753&lt;=3,"Q1",P753&lt;=6,"Q2",P753&lt;=9,"Q3",P753&lt;=12,"Q4")</f>
        <v>Q3</v>
      </c>
    </row>
    <row r="754" spans="1:17" x14ac:dyDescent="0.25">
      <c r="A754" s="8">
        <v>45869</v>
      </c>
      <c r="B754" s="9" t="s">
        <v>69</v>
      </c>
      <c r="C754" s="9" t="s">
        <v>70</v>
      </c>
      <c r="D754" s="9" t="s">
        <v>71</v>
      </c>
      <c r="E754" s="10">
        <v>617.21</v>
      </c>
      <c r="F754" s="10">
        <v>620.17999999999995</v>
      </c>
      <c r="G754" s="10">
        <v>615.91</v>
      </c>
      <c r="H754" s="10">
        <v>616.65</v>
      </c>
      <c r="I754" s="11">
        <v>4610459</v>
      </c>
      <c r="J754" s="10">
        <v>493320000000</v>
      </c>
      <c r="K754" s="30">
        <f t="shared" si="66"/>
        <v>-9.0730869558182645E-2</v>
      </c>
      <c r="L754" s="31">
        <f t="shared" si="67"/>
        <v>4.2699999999999818</v>
      </c>
      <c r="M754" s="30">
        <f t="shared" si="68"/>
        <v>6.9182288038106667E-3</v>
      </c>
      <c r="N754" s="20" t="str">
        <f t="shared" si="71"/>
        <v>High volume</v>
      </c>
      <c r="O754" s="32">
        <f t="shared" si="69"/>
        <v>493.32</v>
      </c>
      <c r="P754" s="20">
        <f t="shared" si="70"/>
        <v>7</v>
      </c>
      <c r="Q754" s="20" t="str" cm="1">
        <f t="array" ref="Q754">_xlfn.IFS(P754&lt;=3,"Q1",P754&lt;=6,"Q2",P754&lt;=9,"Q3",P754&lt;=12,"Q4")</f>
        <v>Q3</v>
      </c>
    </row>
    <row r="755" spans="1:17" x14ac:dyDescent="0.25">
      <c r="A755" s="14">
        <v>45869</v>
      </c>
      <c r="B755" s="15" t="s">
        <v>73</v>
      </c>
      <c r="C755" s="15" t="s">
        <v>74</v>
      </c>
      <c r="D755" s="15" t="s">
        <v>75</v>
      </c>
      <c r="E755" s="16">
        <v>86.84</v>
      </c>
      <c r="F755" s="16">
        <v>86.99</v>
      </c>
      <c r="G755" s="16">
        <v>86.7</v>
      </c>
      <c r="H755" s="16">
        <v>86.78</v>
      </c>
      <c r="I755" s="17">
        <v>2516602</v>
      </c>
      <c r="J755" s="16">
        <v>19091600000</v>
      </c>
      <c r="K755" s="30">
        <f t="shared" si="66"/>
        <v>-6.9092584062646553E-2</v>
      </c>
      <c r="L755" s="31">
        <f t="shared" si="67"/>
        <v>0.28999999999999204</v>
      </c>
      <c r="M755" s="30">
        <f t="shared" si="68"/>
        <v>3.3394748963610321E-3</v>
      </c>
      <c r="N755" s="20" t="str">
        <f t="shared" si="71"/>
        <v>High volume</v>
      </c>
      <c r="O755" s="32">
        <f t="shared" si="69"/>
        <v>19.0916</v>
      </c>
      <c r="P755" s="20">
        <f t="shared" si="70"/>
        <v>7</v>
      </c>
      <c r="Q755" s="20" t="str" cm="1">
        <f t="array" ref="Q755">_xlfn.IFS(P755&lt;=3,"Q1",P755&lt;=6,"Q2",P755&lt;=9,"Q3",P755&lt;=12,"Q4")</f>
        <v>Q3</v>
      </c>
    </row>
    <row r="756" spans="1:17" x14ac:dyDescent="0.25">
      <c r="A756" s="8">
        <v>45869</v>
      </c>
      <c r="B756" s="9" t="s">
        <v>76</v>
      </c>
      <c r="C756" s="9" t="s">
        <v>77</v>
      </c>
      <c r="D756" s="9" t="s">
        <v>75</v>
      </c>
      <c r="E756" s="10">
        <v>154.80000000000001</v>
      </c>
      <c r="F756" s="10">
        <v>156</v>
      </c>
      <c r="G756" s="10">
        <v>154.77000000000001</v>
      </c>
      <c r="H756" s="10">
        <v>155.63999999999999</v>
      </c>
      <c r="I756" s="11">
        <v>1598604</v>
      </c>
      <c r="J756" s="10">
        <v>31128000000</v>
      </c>
      <c r="K756" s="30">
        <f t="shared" si="66"/>
        <v>0.54263565891471244</v>
      </c>
      <c r="L756" s="31">
        <f t="shared" si="67"/>
        <v>1.2299999999999898</v>
      </c>
      <c r="M756" s="30">
        <f t="shared" si="68"/>
        <v>7.9457364341084611E-3</v>
      </c>
      <c r="N756" s="20" t="str">
        <f t="shared" si="71"/>
        <v>Normal</v>
      </c>
      <c r="O756" s="32">
        <f t="shared" si="69"/>
        <v>31.128</v>
      </c>
      <c r="P756" s="20">
        <f t="shared" si="70"/>
        <v>7</v>
      </c>
      <c r="Q756" s="20" t="str" cm="1">
        <f t="array" ref="Q756">_xlfn.IFS(P756&lt;=3,"Q1",P756&lt;=6,"Q2",P756&lt;=9,"Q3",P756&lt;=12,"Q4")</f>
        <v>Q3</v>
      </c>
    </row>
    <row r="757" spans="1:17" x14ac:dyDescent="0.25">
      <c r="A757" s="14">
        <v>45870</v>
      </c>
      <c r="B757" s="15" t="s">
        <v>60</v>
      </c>
      <c r="C757" s="15" t="s">
        <v>61</v>
      </c>
      <c r="D757" s="15" t="s">
        <v>62</v>
      </c>
      <c r="E757" s="16">
        <v>2547.56</v>
      </c>
      <c r="F757" s="16">
        <v>2592.92</v>
      </c>
      <c r="G757" s="16">
        <v>2535.9299999999998</v>
      </c>
      <c r="H757" s="16">
        <v>2569.9499999999998</v>
      </c>
      <c r="I757" s="17">
        <v>2826269</v>
      </c>
      <c r="J757" s="16">
        <v>3597930000000</v>
      </c>
      <c r="K757" s="30">
        <f t="shared" si="66"/>
        <v>0.87888018339116136</v>
      </c>
      <c r="L757" s="31">
        <f t="shared" si="67"/>
        <v>56.990000000000236</v>
      </c>
      <c r="M757" s="30">
        <f t="shared" si="68"/>
        <v>2.2370425034150418E-2</v>
      </c>
      <c r="N757" s="20" t="str">
        <f t="shared" si="71"/>
        <v>High volume</v>
      </c>
      <c r="O757" s="32">
        <f t="shared" si="69"/>
        <v>3597.93</v>
      </c>
      <c r="P757" s="20">
        <f t="shared" si="70"/>
        <v>8</v>
      </c>
      <c r="Q757" s="20" t="str" cm="1">
        <f t="array" ref="Q757">_xlfn.IFS(P757&lt;=3,"Q1",P757&lt;=6,"Q2",P757&lt;=9,"Q3",P757&lt;=12,"Q4")</f>
        <v>Q3</v>
      </c>
    </row>
    <row r="758" spans="1:17" x14ac:dyDescent="0.25">
      <c r="A758" s="8">
        <v>45870</v>
      </c>
      <c r="B758" s="9" t="s">
        <v>65</v>
      </c>
      <c r="C758" s="9" t="s">
        <v>66</v>
      </c>
      <c r="D758" s="9" t="s">
        <v>67</v>
      </c>
      <c r="E758" s="10">
        <v>214.68</v>
      </c>
      <c r="F758" s="10">
        <v>214.81</v>
      </c>
      <c r="G758" s="10">
        <v>212.79</v>
      </c>
      <c r="H758" s="10">
        <v>213.43</v>
      </c>
      <c r="I758" s="11">
        <v>2145175</v>
      </c>
      <c r="J758" s="10">
        <v>53357500000</v>
      </c>
      <c r="K758" s="30">
        <f t="shared" si="66"/>
        <v>-0.58226197130613</v>
      </c>
      <c r="L758" s="31">
        <f t="shared" si="67"/>
        <v>2.0200000000000102</v>
      </c>
      <c r="M758" s="30">
        <f t="shared" si="68"/>
        <v>9.4093534563071089E-3</v>
      </c>
      <c r="N758" s="20" t="str">
        <f t="shared" si="71"/>
        <v>High volume</v>
      </c>
      <c r="O758" s="32">
        <f t="shared" si="69"/>
        <v>53.357500000000002</v>
      </c>
      <c r="P758" s="20">
        <f t="shared" si="70"/>
        <v>8</v>
      </c>
      <c r="Q758" s="20" t="str" cm="1">
        <f t="array" ref="Q758">_xlfn.IFS(P758&lt;=3,"Q1",P758&lt;=6,"Q2",P758&lt;=9,"Q3",P758&lt;=12,"Q4")</f>
        <v>Q3</v>
      </c>
    </row>
    <row r="759" spans="1:17" x14ac:dyDescent="0.25">
      <c r="A759" s="14">
        <v>45870</v>
      </c>
      <c r="B759" s="15" t="s">
        <v>69</v>
      </c>
      <c r="C759" s="15" t="s">
        <v>70</v>
      </c>
      <c r="D759" s="15" t="s">
        <v>71</v>
      </c>
      <c r="E759" s="16">
        <v>629.37</v>
      </c>
      <c r="F759" s="16">
        <v>635.25</v>
      </c>
      <c r="G759" s="16">
        <v>627.74</v>
      </c>
      <c r="H759" s="16">
        <v>633.64</v>
      </c>
      <c r="I759" s="17">
        <v>1636896</v>
      </c>
      <c r="J759" s="16">
        <v>506912000000</v>
      </c>
      <c r="K759" s="30">
        <f t="shared" si="66"/>
        <v>0.67845623401178667</v>
      </c>
      <c r="L759" s="31">
        <f t="shared" si="67"/>
        <v>7.5099999999999909</v>
      </c>
      <c r="M759" s="30">
        <f t="shared" si="68"/>
        <v>1.193256748812303E-2</v>
      </c>
      <c r="N759" s="20" t="str">
        <f t="shared" si="71"/>
        <v>Normal</v>
      </c>
      <c r="O759" s="32">
        <f t="shared" si="69"/>
        <v>506.91199999999998</v>
      </c>
      <c r="P759" s="20">
        <f t="shared" si="70"/>
        <v>8</v>
      </c>
      <c r="Q759" s="20" t="str" cm="1">
        <f t="array" ref="Q759">_xlfn.IFS(P759&lt;=3,"Q1",P759&lt;=6,"Q2",P759&lt;=9,"Q3",P759&lt;=12,"Q4")</f>
        <v>Q3</v>
      </c>
    </row>
    <row r="760" spans="1:17" x14ac:dyDescent="0.25">
      <c r="A760" s="8">
        <v>45870</v>
      </c>
      <c r="B760" s="9" t="s">
        <v>73</v>
      </c>
      <c r="C760" s="9" t="s">
        <v>74</v>
      </c>
      <c r="D760" s="9" t="s">
        <v>75</v>
      </c>
      <c r="E760" s="10">
        <v>85.4</v>
      </c>
      <c r="F760" s="10">
        <v>85.83</v>
      </c>
      <c r="G760" s="10">
        <v>85</v>
      </c>
      <c r="H760" s="10">
        <v>85.18</v>
      </c>
      <c r="I760" s="11">
        <v>3084040</v>
      </c>
      <c r="J760" s="10">
        <v>18739600000</v>
      </c>
      <c r="K760" s="30">
        <f t="shared" si="66"/>
        <v>-0.25761124121779727</v>
      </c>
      <c r="L760" s="31">
        <f t="shared" si="67"/>
        <v>0.82999999999999829</v>
      </c>
      <c r="M760" s="30">
        <f t="shared" si="68"/>
        <v>9.7189695550351073E-3</v>
      </c>
      <c r="N760" s="20" t="str">
        <f t="shared" si="71"/>
        <v>High volume</v>
      </c>
      <c r="O760" s="32">
        <f t="shared" si="69"/>
        <v>18.739599999999999</v>
      </c>
      <c r="P760" s="20">
        <f t="shared" si="70"/>
        <v>8</v>
      </c>
      <c r="Q760" s="20" t="str" cm="1">
        <f t="array" ref="Q760">_xlfn.IFS(P760&lt;=3,"Q1",P760&lt;=6,"Q2",P760&lt;=9,"Q3",P760&lt;=12,"Q4")</f>
        <v>Q3</v>
      </c>
    </row>
    <row r="761" spans="1:17" x14ac:dyDescent="0.25">
      <c r="A761" s="14">
        <v>45870</v>
      </c>
      <c r="B761" s="15" t="s">
        <v>76</v>
      </c>
      <c r="C761" s="15" t="s">
        <v>77</v>
      </c>
      <c r="D761" s="15" t="s">
        <v>75</v>
      </c>
      <c r="E761" s="16">
        <v>156.57</v>
      </c>
      <c r="F761" s="16">
        <v>157.08000000000001</v>
      </c>
      <c r="G761" s="16">
        <v>155.66</v>
      </c>
      <c r="H761" s="16">
        <v>157.01</v>
      </c>
      <c r="I761" s="17">
        <v>4750147</v>
      </c>
      <c r="J761" s="16">
        <v>31402000000</v>
      </c>
      <c r="K761" s="30">
        <f t="shared" si="66"/>
        <v>0.28102446190202324</v>
      </c>
      <c r="L761" s="31">
        <f t="shared" si="67"/>
        <v>1.4200000000000159</v>
      </c>
      <c r="M761" s="30">
        <f t="shared" si="68"/>
        <v>9.0694258159290803E-3</v>
      </c>
      <c r="N761" s="20" t="str">
        <f t="shared" si="71"/>
        <v>High volume</v>
      </c>
      <c r="O761" s="32">
        <f t="shared" si="69"/>
        <v>31.402000000000001</v>
      </c>
      <c r="P761" s="20">
        <f t="shared" si="70"/>
        <v>8</v>
      </c>
      <c r="Q761" s="20" t="str" cm="1">
        <f t="array" ref="Q761">_xlfn.IFS(P761&lt;=3,"Q1",P761&lt;=6,"Q2",P761&lt;=9,"Q3",P761&lt;=12,"Q4")</f>
        <v>Q3</v>
      </c>
    </row>
    <row r="762" spans="1:17" x14ac:dyDescent="0.25">
      <c r="A762" s="8">
        <v>45873</v>
      </c>
      <c r="B762" s="9" t="s">
        <v>60</v>
      </c>
      <c r="C762" s="9" t="s">
        <v>61</v>
      </c>
      <c r="D762" s="9" t="s">
        <v>62</v>
      </c>
      <c r="E762" s="10">
        <v>2521.59</v>
      </c>
      <c r="F762" s="10">
        <v>2525.66</v>
      </c>
      <c r="G762" s="10">
        <v>2521.1999999999998</v>
      </c>
      <c r="H762" s="10">
        <v>2521.71</v>
      </c>
      <c r="I762" s="11">
        <v>3202519</v>
      </c>
      <c r="J762" s="10">
        <v>3530394000000</v>
      </c>
      <c r="K762" s="30">
        <f t="shared" si="66"/>
        <v>4.7589021212762917E-3</v>
      </c>
      <c r="L762" s="31">
        <f t="shared" si="67"/>
        <v>4.4600000000000364</v>
      </c>
      <c r="M762" s="30">
        <f t="shared" si="68"/>
        <v>1.7687252884093117E-3</v>
      </c>
      <c r="N762" s="20" t="str">
        <f t="shared" si="71"/>
        <v>High volume</v>
      </c>
      <c r="O762" s="32">
        <f t="shared" si="69"/>
        <v>3530.3939999999998</v>
      </c>
      <c r="P762" s="20">
        <f t="shared" si="70"/>
        <v>8</v>
      </c>
      <c r="Q762" s="20" t="str" cm="1">
        <f t="array" ref="Q762">_xlfn.IFS(P762&lt;=3,"Q1",P762&lt;=6,"Q2",P762&lt;=9,"Q3",P762&lt;=12,"Q4")</f>
        <v>Q3</v>
      </c>
    </row>
    <row r="763" spans="1:17" x14ac:dyDescent="0.25">
      <c r="A763" s="14">
        <v>45873</v>
      </c>
      <c r="B763" s="15" t="s">
        <v>65</v>
      </c>
      <c r="C763" s="15" t="s">
        <v>66</v>
      </c>
      <c r="D763" s="15" t="s">
        <v>67</v>
      </c>
      <c r="E763" s="16">
        <v>208.84</v>
      </c>
      <c r="F763" s="16">
        <v>212.25</v>
      </c>
      <c r="G763" s="16">
        <v>207.63</v>
      </c>
      <c r="H763" s="16">
        <v>210.47</v>
      </c>
      <c r="I763" s="17">
        <v>2345370</v>
      </c>
      <c r="J763" s="16">
        <v>52617500000</v>
      </c>
      <c r="K763" s="30">
        <f t="shared" si="66"/>
        <v>0.78050181957479192</v>
      </c>
      <c r="L763" s="31">
        <f t="shared" si="67"/>
        <v>4.6200000000000045</v>
      </c>
      <c r="M763" s="30">
        <f t="shared" si="68"/>
        <v>2.2122198812488052E-2</v>
      </c>
      <c r="N763" s="20" t="str">
        <f t="shared" si="71"/>
        <v>High volume</v>
      </c>
      <c r="O763" s="32">
        <f t="shared" si="69"/>
        <v>52.6175</v>
      </c>
      <c r="P763" s="20">
        <f t="shared" si="70"/>
        <v>8</v>
      </c>
      <c r="Q763" s="20" t="str" cm="1">
        <f t="array" ref="Q763">_xlfn.IFS(P763&lt;=3,"Q1",P763&lt;=6,"Q2",P763&lt;=9,"Q3",P763&lt;=12,"Q4")</f>
        <v>Q3</v>
      </c>
    </row>
    <row r="764" spans="1:17" x14ac:dyDescent="0.25">
      <c r="A764" s="8">
        <v>45873</v>
      </c>
      <c r="B764" s="9" t="s">
        <v>69</v>
      </c>
      <c r="C764" s="9" t="s">
        <v>70</v>
      </c>
      <c r="D764" s="9" t="s">
        <v>71</v>
      </c>
      <c r="E764" s="10">
        <v>647.69000000000005</v>
      </c>
      <c r="F764" s="10">
        <v>649.69000000000005</v>
      </c>
      <c r="G764" s="10">
        <v>642.72</v>
      </c>
      <c r="H764" s="10">
        <v>649.30999999999995</v>
      </c>
      <c r="I764" s="11">
        <v>3536961</v>
      </c>
      <c r="J764" s="10">
        <v>519448000000</v>
      </c>
      <c r="K764" s="30">
        <f t="shared" si="66"/>
        <v>0.2501196560082587</v>
      </c>
      <c r="L764" s="31">
        <f t="shared" si="67"/>
        <v>6.9700000000000273</v>
      </c>
      <c r="M764" s="30">
        <f t="shared" si="68"/>
        <v>1.0761321002331403E-2</v>
      </c>
      <c r="N764" s="20" t="str">
        <f t="shared" si="71"/>
        <v>High volume</v>
      </c>
      <c r="O764" s="32">
        <f t="shared" si="69"/>
        <v>519.44799999999998</v>
      </c>
      <c r="P764" s="20">
        <f t="shared" si="70"/>
        <v>8</v>
      </c>
      <c r="Q764" s="20" t="str" cm="1">
        <f t="array" ref="Q764">_xlfn.IFS(P764&lt;=3,"Q1",P764&lt;=6,"Q2",P764&lt;=9,"Q3",P764&lt;=12,"Q4")</f>
        <v>Q3</v>
      </c>
    </row>
    <row r="765" spans="1:17" x14ac:dyDescent="0.25">
      <c r="A765" s="14">
        <v>45873</v>
      </c>
      <c r="B765" s="15" t="s">
        <v>73</v>
      </c>
      <c r="C765" s="15" t="s">
        <v>74</v>
      </c>
      <c r="D765" s="15" t="s">
        <v>75</v>
      </c>
      <c r="E765" s="16">
        <v>87.76</v>
      </c>
      <c r="F765" s="16">
        <v>87.81</v>
      </c>
      <c r="G765" s="16">
        <v>86.63</v>
      </c>
      <c r="H765" s="16">
        <v>86.66</v>
      </c>
      <c r="I765" s="17">
        <v>4635801</v>
      </c>
      <c r="J765" s="16">
        <v>19065200000</v>
      </c>
      <c r="K765" s="30">
        <f t="shared" si="66"/>
        <v>-1.2534184138559805</v>
      </c>
      <c r="L765" s="31">
        <f t="shared" si="67"/>
        <v>1.1800000000000068</v>
      </c>
      <c r="M765" s="30">
        <f t="shared" si="68"/>
        <v>1.3445761166818674E-2</v>
      </c>
      <c r="N765" s="20" t="str">
        <f t="shared" si="71"/>
        <v>High volume</v>
      </c>
      <c r="O765" s="32">
        <f t="shared" si="69"/>
        <v>19.065200000000001</v>
      </c>
      <c r="P765" s="20">
        <f t="shared" si="70"/>
        <v>8</v>
      </c>
      <c r="Q765" s="20" t="str" cm="1">
        <f t="array" ref="Q765">_xlfn.IFS(P765&lt;=3,"Q1",P765&lt;=6,"Q2",P765&lt;=9,"Q3",P765&lt;=12,"Q4")</f>
        <v>Q3</v>
      </c>
    </row>
    <row r="766" spans="1:17" x14ac:dyDescent="0.25">
      <c r="A766" s="8">
        <v>45873</v>
      </c>
      <c r="B766" s="9" t="s">
        <v>76</v>
      </c>
      <c r="C766" s="9" t="s">
        <v>77</v>
      </c>
      <c r="D766" s="9" t="s">
        <v>75</v>
      </c>
      <c r="E766" s="10">
        <v>158.04</v>
      </c>
      <c r="F766" s="10">
        <v>159.13999999999999</v>
      </c>
      <c r="G766" s="10">
        <v>157.59</v>
      </c>
      <c r="H766" s="10">
        <v>157.66</v>
      </c>
      <c r="I766" s="11">
        <v>1914910</v>
      </c>
      <c r="J766" s="10">
        <v>31532000000</v>
      </c>
      <c r="K766" s="30">
        <f t="shared" si="66"/>
        <v>-0.24044545684636515</v>
      </c>
      <c r="L766" s="31">
        <f t="shared" si="67"/>
        <v>1.5499999999999829</v>
      </c>
      <c r="M766" s="30">
        <f t="shared" si="68"/>
        <v>9.8076436345227985E-3</v>
      </c>
      <c r="N766" s="20" t="str">
        <f t="shared" si="71"/>
        <v>Normal</v>
      </c>
      <c r="O766" s="32">
        <f t="shared" si="69"/>
        <v>31.532</v>
      </c>
      <c r="P766" s="20">
        <f t="shared" si="70"/>
        <v>8</v>
      </c>
      <c r="Q766" s="20" t="str" cm="1">
        <f t="array" ref="Q766">_xlfn.IFS(P766&lt;=3,"Q1",P766&lt;=6,"Q2",P766&lt;=9,"Q3",P766&lt;=12,"Q4")</f>
        <v>Q3</v>
      </c>
    </row>
    <row r="767" spans="1:17" x14ac:dyDescent="0.25">
      <c r="A767" s="14">
        <v>45874</v>
      </c>
      <c r="B767" s="15" t="s">
        <v>60</v>
      </c>
      <c r="C767" s="15" t="s">
        <v>61</v>
      </c>
      <c r="D767" s="15" t="s">
        <v>62</v>
      </c>
      <c r="E767" s="16">
        <v>2483.37</v>
      </c>
      <c r="F767" s="16">
        <v>2486.89</v>
      </c>
      <c r="G767" s="16">
        <v>2475.92</v>
      </c>
      <c r="H767" s="16">
        <v>2476.9699999999998</v>
      </c>
      <c r="I767" s="17">
        <v>4812859</v>
      </c>
      <c r="J767" s="16">
        <v>3467758000000</v>
      </c>
      <c r="K767" s="30">
        <f t="shared" si="66"/>
        <v>-0.25771431562755814</v>
      </c>
      <c r="L767" s="31">
        <f t="shared" si="67"/>
        <v>10.9699999999998</v>
      </c>
      <c r="M767" s="30">
        <f t="shared" si="68"/>
        <v>4.4173844413034711E-3</v>
      </c>
      <c r="N767" s="20" t="str">
        <f t="shared" si="71"/>
        <v>High volume</v>
      </c>
      <c r="O767" s="32">
        <f t="shared" si="69"/>
        <v>3467.7579999999998</v>
      </c>
      <c r="P767" s="20">
        <f t="shared" si="70"/>
        <v>8</v>
      </c>
      <c r="Q767" s="20" t="str" cm="1">
        <f t="array" ref="Q767">_xlfn.IFS(P767&lt;=3,"Q1",P767&lt;=6,"Q2",P767&lt;=9,"Q3",P767&lt;=12,"Q4")</f>
        <v>Q3</v>
      </c>
    </row>
    <row r="768" spans="1:17" x14ac:dyDescent="0.25">
      <c r="A768" s="8">
        <v>45874</v>
      </c>
      <c r="B768" s="9" t="s">
        <v>65</v>
      </c>
      <c r="C768" s="9" t="s">
        <v>66</v>
      </c>
      <c r="D768" s="9" t="s">
        <v>67</v>
      </c>
      <c r="E768" s="10">
        <v>206.17</v>
      </c>
      <c r="F768" s="10">
        <v>206.65</v>
      </c>
      <c r="G768" s="10">
        <v>205.6</v>
      </c>
      <c r="H768" s="10">
        <v>205.82</v>
      </c>
      <c r="I768" s="11">
        <v>3858526</v>
      </c>
      <c r="J768" s="10">
        <v>51455000000</v>
      </c>
      <c r="K768" s="30">
        <f t="shared" si="66"/>
        <v>-0.16976281709268776</v>
      </c>
      <c r="L768" s="31">
        <f t="shared" si="67"/>
        <v>1.0500000000000114</v>
      </c>
      <c r="M768" s="30">
        <f t="shared" si="68"/>
        <v>5.0928845127807707E-3</v>
      </c>
      <c r="N768" s="20" t="str">
        <f t="shared" si="71"/>
        <v>High volume</v>
      </c>
      <c r="O768" s="32">
        <f t="shared" si="69"/>
        <v>51.454999999999998</v>
      </c>
      <c r="P768" s="20">
        <f t="shared" si="70"/>
        <v>8</v>
      </c>
      <c r="Q768" s="20" t="str" cm="1">
        <f t="array" ref="Q768">_xlfn.IFS(P768&lt;=3,"Q1",P768&lt;=6,"Q2",P768&lt;=9,"Q3",P768&lt;=12,"Q4")</f>
        <v>Q3</v>
      </c>
    </row>
    <row r="769" spans="1:17" x14ac:dyDescent="0.25">
      <c r="A769" s="14">
        <v>45874</v>
      </c>
      <c r="B769" s="15" t="s">
        <v>69</v>
      </c>
      <c r="C769" s="15" t="s">
        <v>70</v>
      </c>
      <c r="D769" s="15" t="s">
        <v>71</v>
      </c>
      <c r="E769" s="16">
        <v>662.75</v>
      </c>
      <c r="F769" s="16">
        <v>664.59</v>
      </c>
      <c r="G769" s="16">
        <v>659.66</v>
      </c>
      <c r="H769" s="16">
        <v>663.75</v>
      </c>
      <c r="I769" s="17">
        <v>3951038</v>
      </c>
      <c r="J769" s="16">
        <v>531000000000</v>
      </c>
      <c r="K769" s="30">
        <f t="shared" si="66"/>
        <v>0.15088645794039984</v>
      </c>
      <c r="L769" s="31">
        <f t="shared" si="67"/>
        <v>4.9300000000000637</v>
      </c>
      <c r="M769" s="30">
        <f t="shared" si="68"/>
        <v>7.4387023764618089E-3</v>
      </c>
      <c r="N769" s="20" t="str">
        <f t="shared" si="71"/>
        <v>High volume</v>
      </c>
      <c r="O769" s="32">
        <f t="shared" si="69"/>
        <v>531</v>
      </c>
      <c r="P769" s="20">
        <f t="shared" si="70"/>
        <v>8</v>
      </c>
      <c r="Q769" s="20" t="str" cm="1">
        <f t="array" ref="Q769">_xlfn.IFS(P769&lt;=3,"Q1",P769&lt;=6,"Q2",P769&lt;=9,"Q3",P769&lt;=12,"Q4")</f>
        <v>Q3</v>
      </c>
    </row>
    <row r="770" spans="1:17" x14ac:dyDescent="0.25">
      <c r="A770" s="8">
        <v>45874</v>
      </c>
      <c r="B770" s="9" t="s">
        <v>73</v>
      </c>
      <c r="C770" s="9" t="s">
        <v>74</v>
      </c>
      <c r="D770" s="9" t="s">
        <v>75</v>
      </c>
      <c r="E770" s="10">
        <v>84.81</v>
      </c>
      <c r="F770" s="10">
        <v>86.09</v>
      </c>
      <c r="G770" s="10">
        <v>84.8</v>
      </c>
      <c r="H770" s="10">
        <v>85.39</v>
      </c>
      <c r="I770" s="11">
        <v>3082630</v>
      </c>
      <c r="J770" s="10">
        <v>18785800000</v>
      </c>
      <c r="K770" s="30">
        <f t="shared" si="66"/>
        <v>0.68388161773375578</v>
      </c>
      <c r="L770" s="31">
        <f t="shared" si="67"/>
        <v>1.2900000000000063</v>
      </c>
      <c r="M770" s="30">
        <f t="shared" si="68"/>
        <v>1.5210470463388824E-2</v>
      </c>
      <c r="N770" s="20" t="str">
        <f t="shared" si="71"/>
        <v>High volume</v>
      </c>
      <c r="O770" s="32">
        <f t="shared" si="69"/>
        <v>18.785799999999998</v>
      </c>
      <c r="P770" s="20">
        <f t="shared" si="70"/>
        <v>8</v>
      </c>
      <c r="Q770" s="20" t="str" cm="1">
        <f t="array" ref="Q770">_xlfn.IFS(P770&lt;=3,"Q1",P770&lt;=6,"Q2",P770&lt;=9,"Q3",P770&lt;=12,"Q4")</f>
        <v>Q3</v>
      </c>
    </row>
    <row r="771" spans="1:17" x14ac:dyDescent="0.25">
      <c r="A771" s="14">
        <v>45874</v>
      </c>
      <c r="B771" s="15" t="s">
        <v>76</v>
      </c>
      <c r="C771" s="15" t="s">
        <v>77</v>
      </c>
      <c r="D771" s="15" t="s">
        <v>75</v>
      </c>
      <c r="E771" s="16">
        <v>156.33000000000001</v>
      </c>
      <c r="F771" s="16">
        <v>156.80000000000001</v>
      </c>
      <c r="G771" s="16">
        <v>156.21</v>
      </c>
      <c r="H771" s="16">
        <v>156.32</v>
      </c>
      <c r="I771" s="17">
        <v>2413157</v>
      </c>
      <c r="J771" s="16">
        <v>31264000000</v>
      </c>
      <c r="K771" s="30">
        <f t="shared" ref="K771:K834" si="72">((H771-E771)/E771)*100</f>
        <v>-6.3967248768754086E-3</v>
      </c>
      <c r="L771" s="31">
        <f t="shared" ref="L771:L834" si="73">F771-G771</f>
        <v>0.59000000000000341</v>
      </c>
      <c r="M771" s="30">
        <f t="shared" ref="M771:M834" si="74">L771/E771</f>
        <v>3.7740676773492187E-3</v>
      </c>
      <c r="N771" s="20" t="str">
        <f t="shared" si="71"/>
        <v>High volume</v>
      </c>
      <c r="O771" s="32">
        <f t="shared" ref="O771:O834" si="75">J771/1000000000</f>
        <v>31.263999999999999</v>
      </c>
      <c r="P771" s="20">
        <f t="shared" ref="P771:P834" si="76">MONTH(A771)</f>
        <v>8</v>
      </c>
      <c r="Q771" s="20" t="str" cm="1">
        <f t="array" ref="Q771">_xlfn.IFS(P771&lt;=3,"Q1",P771&lt;=6,"Q2",P771&lt;=9,"Q3",P771&lt;=12,"Q4")</f>
        <v>Q3</v>
      </c>
    </row>
    <row r="772" spans="1:17" x14ac:dyDescent="0.25">
      <c r="A772" s="8">
        <v>45875</v>
      </c>
      <c r="B772" s="9" t="s">
        <v>60</v>
      </c>
      <c r="C772" s="9" t="s">
        <v>61</v>
      </c>
      <c r="D772" s="9" t="s">
        <v>62</v>
      </c>
      <c r="E772" s="10">
        <v>2432.06</v>
      </c>
      <c r="F772" s="10">
        <v>2441.14</v>
      </c>
      <c r="G772" s="10">
        <v>2429.9499999999998</v>
      </c>
      <c r="H772" s="10">
        <v>2434.29</v>
      </c>
      <c r="I772" s="11">
        <v>3692755</v>
      </c>
      <c r="J772" s="10">
        <v>3408006000000</v>
      </c>
      <c r="K772" s="30">
        <f t="shared" si="72"/>
        <v>9.1691816813730675E-2</v>
      </c>
      <c r="L772" s="31">
        <f t="shared" si="73"/>
        <v>11.190000000000055</v>
      </c>
      <c r="M772" s="30">
        <f t="shared" si="74"/>
        <v>4.6010378033436898E-3</v>
      </c>
      <c r="N772" s="20" t="str">
        <f t="shared" ref="N772:N835" si="77">IF(I772&gt;2000000,"High volume","Normal")</f>
        <v>High volume</v>
      </c>
      <c r="O772" s="32">
        <f t="shared" si="75"/>
        <v>3408.0059999999999</v>
      </c>
      <c r="P772" s="20">
        <f t="shared" si="76"/>
        <v>8</v>
      </c>
      <c r="Q772" s="20" t="str" cm="1">
        <f t="array" ref="Q772">_xlfn.IFS(P772&lt;=3,"Q1",P772&lt;=6,"Q2",P772&lt;=9,"Q3",P772&lt;=12,"Q4")</f>
        <v>Q3</v>
      </c>
    </row>
    <row r="773" spans="1:17" x14ac:dyDescent="0.25">
      <c r="A773" s="14">
        <v>45875</v>
      </c>
      <c r="B773" s="15" t="s">
        <v>65</v>
      </c>
      <c r="C773" s="15" t="s">
        <v>66</v>
      </c>
      <c r="D773" s="15" t="s">
        <v>67</v>
      </c>
      <c r="E773" s="16">
        <v>208.23</v>
      </c>
      <c r="F773" s="16">
        <v>208.51</v>
      </c>
      <c r="G773" s="16">
        <v>208.1</v>
      </c>
      <c r="H773" s="16">
        <v>208.38</v>
      </c>
      <c r="I773" s="17">
        <v>4786515</v>
      </c>
      <c r="J773" s="16">
        <v>52095000000</v>
      </c>
      <c r="K773" s="30">
        <f t="shared" si="72"/>
        <v>7.2035729721944816E-2</v>
      </c>
      <c r="L773" s="31">
        <f t="shared" si="73"/>
        <v>0.40999999999999659</v>
      </c>
      <c r="M773" s="30">
        <f t="shared" si="74"/>
        <v>1.9689766123997341E-3</v>
      </c>
      <c r="N773" s="20" t="str">
        <f t="shared" si="77"/>
        <v>High volume</v>
      </c>
      <c r="O773" s="32">
        <f t="shared" si="75"/>
        <v>52.094999999999999</v>
      </c>
      <c r="P773" s="20">
        <f t="shared" si="76"/>
        <v>8</v>
      </c>
      <c r="Q773" s="20" t="str" cm="1">
        <f t="array" ref="Q773">_xlfn.IFS(P773&lt;=3,"Q1",P773&lt;=6,"Q2",P773&lt;=9,"Q3",P773&lt;=12,"Q4")</f>
        <v>Q3</v>
      </c>
    </row>
    <row r="774" spans="1:17" x14ac:dyDescent="0.25">
      <c r="A774" s="8">
        <v>45875</v>
      </c>
      <c r="B774" s="9" t="s">
        <v>69</v>
      </c>
      <c r="C774" s="9" t="s">
        <v>70</v>
      </c>
      <c r="D774" s="9" t="s">
        <v>71</v>
      </c>
      <c r="E774" s="10">
        <v>679.76</v>
      </c>
      <c r="F774" s="10">
        <v>680.08</v>
      </c>
      <c r="G774" s="10">
        <v>671.46</v>
      </c>
      <c r="H774" s="10">
        <v>671.85</v>
      </c>
      <c r="I774" s="11">
        <v>908924</v>
      </c>
      <c r="J774" s="10">
        <v>537480000000</v>
      </c>
      <c r="K774" s="30">
        <f t="shared" si="72"/>
        <v>-1.1636459927033023</v>
      </c>
      <c r="L774" s="31">
        <f t="shared" si="73"/>
        <v>8.6200000000000045</v>
      </c>
      <c r="M774" s="30">
        <f t="shared" si="74"/>
        <v>1.2680946216311646E-2</v>
      </c>
      <c r="N774" s="20" t="str">
        <f t="shared" si="77"/>
        <v>Normal</v>
      </c>
      <c r="O774" s="32">
        <f t="shared" si="75"/>
        <v>537.48</v>
      </c>
      <c r="P774" s="20">
        <f t="shared" si="76"/>
        <v>8</v>
      </c>
      <c r="Q774" s="20" t="str" cm="1">
        <f t="array" ref="Q774">_xlfn.IFS(P774&lt;=3,"Q1",P774&lt;=6,"Q2",P774&lt;=9,"Q3",P774&lt;=12,"Q4")</f>
        <v>Q3</v>
      </c>
    </row>
    <row r="775" spans="1:17" x14ac:dyDescent="0.25">
      <c r="A775" s="14">
        <v>45875</v>
      </c>
      <c r="B775" s="15" t="s">
        <v>73</v>
      </c>
      <c r="C775" s="15" t="s">
        <v>74</v>
      </c>
      <c r="D775" s="15" t="s">
        <v>75</v>
      </c>
      <c r="E775" s="16">
        <v>86.23</v>
      </c>
      <c r="F775" s="16">
        <v>86.74</v>
      </c>
      <c r="G775" s="16">
        <v>85.59</v>
      </c>
      <c r="H775" s="16">
        <v>85.92</v>
      </c>
      <c r="I775" s="17">
        <v>2827912</v>
      </c>
      <c r="J775" s="16">
        <v>18902400000</v>
      </c>
      <c r="K775" s="30">
        <f t="shared" si="72"/>
        <v>-0.35950365302099302</v>
      </c>
      <c r="L775" s="31">
        <f t="shared" si="73"/>
        <v>1.1499999999999915</v>
      </c>
      <c r="M775" s="30">
        <f t="shared" si="74"/>
        <v>1.333642583787535E-2</v>
      </c>
      <c r="N775" s="20" t="str">
        <f t="shared" si="77"/>
        <v>High volume</v>
      </c>
      <c r="O775" s="32">
        <f t="shared" si="75"/>
        <v>18.9024</v>
      </c>
      <c r="P775" s="20">
        <f t="shared" si="76"/>
        <v>8</v>
      </c>
      <c r="Q775" s="20" t="str" cm="1">
        <f t="array" ref="Q775">_xlfn.IFS(P775&lt;=3,"Q1",P775&lt;=6,"Q2",P775&lt;=9,"Q3",P775&lt;=12,"Q4")</f>
        <v>Q3</v>
      </c>
    </row>
    <row r="776" spans="1:17" x14ac:dyDescent="0.25">
      <c r="A776" s="8">
        <v>45875</v>
      </c>
      <c r="B776" s="9" t="s">
        <v>76</v>
      </c>
      <c r="C776" s="9" t="s">
        <v>77</v>
      </c>
      <c r="D776" s="9" t="s">
        <v>75</v>
      </c>
      <c r="E776" s="10">
        <v>154.86000000000001</v>
      </c>
      <c r="F776" s="10">
        <v>155.49</v>
      </c>
      <c r="G776" s="10">
        <v>153.77000000000001</v>
      </c>
      <c r="H776" s="10">
        <v>155.18</v>
      </c>
      <c r="I776" s="11">
        <v>558529</v>
      </c>
      <c r="J776" s="10">
        <v>31036000000</v>
      </c>
      <c r="K776" s="30">
        <f t="shared" si="72"/>
        <v>0.20663825390675006</v>
      </c>
      <c r="L776" s="31">
        <f t="shared" si="73"/>
        <v>1.7199999999999989</v>
      </c>
      <c r="M776" s="30">
        <f t="shared" si="74"/>
        <v>1.1106806147488045E-2</v>
      </c>
      <c r="N776" s="20" t="str">
        <f t="shared" si="77"/>
        <v>Normal</v>
      </c>
      <c r="O776" s="32">
        <f t="shared" si="75"/>
        <v>31.036000000000001</v>
      </c>
      <c r="P776" s="20">
        <f t="shared" si="76"/>
        <v>8</v>
      </c>
      <c r="Q776" s="20" t="str" cm="1">
        <f t="array" ref="Q776">_xlfn.IFS(P776&lt;=3,"Q1",P776&lt;=6,"Q2",P776&lt;=9,"Q3",P776&lt;=12,"Q4")</f>
        <v>Q3</v>
      </c>
    </row>
    <row r="777" spans="1:17" x14ac:dyDescent="0.25">
      <c r="A777" s="14">
        <v>45876</v>
      </c>
      <c r="B777" s="15" t="s">
        <v>60</v>
      </c>
      <c r="C777" s="15" t="s">
        <v>61</v>
      </c>
      <c r="D777" s="15" t="s">
        <v>62</v>
      </c>
      <c r="E777" s="16">
        <v>2418.87</v>
      </c>
      <c r="F777" s="16">
        <v>2442.4499999999998</v>
      </c>
      <c r="G777" s="16">
        <v>2414.98</v>
      </c>
      <c r="H777" s="16">
        <v>2418.73</v>
      </c>
      <c r="I777" s="17">
        <v>3579883</v>
      </c>
      <c r="J777" s="16">
        <v>3386222000000</v>
      </c>
      <c r="K777" s="30">
        <f t="shared" si="72"/>
        <v>-5.7878265471014434E-3</v>
      </c>
      <c r="L777" s="31">
        <f t="shared" si="73"/>
        <v>27.4699999999998</v>
      </c>
      <c r="M777" s="30">
        <f t="shared" si="74"/>
        <v>1.1356542517787149E-2</v>
      </c>
      <c r="N777" s="20" t="str">
        <f t="shared" si="77"/>
        <v>High volume</v>
      </c>
      <c r="O777" s="32">
        <f t="shared" si="75"/>
        <v>3386.2220000000002</v>
      </c>
      <c r="P777" s="20">
        <f t="shared" si="76"/>
        <v>8</v>
      </c>
      <c r="Q777" s="20" t="str" cm="1">
        <f t="array" ref="Q777">_xlfn.IFS(P777&lt;=3,"Q1",P777&lt;=6,"Q2",P777&lt;=9,"Q3",P777&lt;=12,"Q4")</f>
        <v>Q3</v>
      </c>
    </row>
    <row r="778" spans="1:17" x14ac:dyDescent="0.25">
      <c r="A778" s="8">
        <v>45876</v>
      </c>
      <c r="B778" s="9" t="s">
        <v>65</v>
      </c>
      <c r="C778" s="9" t="s">
        <v>66</v>
      </c>
      <c r="D778" s="9" t="s">
        <v>67</v>
      </c>
      <c r="E778" s="10">
        <v>210.18</v>
      </c>
      <c r="F778" s="10">
        <v>213.31</v>
      </c>
      <c r="G778" s="10">
        <v>209.52</v>
      </c>
      <c r="H778" s="10">
        <v>210.65</v>
      </c>
      <c r="I778" s="11">
        <v>3430045</v>
      </c>
      <c r="J778" s="10">
        <v>52662500000</v>
      </c>
      <c r="K778" s="30">
        <f t="shared" si="72"/>
        <v>0.22361785136549567</v>
      </c>
      <c r="L778" s="31">
        <f t="shared" si="73"/>
        <v>3.789999999999992</v>
      </c>
      <c r="M778" s="30">
        <f t="shared" si="74"/>
        <v>1.8032162907983595E-2</v>
      </c>
      <c r="N778" s="20" t="str">
        <f t="shared" si="77"/>
        <v>High volume</v>
      </c>
      <c r="O778" s="32">
        <f t="shared" si="75"/>
        <v>52.662500000000001</v>
      </c>
      <c r="P778" s="20">
        <f t="shared" si="76"/>
        <v>8</v>
      </c>
      <c r="Q778" s="20" t="str" cm="1">
        <f t="array" ref="Q778">_xlfn.IFS(P778&lt;=3,"Q1",P778&lt;=6,"Q2",P778&lt;=9,"Q3",P778&lt;=12,"Q4")</f>
        <v>Q3</v>
      </c>
    </row>
    <row r="779" spans="1:17" x14ac:dyDescent="0.25">
      <c r="A779" s="14">
        <v>45876</v>
      </c>
      <c r="B779" s="15" t="s">
        <v>69</v>
      </c>
      <c r="C779" s="15" t="s">
        <v>70</v>
      </c>
      <c r="D779" s="15" t="s">
        <v>71</v>
      </c>
      <c r="E779" s="16">
        <v>685.71</v>
      </c>
      <c r="F779" s="16">
        <v>686.5</v>
      </c>
      <c r="G779" s="16">
        <v>685.49</v>
      </c>
      <c r="H779" s="16">
        <v>686.37</v>
      </c>
      <c r="I779" s="17">
        <v>1485929</v>
      </c>
      <c r="J779" s="16">
        <v>549096000000</v>
      </c>
      <c r="K779" s="30">
        <f t="shared" si="72"/>
        <v>9.6250601566255145E-2</v>
      </c>
      <c r="L779" s="31">
        <f t="shared" si="73"/>
        <v>1.0099999999999909</v>
      </c>
      <c r="M779" s="30">
        <f t="shared" si="74"/>
        <v>1.4729258724533562E-3</v>
      </c>
      <c r="N779" s="20" t="str">
        <f t="shared" si="77"/>
        <v>Normal</v>
      </c>
      <c r="O779" s="32">
        <f t="shared" si="75"/>
        <v>549.096</v>
      </c>
      <c r="P779" s="20">
        <f t="shared" si="76"/>
        <v>8</v>
      </c>
      <c r="Q779" s="20" t="str" cm="1">
        <f t="array" ref="Q779">_xlfn.IFS(P779&lt;=3,"Q1",P779&lt;=6,"Q2",P779&lt;=9,"Q3",P779&lt;=12,"Q4")</f>
        <v>Q3</v>
      </c>
    </row>
    <row r="780" spans="1:17" x14ac:dyDescent="0.25">
      <c r="A780" s="8">
        <v>45876</v>
      </c>
      <c r="B780" s="9" t="s">
        <v>73</v>
      </c>
      <c r="C780" s="9" t="s">
        <v>74</v>
      </c>
      <c r="D780" s="9" t="s">
        <v>75</v>
      </c>
      <c r="E780" s="10">
        <v>86.03</v>
      </c>
      <c r="F780" s="10">
        <v>86.08</v>
      </c>
      <c r="G780" s="10">
        <v>85.33</v>
      </c>
      <c r="H780" s="10">
        <v>86.04</v>
      </c>
      <c r="I780" s="11">
        <v>2855934</v>
      </c>
      <c r="J780" s="10">
        <v>18928800000</v>
      </c>
      <c r="K780" s="30">
        <f t="shared" si="72"/>
        <v>1.1623852144606667E-2</v>
      </c>
      <c r="L780" s="31">
        <f t="shared" si="73"/>
        <v>0.75</v>
      </c>
      <c r="M780" s="30">
        <f t="shared" si="74"/>
        <v>8.7178891084505397E-3</v>
      </c>
      <c r="N780" s="20" t="str">
        <f t="shared" si="77"/>
        <v>High volume</v>
      </c>
      <c r="O780" s="32">
        <f t="shared" si="75"/>
        <v>18.928799999999999</v>
      </c>
      <c r="P780" s="20">
        <f t="shared" si="76"/>
        <v>8</v>
      </c>
      <c r="Q780" s="20" t="str" cm="1">
        <f t="array" ref="Q780">_xlfn.IFS(P780&lt;=3,"Q1",P780&lt;=6,"Q2",P780&lt;=9,"Q3",P780&lt;=12,"Q4")</f>
        <v>Q3</v>
      </c>
    </row>
    <row r="781" spans="1:17" x14ac:dyDescent="0.25">
      <c r="A781" s="14">
        <v>45876</v>
      </c>
      <c r="B781" s="15" t="s">
        <v>76</v>
      </c>
      <c r="C781" s="15" t="s">
        <v>77</v>
      </c>
      <c r="D781" s="15" t="s">
        <v>75</v>
      </c>
      <c r="E781" s="16">
        <v>153.56</v>
      </c>
      <c r="F781" s="16">
        <v>154.06</v>
      </c>
      <c r="G781" s="16">
        <v>151.6</v>
      </c>
      <c r="H781" s="16">
        <v>153.38999999999999</v>
      </c>
      <c r="I781" s="17">
        <v>2076178</v>
      </c>
      <c r="J781" s="16">
        <v>30678000000</v>
      </c>
      <c r="K781" s="30">
        <f t="shared" si="72"/>
        <v>-0.11070591299818698</v>
      </c>
      <c r="L781" s="31">
        <f t="shared" si="73"/>
        <v>2.460000000000008</v>
      </c>
      <c r="M781" s="30">
        <f t="shared" si="74"/>
        <v>1.6019796822089136E-2</v>
      </c>
      <c r="N781" s="20" t="str">
        <f t="shared" si="77"/>
        <v>High volume</v>
      </c>
      <c r="O781" s="32">
        <f t="shared" si="75"/>
        <v>30.678000000000001</v>
      </c>
      <c r="P781" s="20">
        <f t="shared" si="76"/>
        <v>8</v>
      </c>
      <c r="Q781" s="20" t="str" cm="1">
        <f t="array" ref="Q781">_xlfn.IFS(P781&lt;=3,"Q1",P781&lt;=6,"Q2",P781&lt;=9,"Q3",P781&lt;=12,"Q4")</f>
        <v>Q3</v>
      </c>
    </row>
    <row r="782" spans="1:17" x14ac:dyDescent="0.25">
      <c r="A782" s="8">
        <v>45877</v>
      </c>
      <c r="B782" s="9" t="s">
        <v>60</v>
      </c>
      <c r="C782" s="9" t="s">
        <v>61</v>
      </c>
      <c r="D782" s="9" t="s">
        <v>62</v>
      </c>
      <c r="E782" s="10">
        <v>2374.61</v>
      </c>
      <c r="F782" s="10">
        <v>2388.89</v>
      </c>
      <c r="G782" s="10">
        <v>2363.39</v>
      </c>
      <c r="H782" s="10">
        <v>2369.02</v>
      </c>
      <c r="I782" s="11">
        <v>2420151</v>
      </c>
      <c r="J782" s="10">
        <v>3316628000000</v>
      </c>
      <c r="K782" s="30">
        <f t="shared" si="72"/>
        <v>-0.23540707737271152</v>
      </c>
      <c r="L782" s="31">
        <f t="shared" si="73"/>
        <v>25.5</v>
      </c>
      <c r="M782" s="30">
        <f t="shared" si="74"/>
        <v>1.0738605497323771E-2</v>
      </c>
      <c r="N782" s="20" t="str">
        <f t="shared" si="77"/>
        <v>High volume</v>
      </c>
      <c r="O782" s="32">
        <f t="shared" si="75"/>
        <v>3316.6280000000002</v>
      </c>
      <c r="P782" s="20">
        <f t="shared" si="76"/>
        <v>8</v>
      </c>
      <c r="Q782" s="20" t="str" cm="1">
        <f t="array" ref="Q782">_xlfn.IFS(P782&lt;=3,"Q1",P782&lt;=6,"Q2",P782&lt;=9,"Q3",P782&lt;=12,"Q4")</f>
        <v>Q3</v>
      </c>
    </row>
    <row r="783" spans="1:17" x14ac:dyDescent="0.25">
      <c r="A783" s="14">
        <v>45877</v>
      </c>
      <c r="B783" s="15" t="s">
        <v>65</v>
      </c>
      <c r="C783" s="15" t="s">
        <v>66</v>
      </c>
      <c r="D783" s="15" t="s">
        <v>67</v>
      </c>
      <c r="E783" s="16">
        <v>210.54</v>
      </c>
      <c r="F783" s="16">
        <v>210.91</v>
      </c>
      <c r="G783" s="16">
        <v>209.54</v>
      </c>
      <c r="H783" s="16">
        <v>210.64</v>
      </c>
      <c r="I783" s="17">
        <v>756242</v>
      </c>
      <c r="J783" s="16">
        <v>52660000000</v>
      </c>
      <c r="K783" s="30">
        <f t="shared" si="72"/>
        <v>4.7496912700671759E-2</v>
      </c>
      <c r="L783" s="31">
        <f t="shared" si="73"/>
        <v>1.3700000000000045</v>
      </c>
      <c r="M783" s="30">
        <f t="shared" si="74"/>
        <v>6.5070770399924226E-3</v>
      </c>
      <c r="N783" s="20" t="str">
        <f t="shared" si="77"/>
        <v>Normal</v>
      </c>
      <c r="O783" s="32">
        <f t="shared" si="75"/>
        <v>52.66</v>
      </c>
      <c r="P783" s="20">
        <f t="shared" si="76"/>
        <v>8</v>
      </c>
      <c r="Q783" s="20" t="str" cm="1">
        <f t="array" ref="Q783">_xlfn.IFS(P783&lt;=3,"Q1",P783&lt;=6,"Q2",P783&lt;=9,"Q3",P783&lt;=12,"Q4")</f>
        <v>Q3</v>
      </c>
    </row>
    <row r="784" spans="1:17" x14ac:dyDescent="0.25">
      <c r="A784" s="8">
        <v>45877</v>
      </c>
      <c r="B784" s="9" t="s">
        <v>69</v>
      </c>
      <c r="C784" s="9" t="s">
        <v>70</v>
      </c>
      <c r="D784" s="9" t="s">
        <v>71</v>
      </c>
      <c r="E784" s="10">
        <v>700.72</v>
      </c>
      <c r="F784" s="10">
        <v>711.18</v>
      </c>
      <c r="G784" s="10">
        <v>694.49</v>
      </c>
      <c r="H784" s="10">
        <v>703.66</v>
      </c>
      <c r="I784" s="11">
        <v>2738171</v>
      </c>
      <c r="J784" s="10">
        <v>562928000000</v>
      </c>
      <c r="K784" s="30">
        <f t="shared" si="72"/>
        <v>0.41956844388627995</v>
      </c>
      <c r="L784" s="31">
        <f t="shared" si="73"/>
        <v>16.689999999999941</v>
      </c>
      <c r="M784" s="30">
        <f t="shared" si="74"/>
        <v>2.3818358260075265E-2</v>
      </c>
      <c r="N784" s="20" t="str">
        <f t="shared" si="77"/>
        <v>High volume</v>
      </c>
      <c r="O784" s="32">
        <f t="shared" si="75"/>
        <v>562.928</v>
      </c>
      <c r="P784" s="20">
        <f t="shared" si="76"/>
        <v>8</v>
      </c>
      <c r="Q784" s="20" t="str" cm="1">
        <f t="array" ref="Q784">_xlfn.IFS(P784&lt;=3,"Q1",P784&lt;=6,"Q2",P784&lt;=9,"Q3",P784&lt;=12,"Q4")</f>
        <v>Q3</v>
      </c>
    </row>
    <row r="785" spans="1:17" x14ac:dyDescent="0.25">
      <c r="A785" s="14">
        <v>45877</v>
      </c>
      <c r="B785" s="15" t="s">
        <v>73</v>
      </c>
      <c r="C785" s="15" t="s">
        <v>74</v>
      </c>
      <c r="D785" s="15" t="s">
        <v>75</v>
      </c>
      <c r="E785" s="16">
        <v>86.01</v>
      </c>
      <c r="F785" s="16">
        <v>86.26</v>
      </c>
      <c r="G785" s="16">
        <v>85.55</v>
      </c>
      <c r="H785" s="16">
        <v>85.69</v>
      </c>
      <c r="I785" s="17">
        <v>4386849</v>
      </c>
      <c r="J785" s="16">
        <v>18851800000</v>
      </c>
      <c r="K785" s="30">
        <f t="shared" si="72"/>
        <v>-0.37204976165563003</v>
      </c>
      <c r="L785" s="31">
        <f t="shared" si="73"/>
        <v>0.71000000000000796</v>
      </c>
      <c r="M785" s="30">
        <f t="shared" si="74"/>
        <v>8.2548540867341934E-3</v>
      </c>
      <c r="N785" s="20" t="str">
        <f t="shared" si="77"/>
        <v>High volume</v>
      </c>
      <c r="O785" s="32">
        <f t="shared" si="75"/>
        <v>18.851800000000001</v>
      </c>
      <c r="P785" s="20">
        <f t="shared" si="76"/>
        <v>8</v>
      </c>
      <c r="Q785" s="20" t="str" cm="1">
        <f t="array" ref="Q785">_xlfn.IFS(P785&lt;=3,"Q1",P785&lt;=6,"Q2",P785&lt;=9,"Q3",P785&lt;=12,"Q4")</f>
        <v>Q3</v>
      </c>
    </row>
    <row r="786" spans="1:17" x14ac:dyDescent="0.25">
      <c r="A786" s="8">
        <v>45877</v>
      </c>
      <c r="B786" s="9" t="s">
        <v>76</v>
      </c>
      <c r="C786" s="9" t="s">
        <v>77</v>
      </c>
      <c r="D786" s="9" t="s">
        <v>75</v>
      </c>
      <c r="E786" s="10">
        <v>155.47999999999999</v>
      </c>
      <c r="F786" s="10">
        <v>155.83000000000001</v>
      </c>
      <c r="G786" s="10">
        <v>155.05000000000001</v>
      </c>
      <c r="H786" s="10">
        <v>155.27000000000001</v>
      </c>
      <c r="I786" s="11">
        <v>885599</v>
      </c>
      <c r="J786" s="10">
        <v>31054000000</v>
      </c>
      <c r="K786" s="30">
        <f t="shared" si="72"/>
        <v>-0.1350656032930149</v>
      </c>
      <c r="L786" s="31">
        <f t="shared" si="73"/>
        <v>0.78000000000000114</v>
      </c>
      <c r="M786" s="30">
        <f t="shared" si="74"/>
        <v>5.0167224080267638E-3</v>
      </c>
      <c r="N786" s="20" t="str">
        <f t="shared" si="77"/>
        <v>Normal</v>
      </c>
      <c r="O786" s="32">
        <f t="shared" si="75"/>
        <v>31.053999999999998</v>
      </c>
      <c r="P786" s="20">
        <f t="shared" si="76"/>
        <v>8</v>
      </c>
      <c r="Q786" s="20" t="str" cm="1">
        <f t="array" ref="Q786">_xlfn.IFS(P786&lt;=3,"Q1",P786&lt;=6,"Q2",P786&lt;=9,"Q3",P786&lt;=12,"Q4")</f>
        <v>Q3</v>
      </c>
    </row>
    <row r="787" spans="1:17" x14ac:dyDescent="0.25">
      <c r="A787" s="14">
        <v>45880</v>
      </c>
      <c r="B787" s="15" t="s">
        <v>60</v>
      </c>
      <c r="C787" s="15" t="s">
        <v>61</v>
      </c>
      <c r="D787" s="15" t="s">
        <v>62</v>
      </c>
      <c r="E787" s="16">
        <v>2346.63</v>
      </c>
      <c r="F787" s="16">
        <v>2359.92</v>
      </c>
      <c r="G787" s="16">
        <v>2336.9899999999998</v>
      </c>
      <c r="H787" s="16">
        <v>2347.3200000000002</v>
      </c>
      <c r="I787" s="17">
        <v>2864191</v>
      </c>
      <c r="J787" s="16">
        <v>3286248000000</v>
      </c>
      <c r="K787" s="30">
        <f t="shared" si="72"/>
        <v>2.9403868526357142E-2</v>
      </c>
      <c r="L787" s="31">
        <f t="shared" si="73"/>
        <v>22.930000000000291</v>
      </c>
      <c r="M787" s="30">
        <f t="shared" si="74"/>
        <v>9.7714594972365867E-3</v>
      </c>
      <c r="N787" s="20" t="str">
        <f t="shared" si="77"/>
        <v>High volume</v>
      </c>
      <c r="O787" s="32">
        <f t="shared" si="75"/>
        <v>3286.248</v>
      </c>
      <c r="P787" s="20">
        <f t="shared" si="76"/>
        <v>8</v>
      </c>
      <c r="Q787" s="20" t="str" cm="1">
        <f t="array" ref="Q787">_xlfn.IFS(P787&lt;=3,"Q1",P787&lt;=6,"Q2",P787&lt;=9,"Q3",P787&lt;=12,"Q4")</f>
        <v>Q3</v>
      </c>
    </row>
    <row r="788" spans="1:17" x14ac:dyDescent="0.25">
      <c r="A788" s="8">
        <v>45880</v>
      </c>
      <c r="B788" s="9" t="s">
        <v>65</v>
      </c>
      <c r="C788" s="9" t="s">
        <v>66</v>
      </c>
      <c r="D788" s="9" t="s">
        <v>67</v>
      </c>
      <c r="E788" s="10">
        <v>210.05</v>
      </c>
      <c r="F788" s="10">
        <v>210.96</v>
      </c>
      <c r="G788" s="10">
        <v>207.26</v>
      </c>
      <c r="H788" s="10">
        <v>210.81</v>
      </c>
      <c r="I788" s="11">
        <v>1714650</v>
      </c>
      <c r="J788" s="10">
        <v>52702500000</v>
      </c>
      <c r="K788" s="30">
        <f t="shared" si="72"/>
        <v>0.36181861461556336</v>
      </c>
      <c r="L788" s="31">
        <f t="shared" si="73"/>
        <v>3.7000000000000171</v>
      </c>
      <c r="M788" s="30">
        <f t="shared" si="74"/>
        <v>1.7614853606284297E-2</v>
      </c>
      <c r="N788" s="20" t="str">
        <f t="shared" si="77"/>
        <v>Normal</v>
      </c>
      <c r="O788" s="32">
        <f t="shared" si="75"/>
        <v>52.702500000000001</v>
      </c>
      <c r="P788" s="20">
        <f t="shared" si="76"/>
        <v>8</v>
      </c>
      <c r="Q788" s="20" t="str" cm="1">
        <f t="array" ref="Q788">_xlfn.IFS(P788&lt;=3,"Q1",P788&lt;=6,"Q2",P788&lt;=9,"Q3",P788&lt;=12,"Q4")</f>
        <v>Q3</v>
      </c>
    </row>
    <row r="789" spans="1:17" x14ac:dyDescent="0.25">
      <c r="A789" s="14">
        <v>45880</v>
      </c>
      <c r="B789" s="15" t="s">
        <v>69</v>
      </c>
      <c r="C789" s="15" t="s">
        <v>70</v>
      </c>
      <c r="D789" s="15" t="s">
        <v>71</v>
      </c>
      <c r="E789" s="16">
        <v>695.98</v>
      </c>
      <c r="F789" s="16">
        <v>700.16</v>
      </c>
      <c r="G789" s="16">
        <v>695.85</v>
      </c>
      <c r="H789" s="16">
        <v>696.8</v>
      </c>
      <c r="I789" s="17">
        <v>3958473</v>
      </c>
      <c r="J789" s="16">
        <v>557440000000</v>
      </c>
      <c r="K789" s="30">
        <f t="shared" si="72"/>
        <v>0.11781947757118541</v>
      </c>
      <c r="L789" s="31">
        <f t="shared" si="73"/>
        <v>4.3099999999999454</v>
      </c>
      <c r="M789" s="30">
        <f t="shared" si="74"/>
        <v>6.1927066869736846E-3</v>
      </c>
      <c r="N789" s="20" t="str">
        <f t="shared" si="77"/>
        <v>High volume</v>
      </c>
      <c r="O789" s="32">
        <f t="shared" si="75"/>
        <v>557.44000000000005</v>
      </c>
      <c r="P789" s="20">
        <f t="shared" si="76"/>
        <v>8</v>
      </c>
      <c r="Q789" s="20" t="str" cm="1">
        <f t="array" ref="Q789">_xlfn.IFS(P789&lt;=3,"Q1",P789&lt;=6,"Q2",P789&lt;=9,"Q3",P789&lt;=12,"Q4")</f>
        <v>Q3</v>
      </c>
    </row>
    <row r="790" spans="1:17" x14ac:dyDescent="0.25">
      <c r="A790" s="8">
        <v>45880</v>
      </c>
      <c r="B790" s="9" t="s">
        <v>73</v>
      </c>
      <c r="C790" s="9" t="s">
        <v>74</v>
      </c>
      <c r="D790" s="9" t="s">
        <v>75</v>
      </c>
      <c r="E790" s="10">
        <v>85.5</v>
      </c>
      <c r="F790" s="10">
        <v>86.14</v>
      </c>
      <c r="G790" s="10">
        <v>85.24</v>
      </c>
      <c r="H790" s="10">
        <v>85.67</v>
      </c>
      <c r="I790" s="11">
        <v>4035933</v>
      </c>
      <c r="J790" s="10">
        <v>18847400000</v>
      </c>
      <c r="K790" s="30">
        <f t="shared" si="72"/>
        <v>0.19883040935672713</v>
      </c>
      <c r="L790" s="31">
        <f t="shared" si="73"/>
        <v>0.90000000000000568</v>
      </c>
      <c r="M790" s="30">
        <f t="shared" si="74"/>
        <v>1.052631578947375E-2</v>
      </c>
      <c r="N790" s="20" t="str">
        <f t="shared" si="77"/>
        <v>High volume</v>
      </c>
      <c r="O790" s="32">
        <f t="shared" si="75"/>
        <v>18.8474</v>
      </c>
      <c r="P790" s="20">
        <f t="shared" si="76"/>
        <v>8</v>
      </c>
      <c r="Q790" s="20" t="str" cm="1">
        <f t="array" ref="Q790">_xlfn.IFS(P790&lt;=3,"Q1",P790&lt;=6,"Q2",P790&lt;=9,"Q3",P790&lt;=12,"Q4")</f>
        <v>Q3</v>
      </c>
    </row>
    <row r="791" spans="1:17" x14ac:dyDescent="0.25">
      <c r="A791" s="14">
        <v>45880</v>
      </c>
      <c r="B791" s="15" t="s">
        <v>76</v>
      </c>
      <c r="C791" s="15" t="s">
        <v>77</v>
      </c>
      <c r="D791" s="15" t="s">
        <v>75</v>
      </c>
      <c r="E791" s="16">
        <v>153.41</v>
      </c>
      <c r="F791" s="16">
        <v>154.07</v>
      </c>
      <c r="G791" s="16">
        <v>152.6</v>
      </c>
      <c r="H791" s="16">
        <v>153.41</v>
      </c>
      <c r="I791" s="17">
        <v>1774466</v>
      </c>
      <c r="J791" s="16">
        <v>30682000000</v>
      </c>
      <c r="K791" s="30">
        <f t="shared" si="72"/>
        <v>0</v>
      </c>
      <c r="L791" s="31">
        <f t="shared" si="73"/>
        <v>1.4699999999999989</v>
      </c>
      <c r="M791" s="30">
        <f t="shared" si="74"/>
        <v>9.5821654390196142E-3</v>
      </c>
      <c r="N791" s="20" t="str">
        <f t="shared" si="77"/>
        <v>Normal</v>
      </c>
      <c r="O791" s="32">
        <f t="shared" si="75"/>
        <v>30.681999999999999</v>
      </c>
      <c r="P791" s="20">
        <f t="shared" si="76"/>
        <v>8</v>
      </c>
      <c r="Q791" s="20" t="str" cm="1">
        <f t="array" ref="Q791">_xlfn.IFS(P791&lt;=3,"Q1",P791&lt;=6,"Q2",P791&lt;=9,"Q3",P791&lt;=12,"Q4")</f>
        <v>Q3</v>
      </c>
    </row>
    <row r="792" spans="1:17" x14ac:dyDescent="0.25">
      <c r="A792" s="8">
        <v>45881</v>
      </c>
      <c r="B792" s="9" t="s">
        <v>60</v>
      </c>
      <c r="C792" s="9" t="s">
        <v>61</v>
      </c>
      <c r="D792" s="9" t="s">
        <v>62</v>
      </c>
      <c r="E792" s="10">
        <v>2338.9</v>
      </c>
      <c r="F792" s="10">
        <v>2345.0300000000002</v>
      </c>
      <c r="G792" s="10">
        <v>2332.21</v>
      </c>
      <c r="H792" s="10">
        <v>2343.64</v>
      </c>
      <c r="I792" s="11">
        <v>1947790</v>
      </c>
      <c r="J792" s="10">
        <v>3281096000000</v>
      </c>
      <c r="K792" s="30">
        <f t="shared" si="72"/>
        <v>0.20265936978920782</v>
      </c>
      <c r="L792" s="31">
        <f t="shared" si="73"/>
        <v>12.820000000000164</v>
      </c>
      <c r="M792" s="30">
        <f t="shared" si="74"/>
        <v>5.481209115396196E-3</v>
      </c>
      <c r="N792" s="20" t="str">
        <f t="shared" si="77"/>
        <v>Normal</v>
      </c>
      <c r="O792" s="32">
        <f t="shared" si="75"/>
        <v>3281.096</v>
      </c>
      <c r="P792" s="20">
        <f t="shared" si="76"/>
        <v>8</v>
      </c>
      <c r="Q792" s="20" t="str" cm="1">
        <f t="array" ref="Q792">_xlfn.IFS(P792&lt;=3,"Q1",P792&lt;=6,"Q2",P792&lt;=9,"Q3",P792&lt;=12,"Q4")</f>
        <v>Q3</v>
      </c>
    </row>
    <row r="793" spans="1:17" x14ac:dyDescent="0.25">
      <c r="A793" s="14">
        <v>45881</v>
      </c>
      <c r="B793" s="15" t="s">
        <v>65</v>
      </c>
      <c r="C793" s="15" t="s">
        <v>66</v>
      </c>
      <c r="D793" s="15" t="s">
        <v>67</v>
      </c>
      <c r="E793" s="16">
        <v>216.66</v>
      </c>
      <c r="F793" s="16">
        <v>216.96</v>
      </c>
      <c r="G793" s="16">
        <v>213.06</v>
      </c>
      <c r="H793" s="16">
        <v>213.36</v>
      </c>
      <c r="I793" s="17">
        <v>932500</v>
      </c>
      <c r="J793" s="16">
        <v>53340000000</v>
      </c>
      <c r="K793" s="30">
        <f t="shared" si="72"/>
        <v>-1.5231237884242514</v>
      </c>
      <c r="L793" s="31">
        <f t="shared" si="73"/>
        <v>3.9000000000000057</v>
      </c>
      <c r="M793" s="30">
        <f t="shared" si="74"/>
        <v>1.8000553863195816E-2</v>
      </c>
      <c r="N793" s="20" t="str">
        <f t="shared" si="77"/>
        <v>Normal</v>
      </c>
      <c r="O793" s="32">
        <f t="shared" si="75"/>
        <v>53.34</v>
      </c>
      <c r="P793" s="20">
        <f t="shared" si="76"/>
        <v>8</v>
      </c>
      <c r="Q793" s="20" t="str" cm="1">
        <f t="array" ref="Q793">_xlfn.IFS(P793&lt;=3,"Q1",P793&lt;=6,"Q2",P793&lt;=9,"Q3",P793&lt;=12,"Q4")</f>
        <v>Q3</v>
      </c>
    </row>
    <row r="794" spans="1:17" x14ac:dyDescent="0.25">
      <c r="A794" s="8">
        <v>45881</v>
      </c>
      <c r="B794" s="9" t="s">
        <v>69</v>
      </c>
      <c r="C794" s="9" t="s">
        <v>70</v>
      </c>
      <c r="D794" s="9" t="s">
        <v>71</v>
      </c>
      <c r="E794" s="10">
        <v>712.79</v>
      </c>
      <c r="F794" s="10">
        <v>719.75</v>
      </c>
      <c r="G794" s="10">
        <v>705.72</v>
      </c>
      <c r="H794" s="10">
        <v>713.84</v>
      </c>
      <c r="I794" s="11">
        <v>2084765</v>
      </c>
      <c r="J794" s="10">
        <v>571072000000</v>
      </c>
      <c r="K794" s="30">
        <f t="shared" si="72"/>
        <v>0.1473084639234653</v>
      </c>
      <c r="L794" s="31">
        <f t="shared" si="73"/>
        <v>14.029999999999973</v>
      </c>
      <c r="M794" s="30">
        <f t="shared" si="74"/>
        <v>1.968321665567695E-2</v>
      </c>
      <c r="N794" s="20" t="str">
        <f t="shared" si="77"/>
        <v>High volume</v>
      </c>
      <c r="O794" s="32">
        <f t="shared" si="75"/>
        <v>571.072</v>
      </c>
      <c r="P794" s="20">
        <f t="shared" si="76"/>
        <v>8</v>
      </c>
      <c r="Q794" s="20" t="str" cm="1">
        <f t="array" ref="Q794">_xlfn.IFS(P794&lt;=3,"Q1",P794&lt;=6,"Q2",P794&lt;=9,"Q3",P794&lt;=12,"Q4")</f>
        <v>Q3</v>
      </c>
    </row>
    <row r="795" spans="1:17" x14ac:dyDescent="0.25">
      <c r="A795" s="14">
        <v>45881</v>
      </c>
      <c r="B795" s="15" t="s">
        <v>73</v>
      </c>
      <c r="C795" s="15" t="s">
        <v>74</v>
      </c>
      <c r="D795" s="15" t="s">
        <v>75</v>
      </c>
      <c r="E795" s="16">
        <v>83.96</v>
      </c>
      <c r="F795" s="16">
        <v>84.67</v>
      </c>
      <c r="G795" s="16">
        <v>83.49</v>
      </c>
      <c r="H795" s="16">
        <v>84.13</v>
      </c>
      <c r="I795" s="17">
        <v>4827139</v>
      </c>
      <c r="J795" s="16">
        <v>18508600000</v>
      </c>
      <c r="K795" s="30">
        <f t="shared" si="72"/>
        <v>0.20247737017627648</v>
      </c>
      <c r="L795" s="31">
        <f t="shared" si="73"/>
        <v>1.1800000000000068</v>
      </c>
      <c r="M795" s="30">
        <f t="shared" si="74"/>
        <v>1.4054311576941482E-2</v>
      </c>
      <c r="N795" s="20" t="str">
        <f t="shared" si="77"/>
        <v>High volume</v>
      </c>
      <c r="O795" s="32">
        <f t="shared" si="75"/>
        <v>18.508600000000001</v>
      </c>
      <c r="P795" s="20">
        <f t="shared" si="76"/>
        <v>8</v>
      </c>
      <c r="Q795" s="20" t="str" cm="1">
        <f t="array" ref="Q795">_xlfn.IFS(P795&lt;=3,"Q1",P795&lt;=6,"Q2",P795&lt;=9,"Q3",P795&lt;=12,"Q4")</f>
        <v>Q3</v>
      </c>
    </row>
    <row r="796" spans="1:17" x14ac:dyDescent="0.25">
      <c r="A796" s="8">
        <v>45881</v>
      </c>
      <c r="B796" s="9" t="s">
        <v>76</v>
      </c>
      <c r="C796" s="9" t="s">
        <v>77</v>
      </c>
      <c r="D796" s="9" t="s">
        <v>75</v>
      </c>
      <c r="E796" s="10">
        <v>149.53</v>
      </c>
      <c r="F796" s="10">
        <v>149.88999999999999</v>
      </c>
      <c r="G796" s="10">
        <v>148.96</v>
      </c>
      <c r="H796" s="10">
        <v>149.68</v>
      </c>
      <c r="I796" s="11">
        <v>2741077</v>
      </c>
      <c r="J796" s="10">
        <v>29936000000</v>
      </c>
      <c r="K796" s="30">
        <f t="shared" si="72"/>
        <v>0.10031431819702112</v>
      </c>
      <c r="L796" s="31">
        <f t="shared" si="73"/>
        <v>0.9299999999999784</v>
      </c>
      <c r="M796" s="30">
        <f t="shared" si="74"/>
        <v>6.2194877282149294E-3</v>
      </c>
      <c r="N796" s="20" t="str">
        <f t="shared" si="77"/>
        <v>High volume</v>
      </c>
      <c r="O796" s="32">
        <f t="shared" si="75"/>
        <v>29.936</v>
      </c>
      <c r="P796" s="20">
        <f t="shared" si="76"/>
        <v>8</v>
      </c>
      <c r="Q796" s="20" t="str" cm="1">
        <f t="array" ref="Q796">_xlfn.IFS(P796&lt;=3,"Q1",P796&lt;=6,"Q2",P796&lt;=9,"Q3",P796&lt;=12,"Q4")</f>
        <v>Q3</v>
      </c>
    </row>
    <row r="797" spans="1:17" x14ac:dyDescent="0.25">
      <c r="A797" s="14">
        <v>45882</v>
      </c>
      <c r="B797" s="15" t="s">
        <v>60</v>
      </c>
      <c r="C797" s="15" t="s">
        <v>61</v>
      </c>
      <c r="D797" s="15" t="s">
        <v>62</v>
      </c>
      <c r="E797" s="16">
        <v>2362.77</v>
      </c>
      <c r="F797" s="16">
        <v>2377.63</v>
      </c>
      <c r="G797" s="16">
        <v>2346.15</v>
      </c>
      <c r="H797" s="16">
        <v>2349</v>
      </c>
      <c r="I797" s="17">
        <v>3352325</v>
      </c>
      <c r="J797" s="16">
        <v>3288600000000</v>
      </c>
      <c r="K797" s="30">
        <f t="shared" si="72"/>
        <v>-0.58279053822420213</v>
      </c>
      <c r="L797" s="31">
        <f t="shared" si="73"/>
        <v>31.480000000000018</v>
      </c>
      <c r="M797" s="30">
        <f t="shared" si="74"/>
        <v>1.3323345056861235E-2</v>
      </c>
      <c r="N797" s="20" t="str">
        <f t="shared" si="77"/>
        <v>High volume</v>
      </c>
      <c r="O797" s="32">
        <f t="shared" si="75"/>
        <v>3288.6</v>
      </c>
      <c r="P797" s="20">
        <f t="shared" si="76"/>
        <v>8</v>
      </c>
      <c r="Q797" s="20" t="str" cm="1">
        <f t="array" ref="Q797">_xlfn.IFS(P797&lt;=3,"Q1",P797&lt;=6,"Q2",P797&lt;=9,"Q3",P797&lt;=12,"Q4")</f>
        <v>Q3</v>
      </c>
    </row>
    <row r="798" spans="1:17" x14ac:dyDescent="0.25">
      <c r="A798" s="8">
        <v>45882</v>
      </c>
      <c r="B798" s="9" t="s">
        <v>65</v>
      </c>
      <c r="C798" s="9" t="s">
        <v>66</v>
      </c>
      <c r="D798" s="9" t="s">
        <v>67</v>
      </c>
      <c r="E798" s="10">
        <v>208.68</v>
      </c>
      <c r="F798" s="10">
        <v>208.71</v>
      </c>
      <c r="G798" s="10">
        <v>206.93</v>
      </c>
      <c r="H798" s="10">
        <v>208.02</v>
      </c>
      <c r="I798" s="11">
        <v>1691196</v>
      </c>
      <c r="J798" s="10">
        <v>52005000000</v>
      </c>
      <c r="K798" s="30">
        <f t="shared" si="72"/>
        <v>-0.31627372052903802</v>
      </c>
      <c r="L798" s="31">
        <f t="shared" si="73"/>
        <v>1.7800000000000011</v>
      </c>
      <c r="M798" s="30">
        <f t="shared" si="74"/>
        <v>8.5298064021468323E-3</v>
      </c>
      <c r="N798" s="20" t="str">
        <f t="shared" si="77"/>
        <v>Normal</v>
      </c>
      <c r="O798" s="32">
        <f t="shared" si="75"/>
        <v>52.005000000000003</v>
      </c>
      <c r="P798" s="20">
        <f t="shared" si="76"/>
        <v>8</v>
      </c>
      <c r="Q798" s="20" t="str" cm="1">
        <f t="array" ref="Q798">_xlfn.IFS(P798&lt;=3,"Q1",P798&lt;=6,"Q2",P798&lt;=9,"Q3",P798&lt;=12,"Q4")</f>
        <v>Q3</v>
      </c>
    </row>
    <row r="799" spans="1:17" x14ac:dyDescent="0.25">
      <c r="A799" s="14">
        <v>45882</v>
      </c>
      <c r="B799" s="15" t="s">
        <v>69</v>
      </c>
      <c r="C799" s="15" t="s">
        <v>70</v>
      </c>
      <c r="D799" s="15" t="s">
        <v>71</v>
      </c>
      <c r="E799" s="16">
        <v>698.14</v>
      </c>
      <c r="F799" s="16">
        <v>698.28</v>
      </c>
      <c r="G799" s="16">
        <v>695.07</v>
      </c>
      <c r="H799" s="16">
        <v>695.58</v>
      </c>
      <c r="I799" s="17">
        <v>1526406</v>
      </c>
      <c r="J799" s="16">
        <v>556464000000</v>
      </c>
      <c r="K799" s="30">
        <f t="shared" si="72"/>
        <v>-0.36668862978771388</v>
      </c>
      <c r="L799" s="31">
        <f t="shared" si="73"/>
        <v>3.2099999999999227</v>
      </c>
      <c r="M799" s="30">
        <f t="shared" si="74"/>
        <v>4.5979316469474934E-3</v>
      </c>
      <c r="N799" s="20" t="str">
        <f t="shared" si="77"/>
        <v>Normal</v>
      </c>
      <c r="O799" s="32">
        <f t="shared" si="75"/>
        <v>556.46400000000006</v>
      </c>
      <c r="P799" s="20">
        <f t="shared" si="76"/>
        <v>8</v>
      </c>
      <c r="Q799" s="20" t="str" cm="1">
        <f t="array" ref="Q799">_xlfn.IFS(P799&lt;=3,"Q1",P799&lt;=6,"Q2",P799&lt;=9,"Q3",P799&lt;=12,"Q4")</f>
        <v>Q3</v>
      </c>
    </row>
    <row r="800" spans="1:17" x14ac:dyDescent="0.25">
      <c r="A800" s="8">
        <v>45882</v>
      </c>
      <c r="B800" s="9" t="s">
        <v>73</v>
      </c>
      <c r="C800" s="9" t="s">
        <v>74</v>
      </c>
      <c r="D800" s="9" t="s">
        <v>75</v>
      </c>
      <c r="E800" s="10">
        <v>84.02</v>
      </c>
      <c r="F800" s="10">
        <v>84.79</v>
      </c>
      <c r="G800" s="10">
        <v>83.72</v>
      </c>
      <c r="H800" s="10">
        <v>84.24</v>
      </c>
      <c r="I800" s="11">
        <v>827317</v>
      </c>
      <c r="J800" s="10">
        <v>18532800000</v>
      </c>
      <c r="K800" s="30">
        <f t="shared" si="72"/>
        <v>0.26184241847179107</v>
      </c>
      <c r="L800" s="31">
        <f t="shared" si="73"/>
        <v>1.0700000000000074</v>
      </c>
      <c r="M800" s="30">
        <f t="shared" si="74"/>
        <v>1.2735063080219084E-2</v>
      </c>
      <c r="N800" s="20" t="str">
        <f t="shared" si="77"/>
        <v>Normal</v>
      </c>
      <c r="O800" s="32">
        <f t="shared" si="75"/>
        <v>18.532800000000002</v>
      </c>
      <c r="P800" s="20">
        <f t="shared" si="76"/>
        <v>8</v>
      </c>
      <c r="Q800" s="20" t="str" cm="1">
        <f t="array" ref="Q800">_xlfn.IFS(P800&lt;=3,"Q1",P800&lt;=6,"Q2",P800&lt;=9,"Q3",P800&lt;=12,"Q4")</f>
        <v>Q3</v>
      </c>
    </row>
    <row r="801" spans="1:17" x14ac:dyDescent="0.25">
      <c r="A801" s="14">
        <v>45882</v>
      </c>
      <c r="B801" s="15" t="s">
        <v>76</v>
      </c>
      <c r="C801" s="15" t="s">
        <v>77</v>
      </c>
      <c r="D801" s="15" t="s">
        <v>75</v>
      </c>
      <c r="E801" s="16">
        <v>150.93</v>
      </c>
      <c r="F801" s="16">
        <v>151.01</v>
      </c>
      <c r="G801" s="16">
        <v>150.05000000000001</v>
      </c>
      <c r="H801" s="16">
        <v>150.69</v>
      </c>
      <c r="I801" s="17">
        <v>4644336</v>
      </c>
      <c r="J801" s="16">
        <v>30138000000</v>
      </c>
      <c r="K801" s="30">
        <f t="shared" si="72"/>
        <v>-0.15901411250249062</v>
      </c>
      <c r="L801" s="31">
        <f t="shared" si="73"/>
        <v>0.95999999999997954</v>
      </c>
      <c r="M801" s="30">
        <f t="shared" si="74"/>
        <v>6.3605645000992476E-3</v>
      </c>
      <c r="N801" s="20" t="str">
        <f t="shared" si="77"/>
        <v>High volume</v>
      </c>
      <c r="O801" s="32">
        <f t="shared" si="75"/>
        <v>30.138000000000002</v>
      </c>
      <c r="P801" s="20">
        <f t="shared" si="76"/>
        <v>8</v>
      </c>
      <c r="Q801" s="20" t="str" cm="1">
        <f t="array" ref="Q801">_xlfn.IFS(P801&lt;=3,"Q1",P801&lt;=6,"Q2",P801&lt;=9,"Q3",P801&lt;=12,"Q4")</f>
        <v>Q3</v>
      </c>
    </row>
    <row r="802" spans="1:17" x14ac:dyDescent="0.25">
      <c r="A802" s="8">
        <v>45883</v>
      </c>
      <c r="B802" s="9" t="s">
        <v>60</v>
      </c>
      <c r="C802" s="9" t="s">
        <v>61</v>
      </c>
      <c r="D802" s="9" t="s">
        <v>62</v>
      </c>
      <c r="E802" s="10">
        <v>2377.38</v>
      </c>
      <c r="F802" s="10">
        <v>2387.25</v>
      </c>
      <c r="G802" s="10">
        <v>2356.8200000000002</v>
      </c>
      <c r="H802" s="10">
        <v>2358.23</v>
      </c>
      <c r="I802" s="11">
        <v>3018505</v>
      </c>
      <c r="J802" s="10">
        <v>3301522000000</v>
      </c>
      <c r="K802" s="30">
        <f t="shared" si="72"/>
        <v>-0.80550858508105938</v>
      </c>
      <c r="L802" s="31">
        <f t="shared" si="73"/>
        <v>30.429999999999836</v>
      </c>
      <c r="M802" s="30">
        <f t="shared" si="74"/>
        <v>1.2799804827162605E-2</v>
      </c>
      <c r="N802" s="20" t="str">
        <f t="shared" si="77"/>
        <v>High volume</v>
      </c>
      <c r="O802" s="32">
        <f t="shared" si="75"/>
        <v>3301.5219999999999</v>
      </c>
      <c r="P802" s="20">
        <f t="shared" si="76"/>
        <v>8</v>
      </c>
      <c r="Q802" s="20" t="str" cm="1">
        <f t="array" ref="Q802">_xlfn.IFS(P802&lt;=3,"Q1",P802&lt;=6,"Q2",P802&lt;=9,"Q3",P802&lt;=12,"Q4")</f>
        <v>Q3</v>
      </c>
    </row>
    <row r="803" spans="1:17" x14ac:dyDescent="0.25">
      <c r="A803" s="14">
        <v>45883</v>
      </c>
      <c r="B803" s="15" t="s">
        <v>65</v>
      </c>
      <c r="C803" s="15" t="s">
        <v>66</v>
      </c>
      <c r="D803" s="15" t="s">
        <v>67</v>
      </c>
      <c r="E803" s="16">
        <v>208.71</v>
      </c>
      <c r="F803" s="16">
        <v>212.21</v>
      </c>
      <c r="G803" s="16">
        <v>206.06</v>
      </c>
      <c r="H803" s="16">
        <v>209.96</v>
      </c>
      <c r="I803" s="17">
        <v>2594244</v>
      </c>
      <c r="J803" s="16">
        <v>52490000000</v>
      </c>
      <c r="K803" s="30">
        <f t="shared" si="72"/>
        <v>0.598917157778736</v>
      </c>
      <c r="L803" s="31">
        <f t="shared" si="73"/>
        <v>6.1500000000000057</v>
      </c>
      <c r="M803" s="30">
        <f t="shared" si="74"/>
        <v>2.9466724162713839E-2</v>
      </c>
      <c r="N803" s="20" t="str">
        <f t="shared" si="77"/>
        <v>High volume</v>
      </c>
      <c r="O803" s="32">
        <f t="shared" si="75"/>
        <v>52.49</v>
      </c>
      <c r="P803" s="20">
        <f t="shared" si="76"/>
        <v>8</v>
      </c>
      <c r="Q803" s="20" t="str" cm="1">
        <f t="array" ref="Q803">_xlfn.IFS(P803&lt;=3,"Q1",P803&lt;=6,"Q2",P803&lt;=9,"Q3",P803&lt;=12,"Q4")</f>
        <v>Q3</v>
      </c>
    </row>
    <row r="804" spans="1:17" x14ac:dyDescent="0.25">
      <c r="A804" s="8">
        <v>45883</v>
      </c>
      <c r="B804" s="9" t="s">
        <v>69</v>
      </c>
      <c r="C804" s="9" t="s">
        <v>70</v>
      </c>
      <c r="D804" s="9" t="s">
        <v>71</v>
      </c>
      <c r="E804" s="10">
        <v>699.87</v>
      </c>
      <c r="F804" s="10">
        <v>703.64</v>
      </c>
      <c r="G804" s="10">
        <v>696.54</v>
      </c>
      <c r="H804" s="10">
        <v>701.18</v>
      </c>
      <c r="I804" s="11">
        <v>3364331</v>
      </c>
      <c r="J804" s="10">
        <v>560944000000</v>
      </c>
      <c r="K804" s="30">
        <f t="shared" si="72"/>
        <v>0.18717761870060803</v>
      </c>
      <c r="L804" s="31">
        <f t="shared" si="73"/>
        <v>7.1000000000000227</v>
      </c>
      <c r="M804" s="30">
        <f t="shared" si="74"/>
        <v>1.0144741166216616E-2</v>
      </c>
      <c r="N804" s="20" t="str">
        <f t="shared" si="77"/>
        <v>High volume</v>
      </c>
      <c r="O804" s="32">
        <f t="shared" si="75"/>
        <v>560.94399999999996</v>
      </c>
      <c r="P804" s="20">
        <f t="shared" si="76"/>
        <v>8</v>
      </c>
      <c r="Q804" s="20" t="str" cm="1">
        <f t="array" ref="Q804">_xlfn.IFS(P804&lt;=3,"Q1",P804&lt;=6,"Q2",P804&lt;=9,"Q3",P804&lt;=12,"Q4")</f>
        <v>Q3</v>
      </c>
    </row>
    <row r="805" spans="1:17" x14ac:dyDescent="0.25">
      <c r="A805" s="14">
        <v>45883</v>
      </c>
      <c r="B805" s="15" t="s">
        <v>73</v>
      </c>
      <c r="C805" s="15" t="s">
        <v>74</v>
      </c>
      <c r="D805" s="15" t="s">
        <v>75</v>
      </c>
      <c r="E805" s="16">
        <v>84.04</v>
      </c>
      <c r="F805" s="16">
        <v>85.26</v>
      </c>
      <c r="G805" s="16">
        <v>83.29</v>
      </c>
      <c r="H805" s="16">
        <v>83.44</v>
      </c>
      <c r="I805" s="17">
        <v>2410459</v>
      </c>
      <c r="J805" s="16">
        <v>18356800000</v>
      </c>
      <c r="K805" s="30">
        <f t="shared" si="72"/>
        <v>-0.71394574012376066</v>
      </c>
      <c r="L805" s="31">
        <f t="shared" si="73"/>
        <v>1.9699999999999989</v>
      </c>
      <c r="M805" s="30">
        <f t="shared" si="74"/>
        <v>2.3441218467396462E-2</v>
      </c>
      <c r="N805" s="20" t="str">
        <f t="shared" si="77"/>
        <v>High volume</v>
      </c>
      <c r="O805" s="32">
        <f t="shared" si="75"/>
        <v>18.3568</v>
      </c>
      <c r="P805" s="20">
        <f t="shared" si="76"/>
        <v>8</v>
      </c>
      <c r="Q805" s="20" t="str" cm="1">
        <f t="array" ref="Q805">_xlfn.IFS(P805&lt;=3,"Q1",P805&lt;=6,"Q2",P805&lt;=9,"Q3",P805&lt;=12,"Q4")</f>
        <v>Q3</v>
      </c>
    </row>
    <row r="806" spans="1:17" x14ac:dyDescent="0.25">
      <c r="A806" s="8">
        <v>45883</v>
      </c>
      <c r="B806" s="9" t="s">
        <v>76</v>
      </c>
      <c r="C806" s="9" t="s">
        <v>77</v>
      </c>
      <c r="D806" s="9" t="s">
        <v>75</v>
      </c>
      <c r="E806" s="10">
        <v>147.21</v>
      </c>
      <c r="F806" s="10">
        <v>149.01</v>
      </c>
      <c r="G806" s="10">
        <v>146.12</v>
      </c>
      <c r="H806" s="10">
        <v>148.63</v>
      </c>
      <c r="I806" s="11">
        <v>4384090</v>
      </c>
      <c r="J806" s="10">
        <v>29726000000</v>
      </c>
      <c r="K806" s="30">
        <f t="shared" si="72"/>
        <v>0.96460838258269643</v>
      </c>
      <c r="L806" s="31">
        <f t="shared" si="73"/>
        <v>2.8899999999999864</v>
      </c>
      <c r="M806" s="30">
        <f t="shared" si="74"/>
        <v>1.9631818490591577E-2</v>
      </c>
      <c r="N806" s="20" t="str">
        <f t="shared" si="77"/>
        <v>High volume</v>
      </c>
      <c r="O806" s="32">
        <f t="shared" si="75"/>
        <v>29.725999999999999</v>
      </c>
      <c r="P806" s="20">
        <f t="shared" si="76"/>
        <v>8</v>
      </c>
      <c r="Q806" s="20" t="str" cm="1">
        <f t="array" ref="Q806">_xlfn.IFS(P806&lt;=3,"Q1",P806&lt;=6,"Q2",P806&lt;=9,"Q3",P806&lt;=12,"Q4")</f>
        <v>Q3</v>
      </c>
    </row>
    <row r="807" spans="1:17" x14ac:dyDescent="0.25">
      <c r="A807" s="14">
        <v>45884</v>
      </c>
      <c r="B807" s="15" t="s">
        <v>60</v>
      </c>
      <c r="C807" s="15" t="s">
        <v>61</v>
      </c>
      <c r="D807" s="15" t="s">
        <v>62</v>
      </c>
      <c r="E807" s="16">
        <v>2355.31</v>
      </c>
      <c r="F807" s="16">
        <v>2365.73</v>
      </c>
      <c r="G807" s="16">
        <v>2317.35</v>
      </c>
      <c r="H807" s="16">
        <v>2317.67</v>
      </c>
      <c r="I807" s="17">
        <v>1465750</v>
      </c>
      <c r="J807" s="16">
        <v>3244738000000</v>
      </c>
      <c r="K807" s="30">
        <f t="shared" si="72"/>
        <v>-1.5980911217631597</v>
      </c>
      <c r="L807" s="31">
        <f t="shared" si="73"/>
        <v>48.380000000000109</v>
      </c>
      <c r="M807" s="30">
        <f t="shared" si="74"/>
        <v>2.0540820528932545E-2</v>
      </c>
      <c r="N807" s="20" t="str">
        <f t="shared" si="77"/>
        <v>Normal</v>
      </c>
      <c r="O807" s="32">
        <f t="shared" si="75"/>
        <v>3244.7379999999998</v>
      </c>
      <c r="P807" s="20">
        <f t="shared" si="76"/>
        <v>8</v>
      </c>
      <c r="Q807" s="20" t="str" cm="1">
        <f t="array" ref="Q807">_xlfn.IFS(P807&lt;=3,"Q1",P807&lt;=6,"Q2",P807&lt;=9,"Q3",P807&lt;=12,"Q4")</f>
        <v>Q3</v>
      </c>
    </row>
    <row r="808" spans="1:17" x14ac:dyDescent="0.25">
      <c r="A808" s="8">
        <v>45884</v>
      </c>
      <c r="B808" s="9" t="s">
        <v>65</v>
      </c>
      <c r="C808" s="9" t="s">
        <v>66</v>
      </c>
      <c r="D808" s="9" t="s">
        <v>67</v>
      </c>
      <c r="E808" s="10">
        <v>207.89</v>
      </c>
      <c r="F808" s="10">
        <v>208.33</v>
      </c>
      <c r="G808" s="10">
        <v>206.55</v>
      </c>
      <c r="H808" s="10">
        <v>206.82</v>
      </c>
      <c r="I808" s="11">
        <v>1620009</v>
      </c>
      <c r="J808" s="10">
        <v>51705000000</v>
      </c>
      <c r="K808" s="30">
        <f t="shared" si="72"/>
        <v>-0.51469527153782924</v>
      </c>
      <c r="L808" s="31">
        <f t="shared" si="73"/>
        <v>1.7800000000000011</v>
      </c>
      <c r="M808" s="30">
        <f t="shared" si="74"/>
        <v>8.5622204050218934E-3</v>
      </c>
      <c r="N808" s="20" t="str">
        <f t="shared" si="77"/>
        <v>Normal</v>
      </c>
      <c r="O808" s="32">
        <f t="shared" si="75"/>
        <v>51.704999999999998</v>
      </c>
      <c r="P808" s="20">
        <f t="shared" si="76"/>
        <v>8</v>
      </c>
      <c r="Q808" s="20" t="str" cm="1">
        <f t="array" ref="Q808">_xlfn.IFS(P808&lt;=3,"Q1",P808&lt;=6,"Q2",P808&lt;=9,"Q3",P808&lt;=12,"Q4")</f>
        <v>Q3</v>
      </c>
    </row>
    <row r="809" spans="1:17" x14ac:dyDescent="0.25">
      <c r="A809" s="14">
        <v>45884</v>
      </c>
      <c r="B809" s="15" t="s">
        <v>69</v>
      </c>
      <c r="C809" s="15" t="s">
        <v>70</v>
      </c>
      <c r="D809" s="15" t="s">
        <v>71</v>
      </c>
      <c r="E809" s="16">
        <v>700.54</v>
      </c>
      <c r="F809" s="16">
        <v>706.31</v>
      </c>
      <c r="G809" s="16">
        <v>693.76</v>
      </c>
      <c r="H809" s="16">
        <v>695.25</v>
      </c>
      <c r="I809" s="17">
        <v>2232285</v>
      </c>
      <c r="J809" s="16">
        <v>556200000000</v>
      </c>
      <c r="K809" s="30">
        <f t="shared" si="72"/>
        <v>-0.75513175550289258</v>
      </c>
      <c r="L809" s="31">
        <f t="shared" si="73"/>
        <v>12.549999999999955</v>
      </c>
      <c r="M809" s="30">
        <f t="shared" si="74"/>
        <v>1.7914751477431632E-2</v>
      </c>
      <c r="N809" s="20" t="str">
        <f t="shared" si="77"/>
        <v>High volume</v>
      </c>
      <c r="O809" s="32">
        <f t="shared" si="75"/>
        <v>556.20000000000005</v>
      </c>
      <c r="P809" s="20">
        <f t="shared" si="76"/>
        <v>8</v>
      </c>
      <c r="Q809" s="20" t="str" cm="1">
        <f t="array" ref="Q809">_xlfn.IFS(P809&lt;=3,"Q1",P809&lt;=6,"Q2",P809&lt;=9,"Q3",P809&lt;=12,"Q4")</f>
        <v>Q3</v>
      </c>
    </row>
    <row r="810" spans="1:17" x14ac:dyDescent="0.25">
      <c r="A810" s="8">
        <v>45884</v>
      </c>
      <c r="B810" s="9" t="s">
        <v>73</v>
      </c>
      <c r="C810" s="9" t="s">
        <v>74</v>
      </c>
      <c r="D810" s="9" t="s">
        <v>75</v>
      </c>
      <c r="E810" s="10">
        <v>82.49</v>
      </c>
      <c r="F810" s="10">
        <v>82.79</v>
      </c>
      <c r="G810" s="10">
        <v>81.739999999999995</v>
      </c>
      <c r="H810" s="10">
        <v>82.24</v>
      </c>
      <c r="I810" s="11">
        <v>1652631</v>
      </c>
      <c r="J810" s="10">
        <v>18092800000</v>
      </c>
      <c r="K810" s="30">
        <f t="shared" si="72"/>
        <v>-0.30306703842890048</v>
      </c>
      <c r="L810" s="31">
        <f t="shared" si="73"/>
        <v>1.0500000000000114</v>
      </c>
      <c r="M810" s="30">
        <f t="shared" si="74"/>
        <v>1.2728815614013959E-2</v>
      </c>
      <c r="N810" s="20" t="str">
        <f t="shared" si="77"/>
        <v>Normal</v>
      </c>
      <c r="O810" s="32">
        <f t="shared" si="75"/>
        <v>18.0928</v>
      </c>
      <c r="P810" s="20">
        <f t="shared" si="76"/>
        <v>8</v>
      </c>
      <c r="Q810" s="20" t="str" cm="1">
        <f t="array" ref="Q810">_xlfn.IFS(P810&lt;=3,"Q1",P810&lt;=6,"Q2",P810&lt;=9,"Q3",P810&lt;=12,"Q4")</f>
        <v>Q3</v>
      </c>
    </row>
    <row r="811" spans="1:17" x14ac:dyDescent="0.25">
      <c r="A811" s="14">
        <v>45884</v>
      </c>
      <c r="B811" s="15" t="s">
        <v>76</v>
      </c>
      <c r="C811" s="15" t="s">
        <v>77</v>
      </c>
      <c r="D811" s="15" t="s">
        <v>75</v>
      </c>
      <c r="E811" s="16">
        <v>150.84</v>
      </c>
      <c r="F811" s="16">
        <v>151.59</v>
      </c>
      <c r="G811" s="16">
        <v>149.85</v>
      </c>
      <c r="H811" s="16">
        <v>150.27000000000001</v>
      </c>
      <c r="I811" s="17">
        <v>1372778</v>
      </c>
      <c r="J811" s="16">
        <v>30054000000</v>
      </c>
      <c r="K811" s="30">
        <f t="shared" si="72"/>
        <v>-0.37788385043754519</v>
      </c>
      <c r="L811" s="31">
        <f t="shared" si="73"/>
        <v>1.7400000000000091</v>
      </c>
      <c r="M811" s="30">
        <f t="shared" si="74"/>
        <v>1.1535401750198947E-2</v>
      </c>
      <c r="N811" s="20" t="str">
        <f t="shared" si="77"/>
        <v>Normal</v>
      </c>
      <c r="O811" s="32">
        <f t="shared" si="75"/>
        <v>30.053999999999998</v>
      </c>
      <c r="P811" s="20">
        <f t="shared" si="76"/>
        <v>8</v>
      </c>
      <c r="Q811" s="20" t="str" cm="1">
        <f t="array" ref="Q811">_xlfn.IFS(P811&lt;=3,"Q1",P811&lt;=6,"Q2",P811&lt;=9,"Q3",P811&lt;=12,"Q4")</f>
        <v>Q3</v>
      </c>
    </row>
    <row r="812" spans="1:17" x14ac:dyDescent="0.25">
      <c r="A812" s="8">
        <v>45887</v>
      </c>
      <c r="B812" s="9" t="s">
        <v>60</v>
      </c>
      <c r="C812" s="9" t="s">
        <v>61</v>
      </c>
      <c r="D812" s="9" t="s">
        <v>62</v>
      </c>
      <c r="E812" s="10">
        <v>2299.6799999999998</v>
      </c>
      <c r="F812" s="10">
        <v>2304.54</v>
      </c>
      <c r="G812" s="10">
        <v>2296.11</v>
      </c>
      <c r="H812" s="10">
        <v>2300.9299999999998</v>
      </c>
      <c r="I812" s="11">
        <v>769023</v>
      </c>
      <c r="J812" s="10">
        <v>3221302000000</v>
      </c>
      <c r="K812" s="30">
        <f t="shared" si="72"/>
        <v>5.4355388575801855E-2</v>
      </c>
      <c r="L812" s="31">
        <f t="shared" si="73"/>
        <v>8.4299999999998363</v>
      </c>
      <c r="M812" s="30">
        <f t="shared" si="74"/>
        <v>3.6657274055520057E-3</v>
      </c>
      <c r="N812" s="20" t="str">
        <f t="shared" si="77"/>
        <v>Normal</v>
      </c>
      <c r="O812" s="32">
        <f t="shared" si="75"/>
        <v>3221.3020000000001</v>
      </c>
      <c r="P812" s="20">
        <f t="shared" si="76"/>
        <v>8</v>
      </c>
      <c r="Q812" s="20" t="str" cm="1">
        <f t="array" ref="Q812">_xlfn.IFS(P812&lt;=3,"Q1",P812&lt;=6,"Q2",P812&lt;=9,"Q3",P812&lt;=12,"Q4")</f>
        <v>Q3</v>
      </c>
    </row>
    <row r="813" spans="1:17" x14ac:dyDescent="0.25">
      <c r="A813" s="14">
        <v>45887</v>
      </c>
      <c r="B813" s="15" t="s">
        <v>65</v>
      </c>
      <c r="C813" s="15" t="s">
        <v>66</v>
      </c>
      <c r="D813" s="15" t="s">
        <v>67</v>
      </c>
      <c r="E813" s="16">
        <v>206.22</v>
      </c>
      <c r="F813" s="16">
        <v>208.09</v>
      </c>
      <c r="G813" s="16">
        <v>202.99</v>
      </c>
      <c r="H813" s="16">
        <v>205.62</v>
      </c>
      <c r="I813" s="17">
        <v>3701214</v>
      </c>
      <c r="J813" s="16">
        <v>51405000000</v>
      </c>
      <c r="K813" s="30">
        <f t="shared" si="72"/>
        <v>-0.29095141111434114</v>
      </c>
      <c r="L813" s="31">
        <f t="shared" si="73"/>
        <v>5.0999999999999943</v>
      </c>
      <c r="M813" s="30">
        <f t="shared" si="74"/>
        <v>2.4730869944719205E-2</v>
      </c>
      <c r="N813" s="20" t="str">
        <f t="shared" si="77"/>
        <v>High volume</v>
      </c>
      <c r="O813" s="32">
        <f t="shared" si="75"/>
        <v>51.405000000000001</v>
      </c>
      <c r="P813" s="20">
        <f t="shared" si="76"/>
        <v>8</v>
      </c>
      <c r="Q813" s="20" t="str" cm="1">
        <f t="array" ref="Q813">_xlfn.IFS(P813&lt;=3,"Q1",P813&lt;=6,"Q2",P813&lt;=9,"Q3",P813&lt;=12,"Q4")</f>
        <v>Q3</v>
      </c>
    </row>
    <row r="814" spans="1:17" x14ac:dyDescent="0.25">
      <c r="A814" s="8">
        <v>45887</v>
      </c>
      <c r="B814" s="9" t="s">
        <v>69</v>
      </c>
      <c r="C814" s="9" t="s">
        <v>70</v>
      </c>
      <c r="D814" s="9" t="s">
        <v>71</v>
      </c>
      <c r="E814" s="10">
        <v>684.49</v>
      </c>
      <c r="F814" s="10">
        <v>688.61</v>
      </c>
      <c r="G814" s="10">
        <v>675.82</v>
      </c>
      <c r="H814" s="10">
        <v>684.28</v>
      </c>
      <c r="I814" s="11">
        <v>2677789</v>
      </c>
      <c r="J814" s="10">
        <v>547424000000</v>
      </c>
      <c r="K814" s="30">
        <f t="shared" si="72"/>
        <v>-3.0679776183733343E-2</v>
      </c>
      <c r="L814" s="31">
        <f t="shared" si="73"/>
        <v>12.789999999999964</v>
      </c>
      <c r="M814" s="30">
        <f t="shared" si="74"/>
        <v>1.8685444637613353E-2</v>
      </c>
      <c r="N814" s="20" t="str">
        <f t="shared" si="77"/>
        <v>High volume</v>
      </c>
      <c r="O814" s="32">
        <f t="shared" si="75"/>
        <v>547.42399999999998</v>
      </c>
      <c r="P814" s="20">
        <f t="shared" si="76"/>
        <v>8</v>
      </c>
      <c r="Q814" s="20" t="str" cm="1">
        <f t="array" ref="Q814">_xlfn.IFS(P814&lt;=3,"Q1",P814&lt;=6,"Q2",P814&lt;=9,"Q3",P814&lt;=12,"Q4")</f>
        <v>Q3</v>
      </c>
    </row>
    <row r="815" spans="1:17" x14ac:dyDescent="0.25">
      <c r="A815" s="14">
        <v>45887</v>
      </c>
      <c r="B815" s="15" t="s">
        <v>73</v>
      </c>
      <c r="C815" s="15" t="s">
        <v>74</v>
      </c>
      <c r="D815" s="15" t="s">
        <v>75</v>
      </c>
      <c r="E815" s="16">
        <v>82.49</v>
      </c>
      <c r="F815" s="16">
        <v>82.93</v>
      </c>
      <c r="G815" s="16">
        <v>82.34</v>
      </c>
      <c r="H815" s="16">
        <v>82.7</v>
      </c>
      <c r="I815" s="17">
        <v>4254502</v>
      </c>
      <c r="J815" s="16">
        <v>18194000000</v>
      </c>
      <c r="K815" s="30">
        <f t="shared" si="72"/>
        <v>0.25457631228028604</v>
      </c>
      <c r="L815" s="31">
        <f t="shared" si="73"/>
        <v>0.59000000000000341</v>
      </c>
      <c r="M815" s="30">
        <f t="shared" si="74"/>
        <v>7.1523821069220932E-3</v>
      </c>
      <c r="N815" s="20" t="str">
        <f t="shared" si="77"/>
        <v>High volume</v>
      </c>
      <c r="O815" s="32">
        <f t="shared" si="75"/>
        <v>18.193999999999999</v>
      </c>
      <c r="P815" s="20">
        <f t="shared" si="76"/>
        <v>8</v>
      </c>
      <c r="Q815" s="20" t="str" cm="1">
        <f t="array" ref="Q815">_xlfn.IFS(P815&lt;=3,"Q1",P815&lt;=6,"Q2",P815&lt;=9,"Q3",P815&lt;=12,"Q4")</f>
        <v>Q3</v>
      </c>
    </row>
    <row r="816" spans="1:17" x14ac:dyDescent="0.25">
      <c r="A816" s="8">
        <v>45887</v>
      </c>
      <c r="B816" s="9" t="s">
        <v>76</v>
      </c>
      <c r="C816" s="9" t="s">
        <v>77</v>
      </c>
      <c r="D816" s="9" t="s">
        <v>75</v>
      </c>
      <c r="E816" s="10">
        <v>151.22999999999999</v>
      </c>
      <c r="F816" s="10">
        <v>151.78</v>
      </c>
      <c r="G816" s="10">
        <v>150.44</v>
      </c>
      <c r="H816" s="10">
        <v>151.5</v>
      </c>
      <c r="I816" s="11">
        <v>1825754</v>
      </c>
      <c r="J816" s="10">
        <v>30300000000</v>
      </c>
      <c r="K816" s="30">
        <f t="shared" si="72"/>
        <v>0.1785360047609669</v>
      </c>
      <c r="L816" s="31">
        <f t="shared" si="73"/>
        <v>1.3400000000000034</v>
      </c>
      <c r="M816" s="30">
        <f t="shared" si="74"/>
        <v>8.8606757918402671E-3</v>
      </c>
      <c r="N816" s="20" t="str">
        <f t="shared" si="77"/>
        <v>Normal</v>
      </c>
      <c r="O816" s="32">
        <f t="shared" si="75"/>
        <v>30.3</v>
      </c>
      <c r="P816" s="20">
        <f t="shared" si="76"/>
        <v>8</v>
      </c>
      <c r="Q816" s="20" t="str" cm="1">
        <f t="array" ref="Q816">_xlfn.IFS(P816&lt;=3,"Q1",P816&lt;=6,"Q2",P816&lt;=9,"Q3",P816&lt;=12,"Q4")</f>
        <v>Q3</v>
      </c>
    </row>
    <row r="817" spans="1:17" x14ac:dyDescent="0.25">
      <c r="A817" s="14">
        <v>45888</v>
      </c>
      <c r="B817" s="15" t="s">
        <v>60</v>
      </c>
      <c r="C817" s="15" t="s">
        <v>61</v>
      </c>
      <c r="D817" s="15" t="s">
        <v>62</v>
      </c>
      <c r="E817" s="16">
        <v>2260.4499999999998</v>
      </c>
      <c r="F817" s="16">
        <v>2275.91</v>
      </c>
      <c r="G817" s="16">
        <v>2245.33</v>
      </c>
      <c r="H817" s="16">
        <v>2250.46</v>
      </c>
      <c r="I817" s="17">
        <v>3174534</v>
      </c>
      <c r="J817" s="16">
        <v>3150644000000</v>
      </c>
      <c r="K817" s="30">
        <f t="shared" si="72"/>
        <v>-0.44194739985400172</v>
      </c>
      <c r="L817" s="31">
        <f t="shared" si="73"/>
        <v>30.579999999999927</v>
      </c>
      <c r="M817" s="30">
        <f t="shared" si="74"/>
        <v>1.3528279767302939E-2</v>
      </c>
      <c r="N817" s="20" t="str">
        <f t="shared" si="77"/>
        <v>High volume</v>
      </c>
      <c r="O817" s="32">
        <f t="shared" si="75"/>
        <v>3150.6439999999998</v>
      </c>
      <c r="P817" s="20">
        <f t="shared" si="76"/>
        <v>8</v>
      </c>
      <c r="Q817" s="20" t="str" cm="1">
        <f t="array" ref="Q817">_xlfn.IFS(P817&lt;=3,"Q1",P817&lt;=6,"Q2",P817&lt;=9,"Q3",P817&lt;=12,"Q4")</f>
        <v>Q3</v>
      </c>
    </row>
    <row r="818" spans="1:17" x14ac:dyDescent="0.25">
      <c r="A818" s="8">
        <v>45888</v>
      </c>
      <c r="B818" s="9" t="s">
        <v>65</v>
      </c>
      <c r="C818" s="9" t="s">
        <v>66</v>
      </c>
      <c r="D818" s="9" t="s">
        <v>67</v>
      </c>
      <c r="E818" s="10">
        <v>209.33</v>
      </c>
      <c r="F818" s="10">
        <v>210.39</v>
      </c>
      <c r="G818" s="10">
        <v>207.85</v>
      </c>
      <c r="H818" s="10">
        <v>208.19</v>
      </c>
      <c r="I818" s="11">
        <v>438937</v>
      </c>
      <c r="J818" s="10">
        <v>52047500000</v>
      </c>
      <c r="K818" s="30">
        <f t="shared" si="72"/>
        <v>-0.54459465915063043</v>
      </c>
      <c r="L818" s="31">
        <f t="shared" si="73"/>
        <v>2.539999999999992</v>
      </c>
      <c r="M818" s="30">
        <f t="shared" si="74"/>
        <v>1.2133951177566483E-2</v>
      </c>
      <c r="N818" s="20" t="str">
        <f t="shared" si="77"/>
        <v>Normal</v>
      </c>
      <c r="O818" s="32">
        <f t="shared" si="75"/>
        <v>52.047499999999999</v>
      </c>
      <c r="P818" s="20">
        <f t="shared" si="76"/>
        <v>8</v>
      </c>
      <c r="Q818" s="20" t="str" cm="1">
        <f t="array" ref="Q818">_xlfn.IFS(P818&lt;=3,"Q1",P818&lt;=6,"Q2",P818&lt;=9,"Q3",P818&lt;=12,"Q4")</f>
        <v>Q3</v>
      </c>
    </row>
    <row r="819" spans="1:17" x14ac:dyDescent="0.25">
      <c r="A819" s="14">
        <v>45888</v>
      </c>
      <c r="B819" s="15" t="s">
        <v>69</v>
      </c>
      <c r="C819" s="15" t="s">
        <v>70</v>
      </c>
      <c r="D819" s="15" t="s">
        <v>71</v>
      </c>
      <c r="E819" s="16">
        <v>688.61</v>
      </c>
      <c r="F819" s="16">
        <v>691.83</v>
      </c>
      <c r="G819" s="16">
        <v>678.18</v>
      </c>
      <c r="H819" s="16">
        <v>685.06</v>
      </c>
      <c r="I819" s="17">
        <v>3821495</v>
      </c>
      <c r="J819" s="16">
        <v>548048000000</v>
      </c>
      <c r="K819" s="30">
        <f t="shared" si="72"/>
        <v>-0.51553128766646839</v>
      </c>
      <c r="L819" s="31">
        <f t="shared" si="73"/>
        <v>13.650000000000091</v>
      </c>
      <c r="M819" s="30">
        <f t="shared" si="74"/>
        <v>1.9822541060978045E-2</v>
      </c>
      <c r="N819" s="20" t="str">
        <f t="shared" si="77"/>
        <v>High volume</v>
      </c>
      <c r="O819" s="32">
        <f t="shared" si="75"/>
        <v>548.048</v>
      </c>
      <c r="P819" s="20">
        <f t="shared" si="76"/>
        <v>8</v>
      </c>
      <c r="Q819" s="20" t="str" cm="1">
        <f t="array" ref="Q819">_xlfn.IFS(P819&lt;=3,"Q1",P819&lt;=6,"Q2",P819&lt;=9,"Q3",P819&lt;=12,"Q4")</f>
        <v>Q3</v>
      </c>
    </row>
    <row r="820" spans="1:17" x14ac:dyDescent="0.25">
      <c r="A820" s="8">
        <v>45888</v>
      </c>
      <c r="B820" s="9" t="s">
        <v>73</v>
      </c>
      <c r="C820" s="9" t="s">
        <v>74</v>
      </c>
      <c r="D820" s="9" t="s">
        <v>75</v>
      </c>
      <c r="E820" s="10">
        <v>83.5</v>
      </c>
      <c r="F820" s="10">
        <v>84.31</v>
      </c>
      <c r="G820" s="10">
        <v>82.87</v>
      </c>
      <c r="H820" s="10">
        <v>83.73</v>
      </c>
      <c r="I820" s="11">
        <v>4757957</v>
      </c>
      <c r="J820" s="10">
        <v>18420600000</v>
      </c>
      <c r="K820" s="30">
        <f t="shared" si="72"/>
        <v>0.27544910179641191</v>
      </c>
      <c r="L820" s="31">
        <f t="shared" si="73"/>
        <v>1.4399999999999977</v>
      </c>
      <c r="M820" s="30">
        <f t="shared" si="74"/>
        <v>1.72455089820359E-2</v>
      </c>
      <c r="N820" s="20" t="str">
        <f t="shared" si="77"/>
        <v>High volume</v>
      </c>
      <c r="O820" s="32">
        <f t="shared" si="75"/>
        <v>18.4206</v>
      </c>
      <c r="P820" s="20">
        <f t="shared" si="76"/>
        <v>8</v>
      </c>
      <c r="Q820" s="20" t="str" cm="1">
        <f t="array" ref="Q820">_xlfn.IFS(P820&lt;=3,"Q1",P820&lt;=6,"Q2",P820&lt;=9,"Q3",P820&lt;=12,"Q4")</f>
        <v>Q3</v>
      </c>
    </row>
    <row r="821" spans="1:17" x14ac:dyDescent="0.25">
      <c r="A821" s="14">
        <v>45888</v>
      </c>
      <c r="B821" s="15" t="s">
        <v>76</v>
      </c>
      <c r="C821" s="15" t="s">
        <v>77</v>
      </c>
      <c r="D821" s="15" t="s">
        <v>75</v>
      </c>
      <c r="E821" s="16">
        <v>155.91999999999999</v>
      </c>
      <c r="F821" s="16">
        <v>156.54</v>
      </c>
      <c r="G821" s="16">
        <v>155.91</v>
      </c>
      <c r="H821" s="16">
        <v>156.21</v>
      </c>
      <c r="I821" s="17">
        <v>1393277</v>
      </c>
      <c r="J821" s="16">
        <v>31242000000</v>
      </c>
      <c r="K821" s="30">
        <f t="shared" si="72"/>
        <v>0.18599281682915628</v>
      </c>
      <c r="L821" s="31">
        <f t="shared" si="73"/>
        <v>0.62999999999999545</v>
      </c>
      <c r="M821" s="30">
        <f t="shared" si="74"/>
        <v>4.0405336069779087E-3</v>
      </c>
      <c r="N821" s="20" t="str">
        <f t="shared" si="77"/>
        <v>Normal</v>
      </c>
      <c r="O821" s="32">
        <f t="shared" si="75"/>
        <v>31.242000000000001</v>
      </c>
      <c r="P821" s="20">
        <f t="shared" si="76"/>
        <v>8</v>
      </c>
      <c r="Q821" s="20" t="str" cm="1">
        <f t="array" ref="Q821">_xlfn.IFS(P821&lt;=3,"Q1",P821&lt;=6,"Q2",P821&lt;=9,"Q3",P821&lt;=12,"Q4")</f>
        <v>Q3</v>
      </c>
    </row>
    <row r="822" spans="1:17" x14ac:dyDescent="0.25">
      <c r="A822" s="8">
        <v>45889</v>
      </c>
      <c r="B822" s="9" t="s">
        <v>60</v>
      </c>
      <c r="C822" s="9" t="s">
        <v>61</v>
      </c>
      <c r="D822" s="9" t="s">
        <v>62</v>
      </c>
      <c r="E822" s="10">
        <v>2285.2199999999998</v>
      </c>
      <c r="F822" s="10">
        <v>2298.37</v>
      </c>
      <c r="G822" s="10">
        <v>2242.14</v>
      </c>
      <c r="H822" s="10">
        <v>2280.3000000000002</v>
      </c>
      <c r="I822" s="11">
        <v>3919657</v>
      </c>
      <c r="J822" s="10">
        <v>3192420000000</v>
      </c>
      <c r="K822" s="30">
        <f t="shared" si="72"/>
        <v>-0.21529655788062502</v>
      </c>
      <c r="L822" s="31">
        <f t="shared" si="73"/>
        <v>56.230000000000018</v>
      </c>
      <c r="M822" s="30">
        <f t="shared" si="74"/>
        <v>2.4605946035830259E-2</v>
      </c>
      <c r="N822" s="20" t="str">
        <f t="shared" si="77"/>
        <v>High volume</v>
      </c>
      <c r="O822" s="32">
        <f t="shared" si="75"/>
        <v>3192.42</v>
      </c>
      <c r="P822" s="20">
        <f t="shared" si="76"/>
        <v>8</v>
      </c>
      <c r="Q822" s="20" t="str" cm="1">
        <f t="array" ref="Q822">_xlfn.IFS(P822&lt;=3,"Q1",P822&lt;=6,"Q2",P822&lt;=9,"Q3",P822&lt;=12,"Q4")</f>
        <v>Q3</v>
      </c>
    </row>
    <row r="823" spans="1:17" x14ac:dyDescent="0.25">
      <c r="A823" s="14">
        <v>45889</v>
      </c>
      <c r="B823" s="15" t="s">
        <v>65</v>
      </c>
      <c r="C823" s="15" t="s">
        <v>66</v>
      </c>
      <c r="D823" s="15" t="s">
        <v>67</v>
      </c>
      <c r="E823" s="16">
        <v>208.29</v>
      </c>
      <c r="F823" s="16">
        <v>209.88</v>
      </c>
      <c r="G823" s="16">
        <v>208.07</v>
      </c>
      <c r="H823" s="16">
        <v>208.15</v>
      </c>
      <c r="I823" s="17">
        <v>4744423</v>
      </c>
      <c r="J823" s="16">
        <v>52037500000</v>
      </c>
      <c r="K823" s="30">
        <f t="shared" si="72"/>
        <v>-6.72139805079391E-2</v>
      </c>
      <c r="L823" s="31">
        <f t="shared" si="73"/>
        <v>1.8100000000000023</v>
      </c>
      <c r="M823" s="30">
        <f t="shared" si="74"/>
        <v>8.6898074799558415E-3</v>
      </c>
      <c r="N823" s="20" t="str">
        <f t="shared" si="77"/>
        <v>High volume</v>
      </c>
      <c r="O823" s="32">
        <f t="shared" si="75"/>
        <v>52.037500000000001</v>
      </c>
      <c r="P823" s="20">
        <f t="shared" si="76"/>
        <v>8</v>
      </c>
      <c r="Q823" s="20" t="str" cm="1">
        <f t="array" ref="Q823">_xlfn.IFS(P823&lt;=3,"Q1",P823&lt;=6,"Q2",P823&lt;=9,"Q3",P823&lt;=12,"Q4")</f>
        <v>Q3</v>
      </c>
    </row>
    <row r="824" spans="1:17" x14ac:dyDescent="0.25">
      <c r="A824" s="8">
        <v>45889</v>
      </c>
      <c r="B824" s="9" t="s">
        <v>69</v>
      </c>
      <c r="C824" s="9" t="s">
        <v>70</v>
      </c>
      <c r="D824" s="9" t="s">
        <v>71</v>
      </c>
      <c r="E824" s="10">
        <v>663.31</v>
      </c>
      <c r="F824" s="10">
        <v>668.72</v>
      </c>
      <c r="G824" s="10">
        <v>654.29</v>
      </c>
      <c r="H824" s="10">
        <v>659.35</v>
      </c>
      <c r="I824" s="11">
        <v>1119708</v>
      </c>
      <c r="J824" s="10">
        <v>527480000000</v>
      </c>
      <c r="K824" s="30">
        <f t="shared" si="72"/>
        <v>-0.59700592483151516</v>
      </c>
      <c r="L824" s="31">
        <f t="shared" si="73"/>
        <v>14.430000000000064</v>
      </c>
      <c r="M824" s="30">
        <f t="shared" si="74"/>
        <v>2.1754534079088308E-2</v>
      </c>
      <c r="N824" s="20" t="str">
        <f t="shared" si="77"/>
        <v>Normal</v>
      </c>
      <c r="O824" s="32">
        <f t="shared" si="75"/>
        <v>527.48</v>
      </c>
      <c r="P824" s="20">
        <f t="shared" si="76"/>
        <v>8</v>
      </c>
      <c r="Q824" s="20" t="str" cm="1">
        <f t="array" ref="Q824">_xlfn.IFS(P824&lt;=3,"Q1",P824&lt;=6,"Q2",P824&lt;=9,"Q3",P824&lt;=12,"Q4")</f>
        <v>Q3</v>
      </c>
    </row>
    <row r="825" spans="1:17" x14ac:dyDescent="0.25">
      <c r="A825" s="14">
        <v>45889</v>
      </c>
      <c r="B825" s="15" t="s">
        <v>73</v>
      </c>
      <c r="C825" s="15" t="s">
        <v>74</v>
      </c>
      <c r="D825" s="15" t="s">
        <v>75</v>
      </c>
      <c r="E825" s="16">
        <v>83.99</v>
      </c>
      <c r="F825" s="16">
        <v>84.45</v>
      </c>
      <c r="G825" s="16">
        <v>83.76</v>
      </c>
      <c r="H825" s="16">
        <v>84.29</v>
      </c>
      <c r="I825" s="17">
        <v>1003112</v>
      </c>
      <c r="J825" s="16">
        <v>18543800000</v>
      </c>
      <c r="K825" s="30">
        <f t="shared" si="72"/>
        <v>0.35718537921182447</v>
      </c>
      <c r="L825" s="31">
        <f t="shared" si="73"/>
        <v>0.68999999999999773</v>
      </c>
      <c r="M825" s="30">
        <f t="shared" si="74"/>
        <v>8.2152637218716254E-3</v>
      </c>
      <c r="N825" s="20" t="str">
        <f t="shared" si="77"/>
        <v>Normal</v>
      </c>
      <c r="O825" s="32">
        <f t="shared" si="75"/>
        <v>18.543800000000001</v>
      </c>
      <c r="P825" s="20">
        <f t="shared" si="76"/>
        <v>8</v>
      </c>
      <c r="Q825" s="20" t="str" cm="1">
        <f t="array" ref="Q825">_xlfn.IFS(P825&lt;=3,"Q1",P825&lt;=6,"Q2",P825&lt;=9,"Q3",P825&lt;=12,"Q4")</f>
        <v>Q3</v>
      </c>
    </row>
    <row r="826" spans="1:17" x14ac:dyDescent="0.25">
      <c r="A826" s="8">
        <v>45889</v>
      </c>
      <c r="B826" s="9" t="s">
        <v>76</v>
      </c>
      <c r="C826" s="9" t="s">
        <v>77</v>
      </c>
      <c r="D826" s="9" t="s">
        <v>75</v>
      </c>
      <c r="E826" s="10">
        <v>155.25</v>
      </c>
      <c r="F826" s="10">
        <v>157.74</v>
      </c>
      <c r="G826" s="10">
        <v>154.57</v>
      </c>
      <c r="H826" s="10">
        <v>156.82</v>
      </c>
      <c r="I826" s="11">
        <v>359677</v>
      </c>
      <c r="J826" s="10">
        <v>31364000000</v>
      </c>
      <c r="K826" s="30">
        <f t="shared" si="72"/>
        <v>1.0112721417069199</v>
      </c>
      <c r="L826" s="31">
        <f t="shared" si="73"/>
        <v>3.1700000000000159</v>
      </c>
      <c r="M826" s="30">
        <f t="shared" si="74"/>
        <v>2.0418679549114433E-2</v>
      </c>
      <c r="N826" s="20" t="str">
        <f t="shared" si="77"/>
        <v>Normal</v>
      </c>
      <c r="O826" s="32">
        <f t="shared" si="75"/>
        <v>31.364000000000001</v>
      </c>
      <c r="P826" s="20">
        <f t="shared" si="76"/>
        <v>8</v>
      </c>
      <c r="Q826" s="20" t="str" cm="1">
        <f t="array" ref="Q826">_xlfn.IFS(P826&lt;=3,"Q1",P826&lt;=6,"Q2",P826&lt;=9,"Q3",P826&lt;=12,"Q4")</f>
        <v>Q3</v>
      </c>
    </row>
    <row r="827" spans="1:17" x14ac:dyDescent="0.25">
      <c r="A827" s="14">
        <v>45890</v>
      </c>
      <c r="B827" s="15" t="s">
        <v>60</v>
      </c>
      <c r="C827" s="15" t="s">
        <v>61</v>
      </c>
      <c r="D827" s="15" t="s">
        <v>62</v>
      </c>
      <c r="E827" s="16">
        <v>2292.7800000000002</v>
      </c>
      <c r="F827" s="16">
        <v>2300.88</v>
      </c>
      <c r="G827" s="16">
        <v>2288.46</v>
      </c>
      <c r="H827" s="16">
        <v>2288.5500000000002</v>
      </c>
      <c r="I827" s="17">
        <v>2023176</v>
      </c>
      <c r="J827" s="16">
        <v>3203970000000</v>
      </c>
      <c r="K827" s="30">
        <f t="shared" si="72"/>
        <v>-0.18449218852223143</v>
      </c>
      <c r="L827" s="31">
        <f t="shared" si="73"/>
        <v>12.420000000000073</v>
      </c>
      <c r="M827" s="30">
        <f t="shared" si="74"/>
        <v>5.4170046842697828E-3</v>
      </c>
      <c r="N827" s="20" t="str">
        <f t="shared" si="77"/>
        <v>High volume</v>
      </c>
      <c r="O827" s="32">
        <f t="shared" si="75"/>
        <v>3203.97</v>
      </c>
      <c r="P827" s="20">
        <f t="shared" si="76"/>
        <v>8</v>
      </c>
      <c r="Q827" s="20" t="str" cm="1">
        <f t="array" ref="Q827">_xlfn.IFS(P827&lt;=3,"Q1",P827&lt;=6,"Q2",P827&lt;=9,"Q3",P827&lt;=12,"Q4")</f>
        <v>Q3</v>
      </c>
    </row>
    <row r="828" spans="1:17" x14ac:dyDescent="0.25">
      <c r="A828" s="8">
        <v>45890</v>
      </c>
      <c r="B828" s="9" t="s">
        <v>65</v>
      </c>
      <c r="C828" s="9" t="s">
        <v>66</v>
      </c>
      <c r="D828" s="9" t="s">
        <v>67</v>
      </c>
      <c r="E828" s="10">
        <v>207.15</v>
      </c>
      <c r="F828" s="10">
        <v>208.49</v>
      </c>
      <c r="G828" s="10">
        <v>206.53</v>
      </c>
      <c r="H828" s="10">
        <v>207.81</v>
      </c>
      <c r="I828" s="11">
        <v>2427625</v>
      </c>
      <c r="J828" s="10">
        <v>51952500000</v>
      </c>
      <c r="K828" s="30">
        <f t="shared" si="72"/>
        <v>0.31860970311368408</v>
      </c>
      <c r="L828" s="31">
        <f t="shared" si="73"/>
        <v>1.960000000000008</v>
      </c>
      <c r="M828" s="30">
        <f t="shared" si="74"/>
        <v>9.4617426985276754E-3</v>
      </c>
      <c r="N828" s="20" t="str">
        <f t="shared" si="77"/>
        <v>High volume</v>
      </c>
      <c r="O828" s="32">
        <f t="shared" si="75"/>
        <v>51.952500000000001</v>
      </c>
      <c r="P828" s="20">
        <f t="shared" si="76"/>
        <v>8</v>
      </c>
      <c r="Q828" s="20" t="str" cm="1">
        <f t="array" ref="Q828">_xlfn.IFS(P828&lt;=3,"Q1",P828&lt;=6,"Q2",P828&lt;=9,"Q3",P828&lt;=12,"Q4")</f>
        <v>Q3</v>
      </c>
    </row>
    <row r="829" spans="1:17" x14ac:dyDescent="0.25">
      <c r="A829" s="14">
        <v>45890</v>
      </c>
      <c r="B829" s="15" t="s">
        <v>69</v>
      </c>
      <c r="C829" s="15" t="s">
        <v>70</v>
      </c>
      <c r="D829" s="15" t="s">
        <v>71</v>
      </c>
      <c r="E829" s="16">
        <v>663.85</v>
      </c>
      <c r="F829" s="16">
        <v>664.32</v>
      </c>
      <c r="G829" s="16">
        <v>657.28</v>
      </c>
      <c r="H829" s="16">
        <v>661.26</v>
      </c>
      <c r="I829" s="17">
        <v>2611569</v>
      </c>
      <c r="J829" s="16">
        <v>529008000000</v>
      </c>
      <c r="K829" s="30">
        <f t="shared" si="72"/>
        <v>-0.39014837689237503</v>
      </c>
      <c r="L829" s="31">
        <f t="shared" si="73"/>
        <v>7.0400000000000773</v>
      </c>
      <c r="M829" s="30">
        <f t="shared" si="74"/>
        <v>1.0604805302402768E-2</v>
      </c>
      <c r="N829" s="20" t="str">
        <f t="shared" si="77"/>
        <v>High volume</v>
      </c>
      <c r="O829" s="32">
        <f t="shared" si="75"/>
        <v>529.00800000000004</v>
      </c>
      <c r="P829" s="20">
        <f t="shared" si="76"/>
        <v>8</v>
      </c>
      <c r="Q829" s="20" t="str" cm="1">
        <f t="array" ref="Q829">_xlfn.IFS(P829&lt;=3,"Q1",P829&lt;=6,"Q2",P829&lt;=9,"Q3",P829&lt;=12,"Q4")</f>
        <v>Q3</v>
      </c>
    </row>
    <row r="830" spans="1:17" x14ac:dyDescent="0.25">
      <c r="A830" s="8">
        <v>45890</v>
      </c>
      <c r="B830" s="9" t="s">
        <v>73</v>
      </c>
      <c r="C830" s="9" t="s">
        <v>74</v>
      </c>
      <c r="D830" s="9" t="s">
        <v>75</v>
      </c>
      <c r="E830" s="10">
        <v>85.58</v>
      </c>
      <c r="F830" s="10">
        <v>85.62</v>
      </c>
      <c r="G830" s="10">
        <v>85.33</v>
      </c>
      <c r="H830" s="10">
        <v>85.49</v>
      </c>
      <c r="I830" s="11">
        <v>1799208</v>
      </c>
      <c r="J830" s="10">
        <v>18807800000</v>
      </c>
      <c r="K830" s="30">
        <f t="shared" si="72"/>
        <v>-0.1051647581210603</v>
      </c>
      <c r="L830" s="31">
        <f t="shared" si="73"/>
        <v>0.29000000000000625</v>
      </c>
      <c r="M830" s="30">
        <f t="shared" si="74"/>
        <v>3.3886422061229992E-3</v>
      </c>
      <c r="N830" s="20" t="str">
        <f t="shared" si="77"/>
        <v>Normal</v>
      </c>
      <c r="O830" s="32">
        <f t="shared" si="75"/>
        <v>18.8078</v>
      </c>
      <c r="P830" s="20">
        <f t="shared" si="76"/>
        <v>8</v>
      </c>
      <c r="Q830" s="20" t="str" cm="1">
        <f t="array" ref="Q830">_xlfn.IFS(P830&lt;=3,"Q1",P830&lt;=6,"Q2",P830&lt;=9,"Q3",P830&lt;=12,"Q4")</f>
        <v>Q3</v>
      </c>
    </row>
    <row r="831" spans="1:17" x14ac:dyDescent="0.25">
      <c r="A831" s="14">
        <v>45890</v>
      </c>
      <c r="B831" s="15" t="s">
        <v>76</v>
      </c>
      <c r="C831" s="15" t="s">
        <v>77</v>
      </c>
      <c r="D831" s="15" t="s">
        <v>75</v>
      </c>
      <c r="E831" s="16">
        <v>159.71</v>
      </c>
      <c r="F831" s="16">
        <v>160.82</v>
      </c>
      <c r="G831" s="16">
        <v>158.53</v>
      </c>
      <c r="H831" s="16">
        <v>159.11000000000001</v>
      </c>
      <c r="I831" s="17">
        <v>2872392</v>
      </c>
      <c r="J831" s="16">
        <v>31822000000</v>
      </c>
      <c r="K831" s="30">
        <f t="shared" si="72"/>
        <v>-0.37568092167052425</v>
      </c>
      <c r="L831" s="31">
        <f t="shared" si="73"/>
        <v>2.289999999999992</v>
      </c>
      <c r="M831" s="30">
        <f t="shared" si="74"/>
        <v>1.4338488510425094E-2</v>
      </c>
      <c r="N831" s="20" t="str">
        <f t="shared" si="77"/>
        <v>High volume</v>
      </c>
      <c r="O831" s="32">
        <f t="shared" si="75"/>
        <v>31.821999999999999</v>
      </c>
      <c r="P831" s="20">
        <f t="shared" si="76"/>
        <v>8</v>
      </c>
      <c r="Q831" s="20" t="str" cm="1">
        <f t="array" ref="Q831">_xlfn.IFS(P831&lt;=3,"Q1",P831&lt;=6,"Q2",P831&lt;=9,"Q3",P831&lt;=12,"Q4")</f>
        <v>Q3</v>
      </c>
    </row>
    <row r="832" spans="1:17" x14ac:dyDescent="0.25">
      <c r="A832" s="8">
        <v>45891</v>
      </c>
      <c r="B832" s="9" t="s">
        <v>60</v>
      </c>
      <c r="C832" s="9" t="s">
        <v>61</v>
      </c>
      <c r="D832" s="9" t="s">
        <v>62</v>
      </c>
      <c r="E832" s="10">
        <v>2236.6999999999998</v>
      </c>
      <c r="F832" s="10">
        <v>2251.17</v>
      </c>
      <c r="G832" s="10">
        <v>2228.88</v>
      </c>
      <c r="H832" s="10">
        <v>2248.13</v>
      </c>
      <c r="I832" s="11">
        <v>1298963</v>
      </c>
      <c r="J832" s="10">
        <v>3147382000000</v>
      </c>
      <c r="K832" s="30">
        <f t="shared" si="72"/>
        <v>0.51102070013861012</v>
      </c>
      <c r="L832" s="31">
        <f t="shared" si="73"/>
        <v>22.289999999999964</v>
      </c>
      <c r="M832" s="30">
        <f t="shared" si="74"/>
        <v>9.9655742835427046E-3</v>
      </c>
      <c r="N832" s="20" t="str">
        <f t="shared" si="77"/>
        <v>Normal</v>
      </c>
      <c r="O832" s="32">
        <f t="shared" si="75"/>
        <v>3147.3820000000001</v>
      </c>
      <c r="P832" s="20">
        <f t="shared" si="76"/>
        <v>8</v>
      </c>
      <c r="Q832" s="20" t="str" cm="1">
        <f t="array" ref="Q832">_xlfn.IFS(P832&lt;=3,"Q1",P832&lt;=6,"Q2",P832&lt;=9,"Q3",P832&lt;=12,"Q4")</f>
        <v>Q3</v>
      </c>
    </row>
    <row r="833" spans="1:17" x14ac:dyDescent="0.25">
      <c r="A833" s="14">
        <v>45891</v>
      </c>
      <c r="B833" s="15" t="s">
        <v>65</v>
      </c>
      <c r="C833" s="15" t="s">
        <v>66</v>
      </c>
      <c r="D833" s="15" t="s">
        <v>67</v>
      </c>
      <c r="E833" s="16">
        <v>208.87</v>
      </c>
      <c r="F833" s="16">
        <v>208.89</v>
      </c>
      <c r="G833" s="16">
        <v>207.05</v>
      </c>
      <c r="H833" s="16">
        <v>208.34</v>
      </c>
      <c r="I833" s="17">
        <v>1657235</v>
      </c>
      <c r="J833" s="16">
        <v>52085000000</v>
      </c>
      <c r="K833" s="30">
        <f t="shared" si="72"/>
        <v>-0.25374634940393598</v>
      </c>
      <c r="L833" s="31">
        <f t="shared" si="73"/>
        <v>1.839999999999975</v>
      </c>
      <c r="M833" s="30">
        <f t="shared" si="74"/>
        <v>8.8093072245893373E-3</v>
      </c>
      <c r="N833" s="20" t="str">
        <f t="shared" si="77"/>
        <v>Normal</v>
      </c>
      <c r="O833" s="32">
        <f t="shared" si="75"/>
        <v>52.085000000000001</v>
      </c>
      <c r="P833" s="20">
        <f t="shared" si="76"/>
        <v>8</v>
      </c>
      <c r="Q833" s="20" t="str" cm="1">
        <f t="array" ref="Q833">_xlfn.IFS(P833&lt;=3,"Q1",P833&lt;=6,"Q2",P833&lt;=9,"Q3",P833&lt;=12,"Q4")</f>
        <v>Q3</v>
      </c>
    </row>
    <row r="834" spans="1:17" x14ac:dyDescent="0.25">
      <c r="A834" s="8">
        <v>45891</v>
      </c>
      <c r="B834" s="9" t="s">
        <v>69</v>
      </c>
      <c r="C834" s="9" t="s">
        <v>70</v>
      </c>
      <c r="D834" s="9" t="s">
        <v>71</v>
      </c>
      <c r="E834" s="10">
        <v>670.94</v>
      </c>
      <c r="F834" s="10">
        <v>674.71</v>
      </c>
      <c r="G834" s="10">
        <v>668.77</v>
      </c>
      <c r="H834" s="10">
        <v>672.42</v>
      </c>
      <c r="I834" s="11">
        <v>736650</v>
      </c>
      <c r="J834" s="10">
        <v>537936000000</v>
      </c>
      <c r="K834" s="30">
        <f t="shared" si="72"/>
        <v>0.22058604346139812</v>
      </c>
      <c r="L834" s="31">
        <f t="shared" si="73"/>
        <v>5.9400000000000546</v>
      </c>
      <c r="M834" s="30">
        <f t="shared" si="74"/>
        <v>8.8532506632486574E-3</v>
      </c>
      <c r="N834" s="20" t="str">
        <f t="shared" si="77"/>
        <v>Normal</v>
      </c>
      <c r="O834" s="32">
        <f t="shared" si="75"/>
        <v>537.93600000000004</v>
      </c>
      <c r="P834" s="20">
        <f t="shared" si="76"/>
        <v>8</v>
      </c>
      <c r="Q834" s="20" t="str" cm="1">
        <f t="array" ref="Q834">_xlfn.IFS(P834&lt;=3,"Q1",P834&lt;=6,"Q2",P834&lt;=9,"Q3",P834&lt;=12,"Q4")</f>
        <v>Q3</v>
      </c>
    </row>
    <row r="835" spans="1:17" x14ac:dyDescent="0.25">
      <c r="A835" s="14">
        <v>45891</v>
      </c>
      <c r="B835" s="15" t="s">
        <v>73</v>
      </c>
      <c r="C835" s="15" t="s">
        <v>74</v>
      </c>
      <c r="D835" s="15" t="s">
        <v>75</v>
      </c>
      <c r="E835" s="16">
        <v>83.26</v>
      </c>
      <c r="F835" s="16">
        <v>84.18</v>
      </c>
      <c r="G835" s="16">
        <v>81.8</v>
      </c>
      <c r="H835" s="16">
        <v>81.81</v>
      </c>
      <c r="I835" s="17">
        <v>1064106</v>
      </c>
      <c r="J835" s="16">
        <v>17998200000</v>
      </c>
      <c r="K835" s="30">
        <f t="shared" ref="K835:K898" si="78">((H835-E835)/E835)*100</f>
        <v>-1.741532548642809</v>
      </c>
      <c r="L835" s="31">
        <f t="shared" ref="L835:L898" si="79">F835-G835</f>
        <v>2.3800000000000097</v>
      </c>
      <c r="M835" s="30">
        <f t="shared" ref="M835:M898" si="80">L835/E835</f>
        <v>2.8585154936344098E-2</v>
      </c>
      <c r="N835" s="20" t="str">
        <f t="shared" si="77"/>
        <v>Normal</v>
      </c>
      <c r="O835" s="32">
        <f t="shared" ref="O835:O898" si="81">J835/1000000000</f>
        <v>17.998200000000001</v>
      </c>
      <c r="P835" s="20">
        <f t="shared" ref="P835:P898" si="82">MONTH(A835)</f>
        <v>8</v>
      </c>
      <c r="Q835" s="20" t="str" cm="1">
        <f t="array" ref="Q835">_xlfn.IFS(P835&lt;=3,"Q1",P835&lt;=6,"Q2",P835&lt;=9,"Q3",P835&lt;=12,"Q4")</f>
        <v>Q3</v>
      </c>
    </row>
    <row r="836" spans="1:17" x14ac:dyDescent="0.25">
      <c r="A836" s="8">
        <v>45891</v>
      </c>
      <c r="B836" s="9" t="s">
        <v>76</v>
      </c>
      <c r="C836" s="9" t="s">
        <v>77</v>
      </c>
      <c r="D836" s="9" t="s">
        <v>75</v>
      </c>
      <c r="E836" s="10">
        <v>160.34</v>
      </c>
      <c r="F836" s="10">
        <v>161.63999999999999</v>
      </c>
      <c r="G836" s="10">
        <v>159.88999999999999</v>
      </c>
      <c r="H836" s="10">
        <v>160.35</v>
      </c>
      <c r="I836" s="11">
        <v>3410790</v>
      </c>
      <c r="J836" s="10">
        <v>32070000000</v>
      </c>
      <c r="K836" s="30">
        <f t="shared" si="78"/>
        <v>6.2367469128046058E-3</v>
      </c>
      <c r="L836" s="31">
        <f t="shared" si="79"/>
        <v>1.75</v>
      </c>
      <c r="M836" s="30">
        <f t="shared" si="80"/>
        <v>1.0914307097417987E-2</v>
      </c>
      <c r="N836" s="20" t="str">
        <f t="shared" ref="N836:N899" si="83">IF(I836&gt;2000000,"High volume","Normal")</f>
        <v>High volume</v>
      </c>
      <c r="O836" s="32">
        <f t="shared" si="81"/>
        <v>32.07</v>
      </c>
      <c r="P836" s="20">
        <f t="shared" si="82"/>
        <v>8</v>
      </c>
      <c r="Q836" s="20" t="str" cm="1">
        <f t="array" ref="Q836">_xlfn.IFS(P836&lt;=3,"Q1",P836&lt;=6,"Q2",P836&lt;=9,"Q3",P836&lt;=12,"Q4")</f>
        <v>Q3</v>
      </c>
    </row>
    <row r="837" spans="1:17" x14ac:dyDescent="0.25">
      <c r="A837" s="14">
        <v>45894</v>
      </c>
      <c r="B837" s="15" t="s">
        <v>60</v>
      </c>
      <c r="C837" s="15" t="s">
        <v>61</v>
      </c>
      <c r="D837" s="15" t="s">
        <v>62</v>
      </c>
      <c r="E837" s="16">
        <v>2240.0500000000002</v>
      </c>
      <c r="F837" s="16">
        <v>2244.41</v>
      </c>
      <c r="G837" s="16">
        <v>2237.65</v>
      </c>
      <c r="H837" s="16">
        <v>2240.25</v>
      </c>
      <c r="I837" s="17">
        <v>3660852</v>
      </c>
      <c r="J837" s="16">
        <v>3136350000000</v>
      </c>
      <c r="K837" s="30">
        <f t="shared" si="78"/>
        <v>8.928372134542447E-3</v>
      </c>
      <c r="L837" s="31">
        <f t="shared" si="79"/>
        <v>6.7599999999997635</v>
      </c>
      <c r="M837" s="30">
        <f t="shared" si="80"/>
        <v>3.0177897814779864E-3</v>
      </c>
      <c r="N837" s="20" t="str">
        <f t="shared" si="83"/>
        <v>High volume</v>
      </c>
      <c r="O837" s="32">
        <f t="shared" si="81"/>
        <v>3136.35</v>
      </c>
      <c r="P837" s="20">
        <f t="shared" si="82"/>
        <v>8</v>
      </c>
      <c r="Q837" s="20" t="str" cm="1">
        <f t="array" ref="Q837">_xlfn.IFS(P837&lt;=3,"Q1",P837&lt;=6,"Q2",P837&lt;=9,"Q3",P837&lt;=12,"Q4")</f>
        <v>Q3</v>
      </c>
    </row>
    <row r="838" spans="1:17" x14ac:dyDescent="0.25">
      <c r="A838" s="8">
        <v>45894</v>
      </c>
      <c r="B838" s="9" t="s">
        <v>65</v>
      </c>
      <c r="C838" s="9" t="s">
        <v>66</v>
      </c>
      <c r="D838" s="9" t="s">
        <v>67</v>
      </c>
      <c r="E838" s="10">
        <v>205.52</v>
      </c>
      <c r="F838" s="10">
        <v>206.83</v>
      </c>
      <c r="G838" s="10">
        <v>204.99</v>
      </c>
      <c r="H838" s="10">
        <v>206.73</v>
      </c>
      <c r="I838" s="11">
        <v>1770280</v>
      </c>
      <c r="J838" s="10">
        <v>51682500000</v>
      </c>
      <c r="K838" s="30">
        <f t="shared" si="78"/>
        <v>0.58875048657064011</v>
      </c>
      <c r="L838" s="31">
        <f t="shared" si="79"/>
        <v>1.8400000000000034</v>
      </c>
      <c r="M838" s="30">
        <f t="shared" si="80"/>
        <v>8.9528999610743645E-3</v>
      </c>
      <c r="N838" s="20" t="str">
        <f t="shared" si="83"/>
        <v>Normal</v>
      </c>
      <c r="O838" s="32">
        <f t="shared" si="81"/>
        <v>51.682499999999997</v>
      </c>
      <c r="P838" s="20">
        <f t="shared" si="82"/>
        <v>8</v>
      </c>
      <c r="Q838" s="20" t="str" cm="1">
        <f t="array" ref="Q838">_xlfn.IFS(P838&lt;=3,"Q1",P838&lt;=6,"Q2",P838&lt;=9,"Q3",P838&lt;=12,"Q4")</f>
        <v>Q3</v>
      </c>
    </row>
    <row r="839" spans="1:17" x14ac:dyDescent="0.25">
      <c r="A839" s="14">
        <v>45894</v>
      </c>
      <c r="B839" s="15" t="s">
        <v>69</v>
      </c>
      <c r="C839" s="15" t="s">
        <v>70</v>
      </c>
      <c r="D839" s="15" t="s">
        <v>71</v>
      </c>
      <c r="E839" s="16">
        <v>659.34</v>
      </c>
      <c r="F839" s="16">
        <v>662.95</v>
      </c>
      <c r="G839" s="16">
        <v>654.96</v>
      </c>
      <c r="H839" s="16">
        <v>656.57</v>
      </c>
      <c r="I839" s="17">
        <v>4646584</v>
      </c>
      <c r="J839" s="16">
        <v>525256000000</v>
      </c>
      <c r="K839" s="30">
        <f t="shared" si="78"/>
        <v>-0.42011708678375065</v>
      </c>
      <c r="L839" s="31">
        <f t="shared" si="79"/>
        <v>7.9900000000000091</v>
      </c>
      <c r="M839" s="30">
        <f t="shared" si="80"/>
        <v>1.2118178784845465E-2</v>
      </c>
      <c r="N839" s="20" t="str">
        <f t="shared" si="83"/>
        <v>High volume</v>
      </c>
      <c r="O839" s="32">
        <f t="shared" si="81"/>
        <v>525.25599999999997</v>
      </c>
      <c r="P839" s="20">
        <f t="shared" si="82"/>
        <v>8</v>
      </c>
      <c r="Q839" s="20" t="str" cm="1">
        <f t="array" ref="Q839">_xlfn.IFS(P839&lt;=3,"Q1",P839&lt;=6,"Q2",P839&lt;=9,"Q3",P839&lt;=12,"Q4")</f>
        <v>Q3</v>
      </c>
    </row>
    <row r="840" spans="1:17" x14ac:dyDescent="0.25">
      <c r="A840" s="8">
        <v>45894</v>
      </c>
      <c r="B840" s="9" t="s">
        <v>73</v>
      </c>
      <c r="C840" s="9" t="s">
        <v>74</v>
      </c>
      <c r="D840" s="9" t="s">
        <v>75</v>
      </c>
      <c r="E840" s="10">
        <v>81.75</v>
      </c>
      <c r="F840" s="10">
        <v>81.92</v>
      </c>
      <c r="G840" s="10">
        <v>81.11</v>
      </c>
      <c r="H840" s="10">
        <v>81.3</v>
      </c>
      <c r="I840" s="11">
        <v>1721725</v>
      </c>
      <c r="J840" s="10">
        <v>17886000000</v>
      </c>
      <c r="K840" s="30">
        <f t="shared" si="78"/>
        <v>-0.55045871559633375</v>
      </c>
      <c r="L840" s="31">
        <f t="shared" si="79"/>
        <v>0.81000000000000227</v>
      </c>
      <c r="M840" s="30">
        <f t="shared" si="80"/>
        <v>9.9082568807339726E-3</v>
      </c>
      <c r="N840" s="20" t="str">
        <f t="shared" si="83"/>
        <v>Normal</v>
      </c>
      <c r="O840" s="32">
        <f t="shared" si="81"/>
        <v>17.885999999999999</v>
      </c>
      <c r="P840" s="20">
        <f t="shared" si="82"/>
        <v>8</v>
      </c>
      <c r="Q840" s="20" t="str" cm="1">
        <f t="array" ref="Q840">_xlfn.IFS(P840&lt;=3,"Q1",P840&lt;=6,"Q2",P840&lt;=9,"Q3",P840&lt;=12,"Q4")</f>
        <v>Q3</v>
      </c>
    </row>
    <row r="841" spans="1:17" x14ac:dyDescent="0.25">
      <c r="A841" s="14">
        <v>45894</v>
      </c>
      <c r="B841" s="15" t="s">
        <v>76</v>
      </c>
      <c r="C841" s="15" t="s">
        <v>77</v>
      </c>
      <c r="D841" s="15" t="s">
        <v>75</v>
      </c>
      <c r="E841" s="16">
        <v>158.69</v>
      </c>
      <c r="F841" s="16">
        <v>159.24</v>
      </c>
      <c r="G841" s="16">
        <v>157.63</v>
      </c>
      <c r="H841" s="16">
        <v>158.68</v>
      </c>
      <c r="I841" s="17">
        <v>1620742</v>
      </c>
      <c r="J841" s="16">
        <v>31736000000</v>
      </c>
      <c r="K841" s="30">
        <f t="shared" si="78"/>
        <v>-6.3015943033530187E-3</v>
      </c>
      <c r="L841" s="31">
        <f t="shared" si="79"/>
        <v>1.6100000000000136</v>
      </c>
      <c r="M841" s="30">
        <f t="shared" si="80"/>
        <v>1.0145566828407674E-2</v>
      </c>
      <c r="N841" s="20" t="str">
        <f t="shared" si="83"/>
        <v>Normal</v>
      </c>
      <c r="O841" s="32">
        <f t="shared" si="81"/>
        <v>31.736000000000001</v>
      </c>
      <c r="P841" s="20">
        <f t="shared" si="82"/>
        <v>8</v>
      </c>
      <c r="Q841" s="20" t="str" cm="1">
        <f t="array" ref="Q841">_xlfn.IFS(P841&lt;=3,"Q1",P841&lt;=6,"Q2",P841&lt;=9,"Q3",P841&lt;=12,"Q4")</f>
        <v>Q3</v>
      </c>
    </row>
    <row r="842" spans="1:17" x14ac:dyDescent="0.25">
      <c r="A842" s="8">
        <v>45895</v>
      </c>
      <c r="B842" s="9" t="s">
        <v>60</v>
      </c>
      <c r="C842" s="9" t="s">
        <v>61</v>
      </c>
      <c r="D842" s="9" t="s">
        <v>62</v>
      </c>
      <c r="E842" s="10">
        <v>2263.7800000000002</v>
      </c>
      <c r="F842" s="10">
        <v>2271.33</v>
      </c>
      <c r="G842" s="10">
        <v>2242.0300000000002</v>
      </c>
      <c r="H842" s="10">
        <v>2253.91</v>
      </c>
      <c r="I842" s="11">
        <v>1980325</v>
      </c>
      <c r="J842" s="10">
        <v>3155474000000</v>
      </c>
      <c r="K842" s="30">
        <f t="shared" si="78"/>
        <v>-0.43599643074858624</v>
      </c>
      <c r="L842" s="31">
        <f t="shared" si="79"/>
        <v>29.299999999999727</v>
      </c>
      <c r="M842" s="30">
        <f t="shared" si="80"/>
        <v>1.294295382060082E-2</v>
      </c>
      <c r="N842" s="20" t="str">
        <f t="shared" si="83"/>
        <v>Normal</v>
      </c>
      <c r="O842" s="32">
        <f t="shared" si="81"/>
        <v>3155.4740000000002</v>
      </c>
      <c r="P842" s="20">
        <f t="shared" si="82"/>
        <v>8</v>
      </c>
      <c r="Q842" s="20" t="str" cm="1">
        <f t="array" ref="Q842">_xlfn.IFS(P842&lt;=3,"Q1",P842&lt;=6,"Q2",P842&lt;=9,"Q3",P842&lt;=12,"Q4")</f>
        <v>Q3</v>
      </c>
    </row>
    <row r="843" spans="1:17" x14ac:dyDescent="0.25">
      <c r="A843" s="14">
        <v>45895</v>
      </c>
      <c r="B843" s="15" t="s">
        <v>65</v>
      </c>
      <c r="C843" s="15" t="s">
        <v>66</v>
      </c>
      <c r="D843" s="15" t="s">
        <v>67</v>
      </c>
      <c r="E843" s="16">
        <v>209.5</v>
      </c>
      <c r="F843" s="16">
        <v>212.22</v>
      </c>
      <c r="G843" s="16">
        <v>209.2</v>
      </c>
      <c r="H843" s="16">
        <v>209.41</v>
      </c>
      <c r="I843" s="17">
        <v>1056366</v>
      </c>
      <c r="J843" s="16">
        <v>52352500000</v>
      </c>
      <c r="K843" s="30">
        <f t="shared" si="78"/>
        <v>-4.2959427207638859E-2</v>
      </c>
      <c r="L843" s="31">
        <f t="shared" si="79"/>
        <v>3.0200000000000102</v>
      </c>
      <c r="M843" s="30">
        <f t="shared" si="80"/>
        <v>1.4415274463007209E-2</v>
      </c>
      <c r="N843" s="20" t="str">
        <f t="shared" si="83"/>
        <v>Normal</v>
      </c>
      <c r="O843" s="32">
        <f t="shared" si="81"/>
        <v>52.352499999999999</v>
      </c>
      <c r="P843" s="20">
        <f t="shared" si="82"/>
        <v>8</v>
      </c>
      <c r="Q843" s="20" t="str" cm="1">
        <f t="array" ref="Q843">_xlfn.IFS(P843&lt;=3,"Q1",P843&lt;=6,"Q2",P843&lt;=9,"Q3",P843&lt;=12,"Q4")</f>
        <v>Q3</v>
      </c>
    </row>
    <row r="844" spans="1:17" x14ac:dyDescent="0.25">
      <c r="A844" s="8">
        <v>45895</v>
      </c>
      <c r="B844" s="9" t="s">
        <v>69</v>
      </c>
      <c r="C844" s="9" t="s">
        <v>70</v>
      </c>
      <c r="D844" s="9" t="s">
        <v>71</v>
      </c>
      <c r="E844" s="10">
        <v>641.61</v>
      </c>
      <c r="F844" s="10">
        <v>644.14</v>
      </c>
      <c r="G844" s="10">
        <v>635.28</v>
      </c>
      <c r="H844" s="10">
        <v>638.36</v>
      </c>
      <c r="I844" s="11">
        <v>2619515</v>
      </c>
      <c r="J844" s="10">
        <v>510688000000</v>
      </c>
      <c r="K844" s="30">
        <f t="shared" si="78"/>
        <v>-0.50653823974065237</v>
      </c>
      <c r="L844" s="31">
        <f t="shared" si="79"/>
        <v>8.8600000000000136</v>
      </c>
      <c r="M844" s="30">
        <f t="shared" si="80"/>
        <v>1.3809011704929807E-2</v>
      </c>
      <c r="N844" s="20" t="str">
        <f t="shared" si="83"/>
        <v>High volume</v>
      </c>
      <c r="O844" s="32">
        <f t="shared" si="81"/>
        <v>510.68799999999999</v>
      </c>
      <c r="P844" s="20">
        <f t="shared" si="82"/>
        <v>8</v>
      </c>
      <c r="Q844" s="20" t="str" cm="1">
        <f t="array" ref="Q844">_xlfn.IFS(P844&lt;=3,"Q1",P844&lt;=6,"Q2",P844&lt;=9,"Q3",P844&lt;=12,"Q4")</f>
        <v>Q3</v>
      </c>
    </row>
    <row r="845" spans="1:17" x14ac:dyDescent="0.25">
      <c r="A845" s="14">
        <v>45895</v>
      </c>
      <c r="B845" s="15" t="s">
        <v>73</v>
      </c>
      <c r="C845" s="15" t="s">
        <v>74</v>
      </c>
      <c r="D845" s="15" t="s">
        <v>75</v>
      </c>
      <c r="E845" s="16">
        <v>80.73</v>
      </c>
      <c r="F845" s="16">
        <v>80.98</v>
      </c>
      <c r="G845" s="16">
        <v>79.09</v>
      </c>
      <c r="H845" s="16">
        <v>79.95</v>
      </c>
      <c r="I845" s="17">
        <v>3688632</v>
      </c>
      <c r="J845" s="16">
        <v>17589000000</v>
      </c>
      <c r="K845" s="30">
        <f t="shared" si="78"/>
        <v>-0.96618357487922835</v>
      </c>
      <c r="L845" s="31">
        <f t="shared" si="79"/>
        <v>1.8900000000000006</v>
      </c>
      <c r="M845" s="30">
        <f t="shared" si="80"/>
        <v>2.3411371237458199E-2</v>
      </c>
      <c r="N845" s="20" t="str">
        <f t="shared" si="83"/>
        <v>High volume</v>
      </c>
      <c r="O845" s="32">
        <f t="shared" si="81"/>
        <v>17.588999999999999</v>
      </c>
      <c r="P845" s="20">
        <f t="shared" si="82"/>
        <v>8</v>
      </c>
      <c r="Q845" s="20" t="str" cm="1">
        <f t="array" ref="Q845">_xlfn.IFS(P845&lt;=3,"Q1",P845&lt;=6,"Q2",P845&lt;=9,"Q3",P845&lt;=12,"Q4")</f>
        <v>Q3</v>
      </c>
    </row>
    <row r="846" spans="1:17" x14ac:dyDescent="0.25">
      <c r="A846" s="8">
        <v>45895</v>
      </c>
      <c r="B846" s="9" t="s">
        <v>76</v>
      </c>
      <c r="C846" s="9" t="s">
        <v>77</v>
      </c>
      <c r="D846" s="9" t="s">
        <v>75</v>
      </c>
      <c r="E846" s="10">
        <v>157.06</v>
      </c>
      <c r="F846" s="10">
        <v>157.5</v>
      </c>
      <c r="G846" s="10">
        <v>156.56</v>
      </c>
      <c r="H846" s="10">
        <v>156.63</v>
      </c>
      <c r="I846" s="11">
        <v>2768363</v>
      </c>
      <c r="J846" s="10">
        <v>31326000000</v>
      </c>
      <c r="K846" s="30">
        <f t="shared" si="78"/>
        <v>-0.27378072074366916</v>
      </c>
      <c r="L846" s="31">
        <f t="shared" si="79"/>
        <v>0.93999999999999773</v>
      </c>
      <c r="M846" s="30">
        <f t="shared" si="80"/>
        <v>5.9849738953266125E-3</v>
      </c>
      <c r="N846" s="20" t="str">
        <f t="shared" si="83"/>
        <v>High volume</v>
      </c>
      <c r="O846" s="32">
        <f t="shared" si="81"/>
        <v>31.326000000000001</v>
      </c>
      <c r="P846" s="20">
        <f t="shared" si="82"/>
        <v>8</v>
      </c>
      <c r="Q846" s="20" t="str" cm="1">
        <f t="array" ref="Q846">_xlfn.IFS(P846&lt;=3,"Q1",P846&lt;=6,"Q2",P846&lt;=9,"Q3",P846&lt;=12,"Q4")</f>
        <v>Q3</v>
      </c>
    </row>
    <row r="847" spans="1:17" x14ac:dyDescent="0.25">
      <c r="A847" s="14">
        <v>45896</v>
      </c>
      <c r="B847" s="15" t="s">
        <v>60</v>
      </c>
      <c r="C847" s="15" t="s">
        <v>61</v>
      </c>
      <c r="D847" s="15" t="s">
        <v>62</v>
      </c>
      <c r="E847" s="16">
        <v>2263.1999999999998</v>
      </c>
      <c r="F847" s="16">
        <v>2268.04</v>
      </c>
      <c r="G847" s="16">
        <v>2255.5700000000002</v>
      </c>
      <c r="H847" s="16">
        <v>2261.9699999999998</v>
      </c>
      <c r="I847" s="17">
        <v>2461688</v>
      </c>
      <c r="J847" s="16">
        <v>3166758000000</v>
      </c>
      <c r="K847" s="30">
        <f t="shared" si="78"/>
        <v>-5.4347826086957325E-2</v>
      </c>
      <c r="L847" s="31">
        <f t="shared" si="79"/>
        <v>12.4699999999998</v>
      </c>
      <c r="M847" s="30">
        <f t="shared" si="80"/>
        <v>5.5098974902791625E-3</v>
      </c>
      <c r="N847" s="20" t="str">
        <f t="shared" si="83"/>
        <v>High volume</v>
      </c>
      <c r="O847" s="32">
        <f t="shared" si="81"/>
        <v>3166.7579999999998</v>
      </c>
      <c r="P847" s="20">
        <f t="shared" si="82"/>
        <v>8</v>
      </c>
      <c r="Q847" s="20" t="str" cm="1">
        <f t="array" ref="Q847">_xlfn.IFS(P847&lt;=3,"Q1",P847&lt;=6,"Q2",P847&lt;=9,"Q3",P847&lt;=12,"Q4")</f>
        <v>Q3</v>
      </c>
    </row>
    <row r="848" spans="1:17" x14ac:dyDescent="0.25">
      <c r="A848" s="8">
        <v>45896</v>
      </c>
      <c r="B848" s="9" t="s">
        <v>65</v>
      </c>
      <c r="C848" s="9" t="s">
        <v>66</v>
      </c>
      <c r="D848" s="9" t="s">
        <v>67</v>
      </c>
      <c r="E848" s="10">
        <v>213.55</v>
      </c>
      <c r="F848" s="10">
        <v>215.75</v>
      </c>
      <c r="G848" s="10">
        <v>211.21</v>
      </c>
      <c r="H848" s="10">
        <v>215.6</v>
      </c>
      <c r="I848" s="11">
        <v>4356981</v>
      </c>
      <c r="J848" s="10">
        <v>53900000000</v>
      </c>
      <c r="K848" s="30">
        <f t="shared" si="78"/>
        <v>0.95996253804728759</v>
      </c>
      <c r="L848" s="31">
        <f t="shared" si="79"/>
        <v>4.539999999999992</v>
      </c>
      <c r="M848" s="30">
        <f t="shared" si="80"/>
        <v>2.1259658159681536E-2</v>
      </c>
      <c r="N848" s="20" t="str">
        <f t="shared" si="83"/>
        <v>High volume</v>
      </c>
      <c r="O848" s="32">
        <f t="shared" si="81"/>
        <v>53.9</v>
      </c>
      <c r="P848" s="20">
        <f t="shared" si="82"/>
        <v>8</v>
      </c>
      <c r="Q848" s="20" t="str" cm="1">
        <f t="array" ref="Q848">_xlfn.IFS(P848&lt;=3,"Q1",P848&lt;=6,"Q2",P848&lt;=9,"Q3",P848&lt;=12,"Q4")</f>
        <v>Q3</v>
      </c>
    </row>
    <row r="849" spans="1:17" x14ac:dyDescent="0.25">
      <c r="A849" s="14">
        <v>45896</v>
      </c>
      <c r="B849" s="15" t="s">
        <v>69</v>
      </c>
      <c r="C849" s="15" t="s">
        <v>70</v>
      </c>
      <c r="D849" s="15" t="s">
        <v>71</v>
      </c>
      <c r="E849" s="16">
        <v>631.79999999999995</v>
      </c>
      <c r="F849" s="16">
        <v>632.86</v>
      </c>
      <c r="G849" s="16">
        <v>623.36</v>
      </c>
      <c r="H849" s="16">
        <v>632.49</v>
      </c>
      <c r="I849" s="17">
        <v>4149099</v>
      </c>
      <c r="J849" s="16">
        <v>505992000000</v>
      </c>
      <c r="K849" s="30">
        <f t="shared" si="78"/>
        <v>0.10921177587845118</v>
      </c>
      <c r="L849" s="31">
        <f t="shared" si="79"/>
        <v>9.5</v>
      </c>
      <c r="M849" s="30">
        <f t="shared" si="80"/>
        <v>1.5036403925292815E-2</v>
      </c>
      <c r="N849" s="20" t="str">
        <f t="shared" si="83"/>
        <v>High volume</v>
      </c>
      <c r="O849" s="32">
        <f t="shared" si="81"/>
        <v>505.99200000000002</v>
      </c>
      <c r="P849" s="20">
        <f t="shared" si="82"/>
        <v>8</v>
      </c>
      <c r="Q849" s="20" t="str" cm="1">
        <f t="array" ref="Q849">_xlfn.IFS(P849&lt;=3,"Q1",P849&lt;=6,"Q2",P849&lt;=9,"Q3",P849&lt;=12,"Q4")</f>
        <v>Q3</v>
      </c>
    </row>
    <row r="850" spans="1:17" x14ac:dyDescent="0.25">
      <c r="A850" s="8">
        <v>45896</v>
      </c>
      <c r="B850" s="9" t="s">
        <v>73</v>
      </c>
      <c r="C850" s="9" t="s">
        <v>74</v>
      </c>
      <c r="D850" s="9" t="s">
        <v>75</v>
      </c>
      <c r="E850" s="10">
        <v>78.900000000000006</v>
      </c>
      <c r="F850" s="10">
        <v>80.12</v>
      </c>
      <c r="G850" s="10">
        <v>78.430000000000007</v>
      </c>
      <c r="H850" s="10">
        <v>78.87</v>
      </c>
      <c r="I850" s="11">
        <v>3510095</v>
      </c>
      <c r="J850" s="10">
        <v>17351400000</v>
      </c>
      <c r="K850" s="30">
        <f t="shared" si="78"/>
        <v>-3.802281368821437E-2</v>
      </c>
      <c r="L850" s="31">
        <f t="shared" si="79"/>
        <v>1.6899999999999977</v>
      </c>
      <c r="M850" s="30">
        <f t="shared" si="80"/>
        <v>2.1419518377693254E-2</v>
      </c>
      <c r="N850" s="20" t="str">
        <f t="shared" si="83"/>
        <v>High volume</v>
      </c>
      <c r="O850" s="32">
        <f t="shared" si="81"/>
        <v>17.351400000000002</v>
      </c>
      <c r="P850" s="20">
        <f t="shared" si="82"/>
        <v>8</v>
      </c>
      <c r="Q850" s="20" t="str" cm="1">
        <f t="array" ref="Q850">_xlfn.IFS(P850&lt;=3,"Q1",P850&lt;=6,"Q2",P850&lt;=9,"Q3",P850&lt;=12,"Q4")</f>
        <v>Q3</v>
      </c>
    </row>
    <row r="851" spans="1:17" x14ac:dyDescent="0.25">
      <c r="A851" s="14">
        <v>45896</v>
      </c>
      <c r="B851" s="15" t="s">
        <v>76</v>
      </c>
      <c r="C851" s="15" t="s">
        <v>77</v>
      </c>
      <c r="D851" s="15" t="s">
        <v>75</v>
      </c>
      <c r="E851" s="16">
        <v>154.61000000000001</v>
      </c>
      <c r="F851" s="16">
        <v>157.26</v>
      </c>
      <c r="G851" s="16">
        <v>151.65</v>
      </c>
      <c r="H851" s="16">
        <v>155.44999999999999</v>
      </c>
      <c r="I851" s="17">
        <v>2228793</v>
      </c>
      <c r="J851" s="16">
        <v>31090000000</v>
      </c>
      <c r="K851" s="30">
        <f t="shared" si="78"/>
        <v>0.54330250307223005</v>
      </c>
      <c r="L851" s="31">
        <f t="shared" si="79"/>
        <v>5.6099999999999852</v>
      </c>
      <c r="M851" s="30">
        <f t="shared" si="80"/>
        <v>3.6284845740896347E-2</v>
      </c>
      <c r="N851" s="20" t="str">
        <f t="shared" si="83"/>
        <v>High volume</v>
      </c>
      <c r="O851" s="32">
        <f t="shared" si="81"/>
        <v>31.09</v>
      </c>
      <c r="P851" s="20">
        <f t="shared" si="82"/>
        <v>8</v>
      </c>
      <c r="Q851" s="20" t="str" cm="1">
        <f t="array" ref="Q851">_xlfn.IFS(P851&lt;=3,"Q1",P851&lt;=6,"Q2",P851&lt;=9,"Q3",P851&lt;=12,"Q4")</f>
        <v>Q3</v>
      </c>
    </row>
    <row r="852" spans="1:17" x14ac:dyDescent="0.25">
      <c r="A852" s="8">
        <v>45897</v>
      </c>
      <c r="B852" s="9" t="s">
        <v>60</v>
      </c>
      <c r="C852" s="9" t="s">
        <v>61</v>
      </c>
      <c r="D852" s="9" t="s">
        <v>62</v>
      </c>
      <c r="E852" s="10">
        <v>2273.27</v>
      </c>
      <c r="F852" s="10">
        <v>2291.1</v>
      </c>
      <c r="G852" s="10">
        <v>2259.6799999999998</v>
      </c>
      <c r="H852" s="10">
        <v>2281.6999999999998</v>
      </c>
      <c r="I852" s="11">
        <v>2509137</v>
      </c>
      <c r="J852" s="10">
        <v>3194380000000</v>
      </c>
      <c r="K852" s="30">
        <f t="shared" si="78"/>
        <v>0.37083144545081914</v>
      </c>
      <c r="L852" s="31">
        <f t="shared" si="79"/>
        <v>31.420000000000073</v>
      </c>
      <c r="M852" s="30">
        <f t="shared" si="80"/>
        <v>1.3821499425937118E-2</v>
      </c>
      <c r="N852" s="20" t="str">
        <f t="shared" si="83"/>
        <v>High volume</v>
      </c>
      <c r="O852" s="32">
        <f t="shared" si="81"/>
        <v>3194.38</v>
      </c>
      <c r="P852" s="20">
        <f t="shared" si="82"/>
        <v>8</v>
      </c>
      <c r="Q852" s="20" t="str" cm="1">
        <f t="array" ref="Q852">_xlfn.IFS(P852&lt;=3,"Q1",P852&lt;=6,"Q2",P852&lt;=9,"Q3",P852&lt;=12,"Q4")</f>
        <v>Q3</v>
      </c>
    </row>
    <row r="853" spans="1:17" x14ac:dyDescent="0.25">
      <c r="A853" s="14">
        <v>45897</v>
      </c>
      <c r="B853" s="15" t="s">
        <v>65</v>
      </c>
      <c r="C853" s="15" t="s">
        <v>66</v>
      </c>
      <c r="D853" s="15" t="s">
        <v>67</v>
      </c>
      <c r="E853" s="16">
        <v>218.84</v>
      </c>
      <c r="F853" s="16">
        <v>218.85</v>
      </c>
      <c r="G853" s="16">
        <v>218.07</v>
      </c>
      <c r="H853" s="16">
        <v>218.6</v>
      </c>
      <c r="I853" s="17">
        <v>3168844</v>
      </c>
      <c r="J853" s="16">
        <v>54650000000</v>
      </c>
      <c r="K853" s="30">
        <f t="shared" si="78"/>
        <v>-0.10966916468653312</v>
      </c>
      <c r="L853" s="31">
        <f t="shared" si="79"/>
        <v>0.78000000000000114</v>
      </c>
      <c r="M853" s="30">
        <f t="shared" si="80"/>
        <v>3.5642478523121965E-3</v>
      </c>
      <c r="N853" s="20" t="str">
        <f t="shared" si="83"/>
        <v>High volume</v>
      </c>
      <c r="O853" s="32">
        <f t="shared" si="81"/>
        <v>54.65</v>
      </c>
      <c r="P853" s="20">
        <f t="shared" si="82"/>
        <v>8</v>
      </c>
      <c r="Q853" s="20" t="str" cm="1">
        <f t="array" ref="Q853">_xlfn.IFS(P853&lt;=3,"Q1",P853&lt;=6,"Q2",P853&lt;=9,"Q3",P853&lt;=12,"Q4")</f>
        <v>Q3</v>
      </c>
    </row>
    <row r="854" spans="1:17" x14ac:dyDescent="0.25">
      <c r="A854" s="8">
        <v>45897</v>
      </c>
      <c r="B854" s="9" t="s">
        <v>69</v>
      </c>
      <c r="C854" s="9" t="s">
        <v>70</v>
      </c>
      <c r="D854" s="9" t="s">
        <v>71</v>
      </c>
      <c r="E854" s="10">
        <v>652.12</v>
      </c>
      <c r="F854" s="10">
        <v>657.67</v>
      </c>
      <c r="G854" s="10">
        <v>647.29999999999995</v>
      </c>
      <c r="H854" s="10">
        <v>656.57</v>
      </c>
      <c r="I854" s="11">
        <v>2557171</v>
      </c>
      <c r="J854" s="10">
        <v>525256000000</v>
      </c>
      <c r="K854" s="30">
        <f t="shared" si="78"/>
        <v>0.68238974421886245</v>
      </c>
      <c r="L854" s="31">
        <f t="shared" si="79"/>
        <v>10.370000000000005</v>
      </c>
      <c r="M854" s="30">
        <f t="shared" si="80"/>
        <v>1.5901981230448392E-2</v>
      </c>
      <c r="N854" s="20" t="str">
        <f t="shared" si="83"/>
        <v>High volume</v>
      </c>
      <c r="O854" s="32">
        <f t="shared" si="81"/>
        <v>525.25599999999997</v>
      </c>
      <c r="P854" s="20">
        <f t="shared" si="82"/>
        <v>8</v>
      </c>
      <c r="Q854" s="20" t="str" cm="1">
        <f t="array" ref="Q854">_xlfn.IFS(P854&lt;=3,"Q1",P854&lt;=6,"Q2",P854&lt;=9,"Q3",P854&lt;=12,"Q4")</f>
        <v>Q3</v>
      </c>
    </row>
    <row r="855" spans="1:17" x14ac:dyDescent="0.25">
      <c r="A855" s="14">
        <v>45897</v>
      </c>
      <c r="B855" s="15" t="s">
        <v>73</v>
      </c>
      <c r="C855" s="15" t="s">
        <v>74</v>
      </c>
      <c r="D855" s="15" t="s">
        <v>75</v>
      </c>
      <c r="E855" s="16">
        <v>79.05</v>
      </c>
      <c r="F855" s="16">
        <v>79.48</v>
      </c>
      <c r="G855" s="16">
        <v>78.09</v>
      </c>
      <c r="H855" s="16">
        <v>79.38</v>
      </c>
      <c r="I855" s="17">
        <v>1895240</v>
      </c>
      <c r="J855" s="16">
        <v>17463600000</v>
      </c>
      <c r="K855" s="30">
        <f t="shared" si="78"/>
        <v>0.41745730550284421</v>
      </c>
      <c r="L855" s="31">
        <f t="shared" si="79"/>
        <v>1.3900000000000006</v>
      </c>
      <c r="M855" s="30">
        <f t="shared" si="80"/>
        <v>1.758380771663505E-2</v>
      </c>
      <c r="N855" s="20" t="str">
        <f t="shared" si="83"/>
        <v>Normal</v>
      </c>
      <c r="O855" s="32">
        <f t="shared" si="81"/>
        <v>17.4636</v>
      </c>
      <c r="P855" s="20">
        <f t="shared" si="82"/>
        <v>8</v>
      </c>
      <c r="Q855" s="20" t="str" cm="1">
        <f t="array" ref="Q855">_xlfn.IFS(P855&lt;=3,"Q1",P855&lt;=6,"Q2",P855&lt;=9,"Q3",P855&lt;=12,"Q4")</f>
        <v>Q3</v>
      </c>
    </row>
    <row r="856" spans="1:17" x14ac:dyDescent="0.25">
      <c r="A856" s="8">
        <v>45897</v>
      </c>
      <c r="B856" s="9" t="s">
        <v>76</v>
      </c>
      <c r="C856" s="9" t="s">
        <v>77</v>
      </c>
      <c r="D856" s="9" t="s">
        <v>75</v>
      </c>
      <c r="E856" s="10">
        <v>153.91999999999999</v>
      </c>
      <c r="F856" s="10">
        <v>153.93</v>
      </c>
      <c r="G856" s="10">
        <v>153.69</v>
      </c>
      <c r="H856" s="10">
        <v>153.74</v>
      </c>
      <c r="I856" s="11">
        <v>2000929</v>
      </c>
      <c r="J856" s="10">
        <v>30748000000</v>
      </c>
      <c r="K856" s="30">
        <f t="shared" si="78"/>
        <v>-0.11694386694385292</v>
      </c>
      <c r="L856" s="31">
        <f t="shared" si="79"/>
        <v>0.24000000000000909</v>
      </c>
      <c r="M856" s="30">
        <f t="shared" si="80"/>
        <v>1.5592515592516185E-3</v>
      </c>
      <c r="N856" s="20" t="str">
        <f t="shared" si="83"/>
        <v>High volume</v>
      </c>
      <c r="O856" s="32">
        <f t="shared" si="81"/>
        <v>30.748000000000001</v>
      </c>
      <c r="P856" s="20">
        <f t="shared" si="82"/>
        <v>8</v>
      </c>
      <c r="Q856" s="20" t="str" cm="1">
        <f t="array" ref="Q856">_xlfn.IFS(P856&lt;=3,"Q1",P856&lt;=6,"Q2",P856&lt;=9,"Q3",P856&lt;=12,"Q4")</f>
        <v>Q3</v>
      </c>
    </row>
    <row r="857" spans="1:17" x14ac:dyDescent="0.25">
      <c r="A857" s="14">
        <v>45898</v>
      </c>
      <c r="B857" s="15" t="s">
        <v>60</v>
      </c>
      <c r="C857" s="15" t="s">
        <v>61</v>
      </c>
      <c r="D857" s="15" t="s">
        <v>62</v>
      </c>
      <c r="E857" s="16">
        <v>2212.9499999999998</v>
      </c>
      <c r="F857" s="16">
        <v>2230.09</v>
      </c>
      <c r="G857" s="16">
        <v>2183.9499999999998</v>
      </c>
      <c r="H857" s="16">
        <v>2200.38</v>
      </c>
      <c r="I857" s="17">
        <v>1194974</v>
      </c>
      <c r="J857" s="16">
        <v>3080532000000</v>
      </c>
      <c r="K857" s="30">
        <f t="shared" si="78"/>
        <v>-0.56802006371584124</v>
      </c>
      <c r="L857" s="31">
        <f t="shared" si="79"/>
        <v>46.140000000000327</v>
      </c>
      <c r="M857" s="30">
        <f t="shared" si="80"/>
        <v>2.084999661085896E-2</v>
      </c>
      <c r="N857" s="20" t="str">
        <f t="shared" si="83"/>
        <v>Normal</v>
      </c>
      <c r="O857" s="32">
        <f t="shared" si="81"/>
        <v>3080.5320000000002</v>
      </c>
      <c r="P857" s="20">
        <f t="shared" si="82"/>
        <v>8</v>
      </c>
      <c r="Q857" s="20" t="str" cm="1">
        <f t="array" ref="Q857">_xlfn.IFS(P857&lt;=3,"Q1",P857&lt;=6,"Q2",P857&lt;=9,"Q3",P857&lt;=12,"Q4")</f>
        <v>Q3</v>
      </c>
    </row>
    <row r="858" spans="1:17" x14ac:dyDescent="0.25">
      <c r="A858" s="8">
        <v>45898</v>
      </c>
      <c r="B858" s="9" t="s">
        <v>65</v>
      </c>
      <c r="C858" s="9" t="s">
        <v>66</v>
      </c>
      <c r="D858" s="9" t="s">
        <v>67</v>
      </c>
      <c r="E858" s="10">
        <v>219.61</v>
      </c>
      <c r="F858" s="10">
        <v>220.1</v>
      </c>
      <c r="G858" s="10">
        <v>217.64</v>
      </c>
      <c r="H858" s="10">
        <v>217.66</v>
      </c>
      <c r="I858" s="11">
        <v>4842212</v>
      </c>
      <c r="J858" s="10">
        <v>54415000000</v>
      </c>
      <c r="K858" s="30">
        <f t="shared" si="78"/>
        <v>-0.88793770775466363</v>
      </c>
      <c r="L858" s="31">
        <f t="shared" si="79"/>
        <v>2.460000000000008</v>
      </c>
      <c r="M858" s="30">
        <f t="shared" si="80"/>
        <v>1.1201675697828003E-2</v>
      </c>
      <c r="N858" s="20" t="str">
        <f t="shared" si="83"/>
        <v>High volume</v>
      </c>
      <c r="O858" s="32">
        <f t="shared" si="81"/>
        <v>54.414999999999999</v>
      </c>
      <c r="P858" s="20">
        <f t="shared" si="82"/>
        <v>8</v>
      </c>
      <c r="Q858" s="20" t="str" cm="1">
        <f t="array" ref="Q858">_xlfn.IFS(P858&lt;=3,"Q1",P858&lt;=6,"Q2",P858&lt;=9,"Q3",P858&lt;=12,"Q4")</f>
        <v>Q3</v>
      </c>
    </row>
    <row r="859" spans="1:17" x14ac:dyDescent="0.25">
      <c r="A859" s="14">
        <v>45898</v>
      </c>
      <c r="B859" s="15" t="s">
        <v>69</v>
      </c>
      <c r="C859" s="15" t="s">
        <v>70</v>
      </c>
      <c r="D859" s="15" t="s">
        <v>71</v>
      </c>
      <c r="E859" s="16">
        <v>653.54999999999995</v>
      </c>
      <c r="F859" s="16">
        <v>663.35</v>
      </c>
      <c r="G859" s="16">
        <v>650.9</v>
      </c>
      <c r="H859" s="16">
        <v>655.52</v>
      </c>
      <c r="I859" s="17">
        <v>2945908</v>
      </c>
      <c r="J859" s="16">
        <v>524416000000</v>
      </c>
      <c r="K859" s="30">
        <f t="shared" si="78"/>
        <v>0.30143064799939212</v>
      </c>
      <c r="L859" s="31">
        <f t="shared" si="79"/>
        <v>12.450000000000045</v>
      </c>
      <c r="M859" s="30">
        <f t="shared" si="80"/>
        <v>1.9049804911636516E-2</v>
      </c>
      <c r="N859" s="20" t="str">
        <f t="shared" si="83"/>
        <v>High volume</v>
      </c>
      <c r="O859" s="32">
        <f t="shared" si="81"/>
        <v>524.41600000000005</v>
      </c>
      <c r="P859" s="20">
        <f t="shared" si="82"/>
        <v>8</v>
      </c>
      <c r="Q859" s="20" t="str" cm="1">
        <f t="array" ref="Q859">_xlfn.IFS(P859&lt;=3,"Q1",P859&lt;=6,"Q2",P859&lt;=9,"Q3",P859&lt;=12,"Q4")</f>
        <v>Q3</v>
      </c>
    </row>
    <row r="860" spans="1:17" x14ac:dyDescent="0.25">
      <c r="A860" s="8">
        <v>45898</v>
      </c>
      <c r="B860" s="9" t="s">
        <v>73</v>
      </c>
      <c r="C860" s="9" t="s">
        <v>74</v>
      </c>
      <c r="D860" s="9" t="s">
        <v>75</v>
      </c>
      <c r="E860" s="10">
        <v>75.94</v>
      </c>
      <c r="F860" s="10">
        <v>76.02</v>
      </c>
      <c r="G860" s="10">
        <v>74.959999999999994</v>
      </c>
      <c r="H860" s="10">
        <v>75.48</v>
      </c>
      <c r="I860" s="11">
        <v>4587699</v>
      </c>
      <c r="J860" s="10">
        <v>16605600000</v>
      </c>
      <c r="K860" s="30">
        <f t="shared" si="78"/>
        <v>-0.6057413747695467</v>
      </c>
      <c r="L860" s="31">
        <f t="shared" si="79"/>
        <v>1.0600000000000023</v>
      </c>
      <c r="M860" s="30">
        <f t="shared" si="80"/>
        <v>1.3958388201211513E-2</v>
      </c>
      <c r="N860" s="20" t="str">
        <f t="shared" si="83"/>
        <v>High volume</v>
      </c>
      <c r="O860" s="32">
        <f t="shared" si="81"/>
        <v>16.605599999999999</v>
      </c>
      <c r="P860" s="20">
        <f t="shared" si="82"/>
        <v>8</v>
      </c>
      <c r="Q860" s="20" t="str" cm="1">
        <f t="array" ref="Q860">_xlfn.IFS(P860&lt;=3,"Q1",P860&lt;=6,"Q2",P860&lt;=9,"Q3",P860&lt;=12,"Q4")</f>
        <v>Q3</v>
      </c>
    </row>
    <row r="861" spans="1:17" x14ac:dyDescent="0.25">
      <c r="A861" s="14">
        <v>45898</v>
      </c>
      <c r="B861" s="15" t="s">
        <v>76</v>
      </c>
      <c r="C861" s="15" t="s">
        <v>77</v>
      </c>
      <c r="D861" s="15" t="s">
        <v>75</v>
      </c>
      <c r="E861" s="16">
        <v>150.97</v>
      </c>
      <c r="F861" s="16">
        <v>151.13</v>
      </c>
      <c r="G861" s="16">
        <v>150.13</v>
      </c>
      <c r="H861" s="16">
        <v>150.71</v>
      </c>
      <c r="I861" s="17">
        <v>754227</v>
      </c>
      <c r="J861" s="16">
        <v>30142000000</v>
      </c>
      <c r="K861" s="30">
        <f t="shared" si="78"/>
        <v>-0.17221964628733585</v>
      </c>
      <c r="L861" s="31">
        <f t="shared" si="79"/>
        <v>1</v>
      </c>
      <c r="M861" s="30">
        <f t="shared" si="80"/>
        <v>6.6238325495131482E-3</v>
      </c>
      <c r="N861" s="20" t="str">
        <f t="shared" si="83"/>
        <v>Normal</v>
      </c>
      <c r="O861" s="32">
        <f t="shared" si="81"/>
        <v>30.141999999999999</v>
      </c>
      <c r="P861" s="20">
        <f t="shared" si="82"/>
        <v>8</v>
      </c>
      <c r="Q861" s="20" t="str" cm="1">
        <f t="array" ref="Q861">_xlfn.IFS(P861&lt;=3,"Q1",P861&lt;=6,"Q2",P861&lt;=9,"Q3",P861&lt;=12,"Q4")</f>
        <v>Q3</v>
      </c>
    </row>
    <row r="862" spans="1:17" x14ac:dyDescent="0.25">
      <c r="A862" s="8">
        <v>45901</v>
      </c>
      <c r="B862" s="9" t="s">
        <v>60</v>
      </c>
      <c r="C862" s="9" t="s">
        <v>61</v>
      </c>
      <c r="D862" s="9" t="s">
        <v>62</v>
      </c>
      <c r="E862" s="10">
        <v>2166.65</v>
      </c>
      <c r="F862" s="10">
        <v>2169.58</v>
      </c>
      <c r="G862" s="10">
        <v>2162.5100000000002</v>
      </c>
      <c r="H862" s="10">
        <v>2164.9699999999998</v>
      </c>
      <c r="I862" s="11">
        <v>1766331</v>
      </c>
      <c r="J862" s="10">
        <v>3030958000000</v>
      </c>
      <c r="K862" s="30">
        <f t="shared" si="78"/>
        <v>-7.7539057992767224E-2</v>
      </c>
      <c r="L862" s="31">
        <f t="shared" si="79"/>
        <v>7.069999999999709</v>
      </c>
      <c r="M862" s="30">
        <f t="shared" si="80"/>
        <v>3.2631020238615875E-3</v>
      </c>
      <c r="N862" s="20" t="str">
        <f t="shared" si="83"/>
        <v>Normal</v>
      </c>
      <c r="O862" s="32">
        <f t="shared" si="81"/>
        <v>3030.9580000000001</v>
      </c>
      <c r="P862" s="20">
        <f t="shared" si="82"/>
        <v>9</v>
      </c>
      <c r="Q862" s="20" t="str" cm="1">
        <f t="array" ref="Q862">_xlfn.IFS(P862&lt;=3,"Q1",P862&lt;=6,"Q2",P862&lt;=9,"Q3",P862&lt;=12,"Q4")</f>
        <v>Q3</v>
      </c>
    </row>
    <row r="863" spans="1:17" x14ac:dyDescent="0.25">
      <c r="A863" s="14">
        <v>45901</v>
      </c>
      <c r="B863" s="15" t="s">
        <v>65</v>
      </c>
      <c r="C863" s="15" t="s">
        <v>66</v>
      </c>
      <c r="D863" s="15" t="s">
        <v>67</v>
      </c>
      <c r="E863" s="16">
        <v>217.39</v>
      </c>
      <c r="F863" s="16">
        <v>218.24</v>
      </c>
      <c r="G863" s="16">
        <v>217.16</v>
      </c>
      <c r="H863" s="16">
        <v>217.72</v>
      </c>
      <c r="I863" s="17">
        <v>2947874</v>
      </c>
      <c r="J863" s="16">
        <v>54430000000</v>
      </c>
      <c r="K863" s="30">
        <f t="shared" si="78"/>
        <v>0.15180091080547059</v>
      </c>
      <c r="L863" s="31">
        <f t="shared" si="79"/>
        <v>1.0800000000000125</v>
      </c>
      <c r="M863" s="30">
        <f t="shared" si="80"/>
        <v>4.9680298081789072E-3</v>
      </c>
      <c r="N863" s="20" t="str">
        <f t="shared" si="83"/>
        <v>High volume</v>
      </c>
      <c r="O863" s="32">
        <f t="shared" si="81"/>
        <v>54.43</v>
      </c>
      <c r="P863" s="20">
        <f t="shared" si="82"/>
        <v>9</v>
      </c>
      <c r="Q863" s="20" t="str" cm="1">
        <f t="array" ref="Q863">_xlfn.IFS(P863&lt;=3,"Q1",P863&lt;=6,"Q2",P863&lt;=9,"Q3",P863&lt;=12,"Q4")</f>
        <v>Q3</v>
      </c>
    </row>
    <row r="864" spans="1:17" x14ac:dyDescent="0.25">
      <c r="A864" s="8">
        <v>45901</v>
      </c>
      <c r="B864" s="9" t="s">
        <v>69</v>
      </c>
      <c r="C864" s="9" t="s">
        <v>70</v>
      </c>
      <c r="D864" s="9" t="s">
        <v>71</v>
      </c>
      <c r="E864" s="10">
        <v>655.09</v>
      </c>
      <c r="F864" s="10">
        <v>655.84</v>
      </c>
      <c r="G864" s="10">
        <v>653.4</v>
      </c>
      <c r="H864" s="10">
        <v>654.19000000000005</v>
      </c>
      <c r="I864" s="11">
        <v>2478527</v>
      </c>
      <c r="J864" s="10">
        <v>523352000000</v>
      </c>
      <c r="K864" s="30">
        <f t="shared" si="78"/>
        <v>-0.13738570272786599</v>
      </c>
      <c r="L864" s="31">
        <f t="shared" si="79"/>
        <v>2.4400000000000546</v>
      </c>
      <c r="M864" s="30">
        <f t="shared" si="80"/>
        <v>3.7246790517334329E-3</v>
      </c>
      <c r="N864" s="20" t="str">
        <f t="shared" si="83"/>
        <v>High volume</v>
      </c>
      <c r="O864" s="32">
        <f t="shared" si="81"/>
        <v>523.35199999999998</v>
      </c>
      <c r="P864" s="20">
        <f t="shared" si="82"/>
        <v>9</v>
      </c>
      <c r="Q864" s="20" t="str" cm="1">
        <f t="array" ref="Q864">_xlfn.IFS(P864&lt;=3,"Q1",P864&lt;=6,"Q2",P864&lt;=9,"Q3",P864&lt;=12,"Q4")</f>
        <v>Q3</v>
      </c>
    </row>
    <row r="865" spans="1:17" x14ac:dyDescent="0.25">
      <c r="A865" s="14">
        <v>45901</v>
      </c>
      <c r="B865" s="15" t="s">
        <v>73</v>
      </c>
      <c r="C865" s="15" t="s">
        <v>74</v>
      </c>
      <c r="D865" s="15" t="s">
        <v>75</v>
      </c>
      <c r="E865" s="16">
        <v>76.94</v>
      </c>
      <c r="F865" s="16">
        <v>77.12</v>
      </c>
      <c r="G865" s="16">
        <v>76.5</v>
      </c>
      <c r="H865" s="16">
        <v>76.67</v>
      </c>
      <c r="I865" s="17">
        <v>3178101</v>
      </c>
      <c r="J865" s="16">
        <v>16867400000</v>
      </c>
      <c r="K865" s="30">
        <f t="shared" si="78"/>
        <v>-0.35092279698465823</v>
      </c>
      <c r="L865" s="31">
        <f t="shared" si="79"/>
        <v>0.62000000000000455</v>
      </c>
      <c r="M865" s="30">
        <f t="shared" si="80"/>
        <v>8.0582271900182557E-3</v>
      </c>
      <c r="N865" s="20" t="str">
        <f t="shared" si="83"/>
        <v>High volume</v>
      </c>
      <c r="O865" s="32">
        <f t="shared" si="81"/>
        <v>16.8674</v>
      </c>
      <c r="P865" s="20">
        <f t="shared" si="82"/>
        <v>9</v>
      </c>
      <c r="Q865" s="20" t="str" cm="1">
        <f t="array" ref="Q865">_xlfn.IFS(P865&lt;=3,"Q1",P865&lt;=6,"Q2",P865&lt;=9,"Q3",P865&lt;=12,"Q4")</f>
        <v>Q3</v>
      </c>
    </row>
    <row r="866" spans="1:17" x14ac:dyDescent="0.25">
      <c r="A866" s="8">
        <v>45901</v>
      </c>
      <c r="B866" s="9" t="s">
        <v>76</v>
      </c>
      <c r="C866" s="9" t="s">
        <v>77</v>
      </c>
      <c r="D866" s="9" t="s">
        <v>75</v>
      </c>
      <c r="E866" s="10">
        <v>148.97</v>
      </c>
      <c r="F866" s="10">
        <v>150.02000000000001</v>
      </c>
      <c r="G866" s="10">
        <v>148.52000000000001</v>
      </c>
      <c r="H866" s="10">
        <v>149.08000000000001</v>
      </c>
      <c r="I866" s="11">
        <v>3660414</v>
      </c>
      <c r="J866" s="10">
        <v>29816000000</v>
      </c>
      <c r="K866" s="30">
        <f t="shared" si="78"/>
        <v>7.3840370544414072E-2</v>
      </c>
      <c r="L866" s="31">
        <f t="shared" si="79"/>
        <v>1.5</v>
      </c>
      <c r="M866" s="30">
        <f t="shared" si="80"/>
        <v>1.0069141437873397E-2</v>
      </c>
      <c r="N866" s="20" t="str">
        <f t="shared" si="83"/>
        <v>High volume</v>
      </c>
      <c r="O866" s="32">
        <f t="shared" si="81"/>
        <v>29.815999999999999</v>
      </c>
      <c r="P866" s="20">
        <f t="shared" si="82"/>
        <v>9</v>
      </c>
      <c r="Q866" s="20" t="str" cm="1">
        <f t="array" ref="Q866">_xlfn.IFS(P866&lt;=3,"Q1",P866&lt;=6,"Q2",P866&lt;=9,"Q3",P866&lt;=12,"Q4")</f>
        <v>Q3</v>
      </c>
    </row>
    <row r="867" spans="1:17" x14ac:dyDescent="0.25">
      <c r="A867" s="14">
        <v>45902</v>
      </c>
      <c r="B867" s="15" t="s">
        <v>60</v>
      </c>
      <c r="C867" s="15" t="s">
        <v>61</v>
      </c>
      <c r="D867" s="15" t="s">
        <v>62</v>
      </c>
      <c r="E867" s="16">
        <v>2214.3000000000002</v>
      </c>
      <c r="F867" s="16">
        <v>2216.36</v>
      </c>
      <c r="G867" s="16">
        <v>2203.34</v>
      </c>
      <c r="H867" s="16">
        <v>2205.0500000000002</v>
      </c>
      <c r="I867" s="17">
        <v>2217356</v>
      </c>
      <c r="J867" s="16">
        <v>3087070000000</v>
      </c>
      <c r="K867" s="30">
        <f t="shared" si="78"/>
        <v>-0.41773924039199739</v>
      </c>
      <c r="L867" s="31">
        <f t="shared" si="79"/>
        <v>13.019999999999982</v>
      </c>
      <c r="M867" s="30">
        <f t="shared" si="80"/>
        <v>5.8799620647608641E-3</v>
      </c>
      <c r="N867" s="20" t="str">
        <f t="shared" si="83"/>
        <v>High volume</v>
      </c>
      <c r="O867" s="32">
        <f t="shared" si="81"/>
        <v>3087.07</v>
      </c>
      <c r="P867" s="20">
        <f t="shared" si="82"/>
        <v>9</v>
      </c>
      <c r="Q867" s="20" t="str" cm="1">
        <f t="array" ref="Q867">_xlfn.IFS(P867&lt;=3,"Q1",P867&lt;=6,"Q2",P867&lt;=9,"Q3",P867&lt;=12,"Q4")</f>
        <v>Q3</v>
      </c>
    </row>
    <row r="868" spans="1:17" x14ac:dyDescent="0.25">
      <c r="A868" s="8">
        <v>45902</v>
      </c>
      <c r="B868" s="9" t="s">
        <v>65</v>
      </c>
      <c r="C868" s="9" t="s">
        <v>66</v>
      </c>
      <c r="D868" s="9" t="s">
        <v>67</v>
      </c>
      <c r="E868" s="10">
        <v>219.81</v>
      </c>
      <c r="F868" s="10">
        <v>222.39</v>
      </c>
      <c r="G868" s="10">
        <v>219.06</v>
      </c>
      <c r="H868" s="10">
        <v>221.91</v>
      </c>
      <c r="I868" s="11">
        <v>1944697</v>
      </c>
      <c r="J868" s="10">
        <v>55477500000</v>
      </c>
      <c r="K868" s="30">
        <f t="shared" si="78"/>
        <v>0.95537054729083959</v>
      </c>
      <c r="L868" s="31">
        <f t="shared" si="79"/>
        <v>3.3299999999999841</v>
      </c>
      <c r="M868" s="30">
        <f t="shared" si="80"/>
        <v>1.5149447249897566E-2</v>
      </c>
      <c r="N868" s="20" t="str">
        <f t="shared" si="83"/>
        <v>Normal</v>
      </c>
      <c r="O868" s="32">
        <f t="shared" si="81"/>
        <v>55.477499999999999</v>
      </c>
      <c r="P868" s="20">
        <f t="shared" si="82"/>
        <v>9</v>
      </c>
      <c r="Q868" s="20" t="str" cm="1">
        <f t="array" ref="Q868">_xlfn.IFS(P868&lt;=3,"Q1",P868&lt;=6,"Q2",P868&lt;=9,"Q3",P868&lt;=12,"Q4")</f>
        <v>Q3</v>
      </c>
    </row>
    <row r="869" spans="1:17" x14ac:dyDescent="0.25">
      <c r="A869" s="14">
        <v>45902</v>
      </c>
      <c r="B869" s="15" t="s">
        <v>69</v>
      </c>
      <c r="C869" s="15" t="s">
        <v>70</v>
      </c>
      <c r="D869" s="15" t="s">
        <v>71</v>
      </c>
      <c r="E869" s="16">
        <v>642.54</v>
      </c>
      <c r="F869" s="16">
        <v>650.45000000000005</v>
      </c>
      <c r="G869" s="16">
        <v>632.23</v>
      </c>
      <c r="H869" s="16">
        <v>634.95000000000005</v>
      </c>
      <c r="I869" s="17">
        <v>381724</v>
      </c>
      <c r="J869" s="16">
        <v>507960000000</v>
      </c>
      <c r="K869" s="30">
        <f t="shared" si="78"/>
        <v>-1.1812494163787342</v>
      </c>
      <c r="L869" s="31">
        <f t="shared" si="79"/>
        <v>18.220000000000027</v>
      </c>
      <c r="M869" s="30">
        <f t="shared" si="80"/>
        <v>2.835621128645692E-2</v>
      </c>
      <c r="N869" s="20" t="str">
        <f t="shared" si="83"/>
        <v>Normal</v>
      </c>
      <c r="O869" s="32">
        <f t="shared" si="81"/>
        <v>507.96</v>
      </c>
      <c r="P869" s="20">
        <f t="shared" si="82"/>
        <v>9</v>
      </c>
      <c r="Q869" s="20" t="str" cm="1">
        <f t="array" ref="Q869">_xlfn.IFS(P869&lt;=3,"Q1",P869&lt;=6,"Q2",P869&lt;=9,"Q3",P869&lt;=12,"Q4")</f>
        <v>Q3</v>
      </c>
    </row>
    <row r="870" spans="1:17" x14ac:dyDescent="0.25">
      <c r="A870" s="8">
        <v>45902</v>
      </c>
      <c r="B870" s="9" t="s">
        <v>73</v>
      </c>
      <c r="C870" s="9" t="s">
        <v>74</v>
      </c>
      <c r="D870" s="9" t="s">
        <v>75</v>
      </c>
      <c r="E870" s="10">
        <v>77.290000000000006</v>
      </c>
      <c r="F870" s="10">
        <v>77.94</v>
      </c>
      <c r="G870" s="10">
        <v>76.09</v>
      </c>
      <c r="H870" s="10">
        <v>77.05</v>
      </c>
      <c r="I870" s="11">
        <v>2948512</v>
      </c>
      <c r="J870" s="10">
        <v>16951000000</v>
      </c>
      <c r="K870" s="30">
        <f t="shared" si="78"/>
        <v>-0.31051882520378971</v>
      </c>
      <c r="L870" s="31">
        <f t="shared" si="79"/>
        <v>1.8499999999999943</v>
      </c>
      <c r="M870" s="30">
        <f t="shared" si="80"/>
        <v>2.3935826109457811E-2</v>
      </c>
      <c r="N870" s="20" t="str">
        <f t="shared" si="83"/>
        <v>High volume</v>
      </c>
      <c r="O870" s="32">
        <f t="shared" si="81"/>
        <v>16.951000000000001</v>
      </c>
      <c r="P870" s="20">
        <f t="shared" si="82"/>
        <v>9</v>
      </c>
      <c r="Q870" s="20" t="str" cm="1">
        <f t="array" ref="Q870">_xlfn.IFS(P870&lt;=3,"Q1",P870&lt;=6,"Q2",P870&lt;=9,"Q3",P870&lt;=12,"Q4")</f>
        <v>Q3</v>
      </c>
    </row>
    <row r="871" spans="1:17" x14ac:dyDescent="0.25">
      <c r="A871" s="14">
        <v>45902</v>
      </c>
      <c r="B871" s="15" t="s">
        <v>76</v>
      </c>
      <c r="C871" s="15" t="s">
        <v>77</v>
      </c>
      <c r="D871" s="15" t="s">
        <v>75</v>
      </c>
      <c r="E871" s="16">
        <v>148.99</v>
      </c>
      <c r="F871" s="16">
        <v>149.21</v>
      </c>
      <c r="G871" s="16">
        <v>148.01</v>
      </c>
      <c r="H871" s="16">
        <v>148.68</v>
      </c>
      <c r="I871" s="17">
        <v>700214</v>
      </c>
      <c r="J871" s="16">
        <v>29736000000</v>
      </c>
      <c r="K871" s="30">
        <f t="shared" si="78"/>
        <v>-0.20806765554735371</v>
      </c>
      <c r="L871" s="31">
        <f t="shared" si="79"/>
        <v>1.2000000000000171</v>
      </c>
      <c r="M871" s="30">
        <f t="shared" si="80"/>
        <v>8.0542318276395526E-3</v>
      </c>
      <c r="N871" s="20" t="str">
        <f t="shared" si="83"/>
        <v>Normal</v>
      </c>
      <c r="O871" s="32">
        <f t="shared" si="81"/>
        <v>29.736000000000001</v>
      </c>
      <c r="P871" s="20">
        <f t="shared" si="82"/>
        <v>9</v>
      </c>
      <c r="Q871" s="20" t="str" cm="1">
        <f t="array" ref="Q871">_xlfn.IFS(P871&lt;=3,"Q1",P871&lt;=6,"Q2",P871&lt;=9,"Q3",P871&lt;=12,"Q4")</f>
        <v>Q3</v>
      </c>
    </row>
    <row r="872" spans="1:17" x14ac:dyDescent="0.25">
      <c r="A872" s="8">
        <v>45903</v>
      </c>
      <c r="B872" s="9" t="s">
        <v>60</v>
      </c>
      <c r="C872" s="9" t="s">
        <v>61</v>
      </c>
      <c r="D872" s="9" t="s">
        <v>62</v>
      </c>
      <c r="E872" s="10">
        <v>2164.81</v>
      </c>
      <c r="F872" s="10">
        <v>2180.62</v>
      </c>
      <c r="G872" s="10">
        <v>2135.29</v>
      </c>
      <c r="H872" s="10">
        <v>2156.89</v>
      </c>
      <c r="I872" s="11">
        <v>1107838</v>
      </c>
      <c r="J872" s="10">
        <v>3019646000000</v>
      </c>
      <c r="K872" s="30">
        <f t="shared" si="78"/>
        <v>-0.36585196853303859</v>
      </c>
      <c r="L872" s="31">
        <f t="shared" si="79"/>
        <v>45.329999999999927</v>
      </c>
      <c r="M872" s="30">
        <f t="shared" si="80"/>
        <v>2.0939481986871795E-2</v>
      </c>
      <c r="N872" s="20" t="str">
        <f t="shared" si="83"/>
        <v>Normal</v>
      </c>
      <c r="O872" s="32">
        <f t="shared" si="81"/>
        <v>3019.6460000000002</v>
      </c>
      <c r="P872" s="20">
        <f t="shared" si="82"/>
        <v>9</v>
      </c>
      <c r="Q872" s="20" t="str" cm="1">
        <f t="array" ref="Q872">_xlfn.IFS(P872&lt;=3,"Q1",P872&lt;=6,"Q2",P872&lt;=9,"Q3",P872&lt;=12,"Q4")</f>
        <v>Q3</v>
      </c>
    </row>
    <row r="873" spans="1:17" x14ac:dyDescent="0.25">
      <c r="A873" s="14">
        <v>45903</v>
      </c>
      <c r="B873" s="15" t="s">
        <v>65</v>
      </c>
      <c r="C873" s="15" t="s">
        <v>66</v>
      </c>
      <c r="D873" s="15" t="s">
        <v>67</v>
      </c>
      <c r="E873" s="16">
        <v>224.2</v>
      </c>
      <c r="F873" s="16">
        <v>225.74</v>
      </c>
      <c r="G873" s="16">
        <v>223.7</v>
      </c>
      <c r="H873" s="16">
        <v>224.44</v>
      </c>
      <c r="I873" s="17">
        <v>4976577</v>
      </c>
      <c r="J873" s="16">
        <v>56110000000</v>
      </c>
      <c r="K873" s="30">
        <f t="shared" si="78"/>
        <v>0.10704727921499069</v>
      </c>
      <c r="L873" s="31">
        <f t="shared" si="79"/>
        <v>2.0400000000000205</v>
      </c>
      <c r="M873" s="30">
        <f t="shared" si="80"/>
        <v>9.0990187332739541E-3</v>
      </c>
      <c r="N873" s="20" t="str">
        <f t="shared" si="83"/>
        <v>High volume</v>
      </c>
      <c r="O873" s="32">
        <f t="shared" si="81"/>
        <v>56.11</v>
      </c>
      <c r="P873" s="20">
        <f t="shared" si="82"/>
        <v>9</v>
      </c>
      <c r="Q873" s="20" t="str" cm="1">
        <f t="array" ref="Q873">_xlfn.IFS(P873&lt;=3,"Q1",P873&lt;=6,"Q2",P873&lt;=9,"Q3",P873&lt;=12,"Q4")</f>
        <v>Q3</v>
      </c>
    </row>
    <row r="874" spans="1:17" x14ac:dyDescent="0.25">
      <c r="A874" s="8">
        <v>45903</v>
      </c>
      <c r="B874" s="9" t="s">
        <v>69</v>
      </c>
      <c r="C874" s="9" t="s">
        <v>70</v>
      </c>
      <c r="D874" s="9" t="s">
        <v>71</v>
      </c>
      <c r="E874" s="10">
        <v>641.77</v>
      </c>
      <c r="F874" s="10">
        <v>643.41999999999996</v>
      </c>
      <c r="G874" s="10">
        <v>639.17999999999995</v>
      </c>
      <c r="H874" s="10">
        <v>642.86</v>
      </c>
      <c r="I874" s="11">
        <v>1968981</v>
      </c>
      <c r="J874" s="10">
        <v>514288000000</v>
      </c>
      <c r="K874" s="30">
        <f t="shared" si="78"/>
        <v>0.16984277856553467</v>
      </c>
      <c r="L874" s="31">
        <f t="shared" si="79"/>
        <v>4.2400000000000091</v>
      </c>
      <c r="M874" s="30">
        <f t="shared" si="80"/>
        <v>6.606728267136216E-3</v>
      </c>
      <c r="N874" s="20" t="str">
        <f t="shared" si="83"/>
        <v>Normal</v>
      </c>
      <c r="O874" s="32">
        <f t="shared" si="81"/>
        <v>514.28800000000001</v>
      </c>
      <c r="P874" s="20">
        <f t="shared" si="82"/>
        <v>9</v>
      </c>
      <c r="Q874" s="20" t="str" cm="1">
        <f t="array" ref="Q874">_xlfn.IFS(P874&lt;=3,"Q1",P874&lt;=6,"Q2",P874&lt;=9,"Q3",P874&lt;=12,"Q4")</f>
        <v>Q3</v>
      </c>
    </row>
    <row r="875" spans="1:17" x14ac:dyDescent="0.25">
      <c r="A875" s="14">
        <v>45903</v>
      </c>
      <c r="B875" s="15" t="s">
        <v>73</v>
      </c>
      <c r="C875" s="15" t="s">
        <v>74</v>
      </c>
      <c r="D875" s="15" t="s">
        <v>75</v>
      </c>
      <c r="E875" s="16">
        <v>77.14</v>
      </c>
      <c r="F875" s="16">
        <v>77.930000000000007</v>
      </c>
      <c r="G875" s="16">
        <v>76.72</v>
      </c>
      <c r="H875" s="16">
        <v>77.37</v>
      </c>
      <c r="I875" s="17">
        <v>2687471</v>
      </c>
      <c r="J875" s="16">
        <v>17021400000</v>
      </c>
      <c r="K875" s="30">
        <f t="shared" si="78"/>
        <v>0.29815919108115629</v>
      </c>
      <c r="L875" s="31">
        <f t="shared" si="79"/>
        <v>1.210000000000008</v>
      </c>
      <c r="M875" s="30">
        <f t="shared" si="80"/>
        <v>1.5685766139486752E-2</v>
      </c>
      <c r="N875" s="20" t="str">
        <f t="shared" si="83"/>
        <v>High volume</v>
      </c>
      <c r="O875" s="32">
        <f t="shared" si="81"/>
        <v>17.0214</v>
      </c>
      <c r="P875" s="20">
        <f t="shared" si="82"/>
        <v>9</v>
      </c>
      <c r="Q875" s="20" t="str" cm="1">
        <f t="array" ref="Q875">_xlfn.IFS(P875&lt;=3,"Q1",P875&lt;=6,"Q2",P875&lt;=9,"Q3",P875&lt;=12,"Q4")</f>
        <v>Q3</v>
      </c>
    </row>
    <row r="876" spans="1:17" x14ac:dyDescent="0.25">
      <c r="A876" s="8">
        <v>45903</v>
      </c>
      <c r="B876" s="9" t="s">
        <v>76</v>
      </c>
      <c r="C876" s="9" t="s">
        <v>77</v>
      </c>
      <c r="D876" s="9" t="s">
        <v>75</v>
      </c>
      <c r="E876" s="10">
        <v>146.66</v>
      </c>
      <c r="F876" s="10">
        <v>148.05000000000001</v>
      </c>
      <c r="G876" s="10">
        <v>144.75</v>
      </c>
      <c r="H876" s="10">
        <v>147.69</v>
      </c>
      <c r="I876" s="11">
        <v>3496655</v>
      </c>
      <c r="J876" s="10">
        <v>29538000000</v>
      </c>
      <c r="K876" s="30">
        <f t="shared" si="78"/>
        <v>0.702304650211374</v>
      </c>
      <c r="L876" s="31">
        <f t="shared" si="79"/>
        <v>3.3000000000000114</v>
      </c>
      <c r="M876" s="30">
        <f t="shared" si="80"/>
        <v>2.2501022773762522E-2</v>
      </c>
      <c r="N876" s="20" t="str">
        <f t="shared" si="83"/>
        <v>High volume</v>
      </c>
      <c r="O876" s="32">
        <f t="shared" si="81"/>
        <v>29.538</v>
      </c>
      <c r="P876" s="20">
        <f t="shared" si="82"/>
        <v>9</v>
      </c>
      <c r="Q876" s="20" t="str" cm="1">
        <f t="array" ref="Q876">_xlfn.IFS(P876&lt;=3,"Q1",P876&lt;=6,"Q2",P876&lt;=9,"Q3",P876&lt;=12,"Q4")</f>
        <v>Q3</v>
      </c>
    </row>
    <row r="877" spans="1:17" x14ac:dyDescent="0.25">
      <c r="A877" s="14">
        <v>45904</v>
      </c>
      <c r="B877" s="15" t="s">
        <v>60</v>
      </c>
      <c r="C877" s="15" t="s">
        <v>61</v>
      </c>
      <c r="D877" s="15" t="s">
        <v>62</v>
      </c>
      <c r="E877" s="16">
        <v>2161.4699999999998</v>
      </c>
      <c r="F877" s="16">
        <v>2176.06</v>
      </c>
      <c r="G877" s="16">
        <v>2148.83</v>
      </c>
      <c r="H877" s="16">
        <v>2174.88</v>
      </c>
      <c r="I877" s="17">
        <v>1705725</v>
      </c>
      <c r="J877" s="16">
        <v>3044832000000</v>
      </c>
      <c r="K877" s="30">
        <f t="shared" si="78"/>
        <v>0.62041110910631703</v>
      </c>
      <c r="L877" s="31">
        <f t="shared" si="79"/>
        <v>27.230000000000018</v>
      </c>
      <c r="M877" s="30">
        <f t="shared" si="80"/>
        <v>1.2597907905268184E-2</v>
      </c>
      <c r="N877" s="20" t="str">
        <f t="shared" si="83"/>
        <v>Normal</v>
      </c>
      <c r="O877" s="32">
        <f t="shared" si="81"/>
        <v>3044.8319999999999</v>
      </c>
      <c r="P877" s="20">
        <f t="shared" si="82"/>
        <v>9</v>
      </c>
      <c r="Q877" s="20" t="str" cm="1">
        <f t="array" ref="Q877">_xlfn.IFS(P877&lt;=3,"Q1",P877&lt;=6,"Q2",P877&lt;=9,"Q3",P877&lt;=12,"Q4")</f>
        <v>Q3</v>
      </c>
    </row>
    <row r="878" spans="1:17" x14ac:dyDescent="0.25">
      <c r="A878" s="8">
        <v>45904</v>
      </c>
      <c r="B878" s="9" t="s">
        <v>65</v>
      </c>
      <c r="C878" s="9" t="s">
        <v>66</v>
      </c>
      <c r="D878" s="9" t="s">
        <v>67</v>
      </c>
      <c r="E878" s="10">
        <v>219.58</v>
      </c>
      <c r="F878" s="10">
        <v>222.7</v>
      </c>
      <c r="G878" s="10">
        <v>217.45</v>
      </c>
      <c r="H878" s="10">
        <v>219.58</v>
      </c>
      <c r="I878" s="11">
        <v>898477</v>
      </c>
      <c r="J878" s="10">
        <v>54895000000</v>
      </c>
      <c r="K878" s="30">
        <f t="shared" si="78"/>
        <v>0</v>
      </c>
      <c r="L878" s="31">
        <f t="shared" si="79"/>
        <v>5.25</v>
      </c>
      <c r="M878" s="30">
        <f t="shared" si="80"/>
        <v>2.3909281355314692E-2</v>
      </c>
      <c r="N878" s="20" t="str">
        <f t="shared" si="83"/>
        <v>Normal</v>
      </c>
      <c r="O878" s="32">
        <f t="shared" si="81"/>
        <v>54.895000000000003</v>
      </c>
      <c r="P878" s="20">
        <f t="shared" si="82"/>
        <v>9</v>
      </c>
      <c r="Q878" s="20" t="str" cm="1">
        <f t="array" ref="Q878">_xlfn.IFS(P878&lt;=3,"Q1",P878&lt;=6,"Q2",P878&lt;=9,"Q3",P878&lt;=12,"Q4")</f>
        <v>Q3</v>
      </c>
    </row>
    <row r="879" spans="1:17" x14ac:dyDescent="0.25">
      <c r="A879" s="14">
        <v>45904</v>
      </c>
      <c r="B879" s="15" t="s">
        <v>69</v>
      </c>
      <c r="C879" s="15" t="s">
        <v>70</v>
      </c>
      <c r="D879" s="15" t="s">
        <v>71</v>
      </c>
      <c r="E879" s="16">
        <v>649.25</v>
      </c>
      <c r="F879" s="16">
        <v>653.44000000000005</v>
      </c>
      <c r="G879" s="16">
        <v>646.98</v>
      </c>
      <c r="H879" s="16">
        <v>649.01</v>
      </c>
      <c r="I879" s="17">
        <v>2744074</v>
      </c>
      <c r="J879" s="16">
        <v>519208000000</v>
      </c>
      <c r="K879" s="30">
        <f t="shared" si="78"/>
        <v>-3.6965729688103056E-2</v>
      </c>
      <c r="L879" s="31">
        <f t="shared" si="79"/>
        <v>6.4600000000000364</v>
      </c>
      <c r="M879" s="30">
        <f t="shared" si="80"/>
        <v>9.949942241047418E-3</v>
      </c>
      <c r="N879" s="20" t="str">
        <f t="shared" si="83"/>
        <v>High volume</v>
      </c>
      <c r="O879" s="32">
        <f t="shared" si="81"/>
        <v>519.20799999999997</v>
      </c>
      <c r="P879" s="20">
        <f t="shared" si="82"/>
        <v>9</v>
      </c>
      <c r="Q879" s="20" t="str" cm="1">
        <f t="array" ref="Q879">_xlfn.IFS(P879&lt;=3,"Q1",P879&lt;=6,"Q2",P879&lt;=9,"Q3",P879&lt;=12,"Q4")</f>
        <v>Q3</v>
      </c>
    </row>
    <row r="880" spans="1:17" x14ac:dyDescent="0.25">
      <c r="A880" s="8">
        <v>45904</v>
      </c>
      <c r="B880" s="9" t="s">
        <v>73</v>
      </c>
      <c r="C880" s="9" t="s">
        <v>74</v>
      </c>
      <c r="D880" s="9" t="s">
        <v>75</v>
      </c>
      <c r="E880" s="10">
        <v>77</v>
      </c>
      <c r="F880" s="10">
        <v>77.81</v>
      </c>
      <c r="G880" s="10">
        <v>75.98</v>
      </c>
      <c r="H880" s="10">
        <v>77.41</v>
      </c>
      <c r="I880" s="11">
        <v>3346447</v>
      </c>
      <c r="J880" s="10">
        <v>17030200000</v>
      </c>
      <c r="K880" s="30">
        <f t="shared" si="78"/>
        <v>0.53246753246752809</v>
      </c>
      <c r="L880" s="31">
        <f t="shared" si="79"/>
        <v>1.8299999999999983</v>
      </c>
      <c r="M880" s="30">
        <f t="shared" si="80"/>
        <v>2.3766233766233744E-2</v>
      </c>
      <c r="N880" s="20" t="str">
        <f t="shared" si="83"/>
        <v>High volume</v>
      </c>
      <c r="O880" s="32">
        <f t="shared" si="81"/>
        <v>17.030200000000001</v>
      </c>
      <c r="P880" s="20">
        <f t="shared" si="82"/>
        <v>9</v>
      </c>
      <c r="Q880" s="20" t="str" cm="1">
        <f t="array" ref="Q880">_xlfn.IFS(P880&lt;=3,"Q1",P880&lt;=6,"Q2",P880&lt;=9,"Q3",P880&lt;=12,"Q4")</f>
        <v>Q3</v>
      </c>
    </row>
    <row r="881" spans="1:17" x14ac:dyDescent="0.25">
      <c r="A881" s="14">
        <v>45904</v>
      </c>
      <c r="B881" s="15" t="s">
        <v>76</v>
      </c>
      <c r="C881" s="15" t="s">
        <v>77</v>
      </c>
      <c r="D881" s="15" t="s">
        <v>75</v>
      </c>
      <c r="E881" s="16">
        <v>150.55000000000001</v>
      </c>
      <c r="F881" s="16">
        <v>150.57</v>
      </c>
      <c r="G881" s="16">
        <v>149.09</v>
      </c>
      <c r="H881" s="16">
        <v>149.76</v>
      </c>
      <c r="I881" s="17">
        <v>1703566</v>
      </c>
      <c r="J881" s="16">
        <v>29952000000</v>
      </c>
      <c r="K881" s="30">
        <f t="shared" si="78"/>
        <v>-0.52474261042844261</v>
      </c>
      <c r="L881" s="31">
        <f t="shared" si="79"/>
        <v>1.4799999999999898</v>
      </c>
      <c r="M881" s="30">
        <f t="shared" si="80"/>
        <v>9.8306210561274632E-3</v>
      </c>
      <c r="N881" s="20" t="str">
        <f t="shared" si="83"/>
        <v>Normal</v>
      </c>
      <c r="O881" s="32">
        <f t="shared" si="81"/>
        <v>29.952000000000002</v>
      </c>
      <c r="P881" s="20">
        <f t="shared" si="82"/>
        <v>9</v>
      </c>
      <c r="Q881" s="20" t="str" cm="1">
        <f t="array" ref="Q881">_xlfn.IFS(P881&lt;=3,"Q1",P881&lt;=6,"Q2",P881&lt;=9,"Q3",P881&lt;=12,"Q4")</f>
        <v>Q3</v>
      </c>
    </row>
    <row r="882" spans="1:17" x14ac:dyDescent="0.25">
      <c r="A882" s="8">
        <v>45905</v>
      </c>
      <c r="B882" s="9" t="s">
        <v>60</v>
      </c>
      <c r="C882" s="9" t="s">
        <v>61</v>
      </c>
      <c r="D882" s="9" t="s">
        <v>62</v>
      </c>
      <c r="E882" s="10">
        <v>2178.16</v>
      </c>
      <c r="F882" s="10">
        <v>2181.61</v>
      </c>
      <c r="G882" s="10">
        <v>2174.59</v>
      </c>
      <c r="H882" s="10">
        <v>2181.19</v>
      </c>
      <c r="I882" s="11">
        <v>971631</v>
      </c>
      <c r="J882" s="10">
        <v>3053666000000</v>
      </c>
      <c r="K882" s="30">
        <f t="shared" si="78"/>
        <v>0.13910823814596726</v>
      </c>
      <c r="L882" s="31">
        <f t="shared" si="79"/>
        <v>7.0199999999999818</v>
      </c>
      <c r="M882" s="30">
        <f t="shared" si="80"/>
        <v>3.2229037352627826E-3</v>
      </c>
      <c r="N882" s="20" t="str">
        <f t="shared" si="83"/>
        <v>Normal</v>
      </c>
      <c r="O882" s="32">
        <f t="shared" si="81"/>
        <v>3053.6660000000002</v>
      </c>
      <c r="P882" s="20">
        <f t="shared" si="82"/>
        <v>9</v>
      </c>
      <c r="Q882" s="20" t="str" cm="1">
        <f t="array" ref="Q882">_xlfn.IFS(P882&lt;=3,"Q1",P882&lt;=6,"Q2",P882&lt;=9,"Q3",P882&lt;=12,"Q4")</f>
        <v>Q3</v>
      </c>
    </row>
    <row r="883" spans="1:17" x14ac:dyDescent="0.25">
      <c r="A883" s="14">
        <v>45905</v>
      </c>
      <c r="B883" s="15" t="s">
        <v>65</v>
      </c>
      <c r="C883" s="15" t="s">
        <v>66</v>
      </c>
      <c r="D883" s="15" t="s">
        <v>67</v>
      </c>
      <c r="E883" s="16">
        <v>214.82</v>
      </c>
      <c r="F883" s="16">
        <v>215.24</v>
      </c>
      <c r="G883" s="16">
        <v>213.14</v>
      </c>
      <c r="H883" s="16">
        <v>213.34</v>
      </c>
      <c r="I883" s="17">
        <v>4269370</v>
      </c>
      <c r="J883" s="16">
        <v>53335000000</v>
      </c>
      <c r="K883" s="30">
        <f t="shared" si="78"/>
        <v>-0.68894888744064331</v>
      </c>
      <c r="L883" s="31">
        <f t="shared" si="79"/>
        <v>2.1000000000000227</v>
      </c>
      <c r="M883" s="30">
        <f t="shared" si="80"/>
        <v>9.7756261055768675E-3</v>
      </c>
      <c r="N883" s="20" t="str">
        <f t="shared" si="83"/>
        <v>High volume</v>
      </c>
      <c r="O883" s="32">
        <f t="shared" si="81"/>
        <v>53.335000000000001</v>
      </c>
      <c r="P883" s="20">
        <f t="shared" si="82"/>
        <v>9</v>
      </c>
      <c r="Q883" s="20" t="str" cm="1">
        <f t="array" ref="Q883">_xlfn.IFS(P883&lt;=3,"Q1",P883&lt;=6,"Q2",P883&lt;=9,"Q3",P883&lt;=12,"Q4")</f>
        <v>Q3</v>
      </c>
    </row>
    <row r="884" spans="1:17" x14ac:dyDescent="0.25">
      <c r="A884" s="8">
        <v>45905</v>
      </c>
      <c r="B884" s="9" t="s">
        <v>69</v>
      </c>
      <c r="C884" s="9" t="s">
        <v>70</v>
      </c>
      <c r="D884" s="9" t="s">
        <v>71</v>
      </c>
      <c r="E884" s="10">
        <v>646.99</v>
      </c>
      <c r="F884" s="10">
        <v>647.35</v>
      </c>
      <c r="G884" s="10">
        <v>639.96</v>
      </c>
      <c r="H884" s="10">
        <v>640.58000000000004</v>
      </c>
      <c r="I884" s="11">
        <v>2501609</v>
      </c>
      <c r="J884" s="10">
        <v>512464000000</v>
      </c>
      <c r="K884" s="30">
        <f t="shared" si="78"/>
        <v>-0.99074174253079161</v>
      </c>
      <c r="L884" s="31">
        <f t="shared" si="79"/>
        <v>7.3899999999999864</v>
      </c>
      <c r="M884" s="30">
        <f t="shared" si="80"/>
        <v>1.1422123989551594E-2</v>
      </c>
      <c r="N884" s="20" t="str">
        <f t="shared" si="83"/>
        <v>High volume</v>
      </c>
      <c r="O884" s="32">
        <f t="shared" si="81"/>
        <v>512.46400000000006</v>
      </c>
      <c r="P884" s="20">
        <f t="shared" si="82"/>
        <v>9</v>
      </c>
      <c r="Q884" s="20" t="str" cm="1">
        <f t="array" ref="Q884">_xlfn.IFS(P884&lt;=3,"Q1",P884&lt;=6,"Q2",P884&lt;=9,"Q3",P884&lt;=12,"Q4")</f>
        <v>Q3</v>
      </c>
    </row>
    <row r="885" spans="1:17" x14ac:dyDescent="0.25">
      <c r="A885" s="14">
        <v>45905</v>
      </c>
      <c r="B885" s="15" t="s">
        <v>73</v>
      </c>
      <c r="C885" s="15" t="s">
        <v>74</v>
      </c>
      <c r="D885" s="15" t="s">
        <v>75</v>
      </c>
      <c r="E885" s="16">
        <v>78.62</v>
      </c>
      <c r="F885" s="16">
        <v>78.81</v>
      </c>
      <c r="G885" s="16">
        <v>78.44</v>
      </c>
      <c r="H885" s="16">
        <v>78.78</v>
      </c>
      <c r="I885" s="17">
        <v>3570267</v>
      </c>
      <c r="J885" s="16">
        <v>17331600000</v>
      </c>
      <c r="K885" s="30">
        <f t="shared" si="78"/>
        <v>0.20351055711014576</v>
      </c>
      <c r="L885" s="31">
        <f t="shared" si="79"/>
        <v>0.37000000000000455</v>
      </c>
      <c r="M885" s="30">
        <f t="shared" si="80"/>
        <v>4.7061816331722787E-3</v>
      </c>
      <c r="N885" s="20" t="str">
        <f t="shared" si="83"/>
        <v>High volume</v>
      </c>
      <c r="O885" s="32">
        <f t="shared" si="81"/>
        <v>17.331600000000002</v>
      </c>
      <c r="P885" s="20">
        <f t="shared" si="82"/>
        <v>9</v>
      </c>
      <c r="Q885" s="20" t="str" cm="1">
        <f t="array" ref="Q885">_xlfn.IFS(P885&lt;=3,"Q1",P885&lt;=6,"Q2",P885&lt;=9,"Q3",P885&lt;=12,"Q4")</f>
        <v>Q3</v>
      </c>
    </row>
    <row r="886" spans="1:17" x14ac:dyDescent="0.25">
      <c r="A886" s="8">
        <v>45905</v>
      </c>
      <c r="B886" s="9" t="s">
        <v>76</v>
      </c>
      <c r="C886" s="9" t="s">
        <v>77</v>
      </c>
      <c r="D886" s="9" t="s">
        <v>75</v>
      </c>
      <c r="E886" s="10">
        <v>149.16999999999999</v>
      </c>
      <c r="F886" s="10">
        <v>150.01</v>
      </c>
      <c r="G886" s="10">
        <v>148.81</v>
      </c>
      <c r="H886" s="10">
        <v>148.97</v>
      </c>
      <c r="I886" s="11">
        <v>1731163</v>
      </c>
      <c r="J886" s="10">
        <v>29794000000</v>
      </c>
      <c r="K886" s="30">
        <f t="shared" si="78"/>
        <v>-0.13407521619627852</v>
      </c>
      <c r="L886" s="31">
        <f t="shared" si="79"/>
        <v>1.1999999999999886</v>
      </c>
      <c r="M886" s="30">
        <f t="shared" si="80"/>
        <v>8.0445129717770913E-3</v>
      </c>
      <c r="N886" s="20" t="str">
        <f t="shared" si="83"/>
        <v>Normal</v>
      </c>
      <c r="O886" s="32">
        <f t="shared" si="81"/>
        <v>29.794</v>
      </c>
      <c r="P886" s="20">
        <f t="shared" si="82"/>
        <v>9</v>
      </c>
      <c r="Q886" s="20" t="str" cm="1">
        <f t="array" ref="Q886">_xlfn.IFS(P886&lt;=3,"Q1",P886&lt;=6,"Q2",P886&lt;=9,"Q3",P886&lt;=12,"Q4")</f>
        <v>Q3</v>
      </c>
    </row>
    <row r="887" spans="1:17" x14ac:dyDescent="0.25">
      <c r="A887" s="14">
        <v>45908</v>
      </c>
      <c r="B887" s="15" t="s">
        <v>60</v>
      </c>
      <c r="C887" s="15" t="s">
        <v>61</v>
      </c>
      <c r="D887" s="15" t="s">
        <v>62</v>
      </c>
      <c r="E887" s="16">
        <v>2226.4899999999998</v>
      </c>
      <c r="F887" s="16">
        <v>2252.36</v>
      </c>
      <c r="G887" s="16">
        <v>2221.8000000000002</v>
      </c>
      <c r="H887" s="16">
        <v>2248.09</v>
      </c>
      <c r="I887" s="17">
        <v>3027986</v>
      </c>
      <c r="J887" s="16">
        <v>3147326000000</v>
      </c>
      <c r="K887" s="30">
        <f t="shared" si="78"/>
        <v>0.97013685217541368</v>
      </c>
      <c r="L887" s="31">
        <f t="shared" si="79"/>
        <v>30.559999999999945</v>
      </c>
      <c r="M887" s="30">
        <f t="shared" si="80"/>
        <v>1.3725639908555597E-2</v>
      </c>
      <c r="N887" s="20" t="str">
        <f t="shared" si="83"/>
        <v>High volume</v>
      </c>
      <c r="O887" s="32">
        <f t="shared" si="81"/>
        <v>3147.326</v>
      </c>
      <c r="P887" s="20">
        <f t="shared" si="82"/>
        <v>9</v>
      </c>
      <c r="Q887" s="20" t="str" cm="1">
        <f t="array" ref="Q887">_xlfn.IFS(P887&lt;=3,"Q1",P887&lt;=6,"Q2",P887&lt;=9,"Q3",P887&lt;=12,"Q4")</f>
        <v>Q3</v>
      </c>
    </row>
    <row r="888" spans="1:17" x14ac:dyDescent="0.25">
      <c r="A888" s="8">
        <v>45908</v>
      </c>
      <c r="B888" s="9" t="s">
        <v>65</v>
      </c>
      <c r="C888" s="9" t="s">
        <v>66</v>
      </c>
      <c r="D888" s="9" t="s">
        <v>67</v>
      </c>
      <c r="E888" s="10">
        <v>215.74</v>
      </c>
      <c r="F888" s="10">
        <v>217.2</v>
      </c>
      <c r="G888" s="10">
        <v>212.96</v>
      </c>
      <c r="H888" s="10">
        <v>215.29</v>
      </c>
      <c r="I888" s="11">
        <v>1433425</v>
      </c>
      <c r="J888" s="10">
        <v>53822500000</v>
      </c>
      <c r="K888" s="30">
        <f t="shared" si="78"/>
        <v>-0.20858440715677065</v>
      </c>
      <c r="L888" s="31">
        <f t="shared" si="79"/>
        <v>4.2399999999999807</v>
      </c>
      <c r="M888" s="30">
        <f t="shared" si="80"/>
        <v>1.9653286363214891E-2</v>
      </c>
      <c r="N888" s="20" t="str">
        <f t="shared" si="83"/>
        <v>Normal</v>
      </c>
      <c r="O888" s="32">
        <f t="shared" si="81"/>
        <v>53.822499999999998</v>
      </c>
      <c r="P888" s="20">
        <f t="shared" si="82"/>
        <v>9</v>
      </c>
      <c r="Q888" s="20" t="str" cm="1">
        <f t="array" ref="Q888">_xlfn.IFS(P888&lt;=3,"Q1",P888&lt;=6,"Q2",P888&lt;=9,"Q3",P888&lt;=12,"Q4")</f>
        <v>Q3</v>
      </c>
    </row>
    <row r="889" spans="1:17" x14ac:dyDescent="0.25">
      <c r="A889" s="14">
        <v>45908</v>
      </c>
      <c r="B889" s="15" t="s">
        <v>69</v>
      </c>
      <c r="C889" s="15" t="s">
        <v>70</v>
      </c>
      <c r="D889" s="15" t="s">
        <v>71</v>
      </c>
      <c r="E889" s="16">
        <v>624.41999999999996</v>
      </c>
      <c r="F889" s="16">
        <v>632.01</v>
      </c>
      <c r="G889" s="16">
        <v>622.95000000000005</v>
      </c>
      <c r="H889" s="16">
        <v>624.54999999999995</v>
      </c>
      <c r="I889" s="17">
        <v>4129763</v>
      </c>
      <c r="J889" s="16">
        <v>499640000000</v>
      </c>
      <c r="K889" s="30">
        <f t="shared" si="78"/>
        <v>2.0819320329264829E-2</v>
      </c>
      <c r="L889" s="31">
        <f t="shared" si="79"/>
        <v>9.0599999999999454</v>
      </c>
      <c r="M889" s="30">
        <f t="shared" si="80"/>
        <v>1.4509464783318833E-2</v>
      </c>
      <c r="N889" s="20" t="str">
        <f t="shared" si="83"/>
        <v>High volume</v>
      </c>
      <c r="O889" s="32">
        <f t="shared" si="81"/>
        <v>499.64</v>
      </c>
      <c r="P889" s="20">
        <f t="shared" si="82"/>
        <v>9</v>
      </c>
      <c r="Q889" s="20" t="str" cm="1">
        <f t="array" ref="Q889">_xlfn.IFS(P889&lt;=3,"Q1",P889&lt;=6,"Q2",P889&lt;=9,"Q3",P889&lt;=12,"Q4")</f>
        <v>Q3</v>
      </c>
    </row>
    <row r="890" spans="1:17" x14ac:dyDescent="0.25">
      <c r="A890" s="8">
        <v>45908</v>
      </c>
      <c r="B890" s="9" t="s">
        <v>73</v>
      </c>
      <c r="C890" s="9" t="s">
        <v>74</v>
      </c>
      <c r="D890" s="9" t="s">
        <v>75</v>
      </c>
      <c r="E890" s="10">
        <v>77.650000000000006</v>
      </c>
      <c r="F890" s="10">
        <v>78.3</v>
      </c>
      <c r="G890" s="10">
        <v>76.95</v>
      </c>
      <c r="H890" s="10">
        <v>77.81</v>
      </c>
      <c r="I890" s="11">
        <v>2897627</v>
      </c>
      <c r="J890" s="10">
        <v>17118200000</v>
      </c>
      <c r="K890" s="30">
        <f t="shared" si="78"/>
        <v>0.20605280103025958</v>
      </c>
      <c r="L890" s="31">
        <f t="shared" si="79"/>
        <v>1.3499999999999943</v>
      </c>
      <c r="M890" s="30">
        <f t="shared" si="80"/>
        <v>1.7385705086928452E-2</v>
      </c>
      <c r="N890" s="20" t="str">
        <f t="shared" si="83"/>
        <v>High volume</v>
      </c>
      <c r="O890" s="32">
        <f t="shared" si="81"/>
        <v>17.118200000000002</v>
      </c>
      <c r="P890" s="20">
        <f t="shared" si="82"/>
        <v>9</v>
      </c>
      <c r="Q890" s="20" t="str" cm="1">
        <f t="array" ref="Q890">_xlfn.IFS(P890&lt;=3,"Q1",P890&lt;=6,"Q2",P890&lt;=9,"Q3",P890&lt;=12,"Q4")</f>
        <v>Q3</v>
      </c>
    </row>
    <row r="891" spans="1:17" x14ac:dyDescent="0.25">
      <c r="A891" s="14">
        <v>45908</v>
      </c>
      <c r="B891" s="15" t="s">
        <v>76</v>
      </c>
      <c r="C891" s="15" t="s">
        <v>77</v>
      </c>
      <c r="D891" s="15" t="s">
        <v>75</v>
      </c>
      <c r="E891" s="16">
        <v>147.94</v>
      </c>
      <c r="F891" s="16">
        <v>149.08000000000001</v>
      </c>
      <c r="G891" s="16">
        <v>147.21</v>
      </c>
      <c r="H891" s="16">
        <v>147.63</v>
      </c>
      <c r="I891" s="17">
        <v>1051233</v>
      </c>
      <c r="J891" s="16">
        <v>29526000000</v>
      </c>
      <c r="K891" s="30">
        <f t="shared" si="78"/>
        <v>-0.20954440989590528</v>
      </c>
      <c r="L891" s="31">
        <f t="shared" si="79"/>
        <v>1.8700000000000045</v>
      </c>
      <c r="M891" s="30">
        <f t="shared" si="80"/>
        <v>1.2640259564688418E-2</v>
      </c>
      <c r="N891" s="20" t="str">
        <f t="shared" si="83"/>
        <v>Normal</v>
      </c>
      <c r="O891" s="32">
        <f t="shared" si="81"/>
        <v>29.526</v>
      </c>
      <c r="P891" s="20">
        <f t="shared" si="82"/>
        <v>9</v>
      </c>
      <c r="Q891" s="20" t="str" cm="1">
        <f t="array" ref="Q891">_xlfn.IFS(P891&lt;=3,"Q1",P891&lt;=6,"Q2",P891&lt;=9,"Q3",P891&lt;=12,"Q4")</f>
        <v>Q3</v>
      </c>
    </row>
    <row r="892" spans="1:17" x14ac:dyDescent="0.25">
      <c r="A892" s="8">
        <v>45909</v>
      </c>
      <c r="B892" s="9" t="s">
        <v>60</v>
      </c>
      <c r="C892" s="9" t="s">
        <v>61</v>
      </c>
      <c r="D892" s="9" t="s">
        <v>62</v>
      </c>
      <c r="E892" s="10">
        <v>2218.48</v>
      </c>
      <c r="F892" s="10">
        <v>2224.5300000000002</v>
      </c>
      <c r="G892" s="10">
        <v>2217.5500000000002</v>
      </c>
      <c r="H892" s="10">
        <v>2217.5500000000002</v>
      </c>
      <c r="I892" s="11">
        <v>1443371</v>
      </c>
      <c r="J892" s="10">
        <v>3104570000000</v>
      </c>
      <c r="K892" s="30">
        <f t="shared" si="78"/>
        <v>-4.1920594280761433E-2</v>
      </c>
      <c r="L892" s="31">
        <f t="shared" si="79"/>
        <v>6.9800000000000182</v>
      </c>
      <c r="M892" s="30">
        <f t="shared" si="80"/>
        <v>3.1462983664491085E-3</v>
      </c>
      <c r="N892" s="20" t="str">
        <f t="shared" si="83"/>
        <v>Normal</v>
      </c>
      <c r="O892" s="32">
        <f t="shared" si="81"/>
        <v>3104.57</v>
      </c>
      <c r="P892" s="20">
        <f t="shared" si="82"/>
        <v>9</v>
      </c>
      <c r="Q892" s="20" t="str" cm="1">
        <f t="array" ref="Q892">_xlfn.IFS(P892&lt;=3,"Q1",P892&lt;=6,"Q2",P892&lt;=9,"Q3",P892&lt;=12,"Q4")</f>
        <v>Q3</v>
      </c>
    </row>
    <row r="893" spans="1:17" x14ac:dyDescent="0.25">
      <c r="A893" s="14">
        <v>45909</v>
      </c>
      <c r="B893" s="15" t="s">
        <v>65</v>
      </c>
      <c r="C893" s="15" t="s">
        <v>66</v>
      </c>
      <c r="D893" s="15" t="s">
        <v>67</v>
      </c>
      <c r="E893" s="16">
        <v>218.07</v>
      </c>
      <c r="F893" s="16">
        <v>219.16</v>
      </c>
      <c r="G893" s="16">
        <v>216.44</v>
      </c>
      <c r="H893" s="16">
        <v>216.46</v>
      </c>
      <c r="I893" s="17">
        <v>4426621</v>
      </c>
      <c r="J893" s="16">
        <v>54115000000</v>
      </c>
      <c r="K893" s="30">
        <f t="shared" si="78"/>
        <v>-0.7382950428761339</v>
      </c>
      <c r="L893" s="31">
        <f t="shared" si="79"/>
        <v>2.7199999999999989</v>
      </c>
      <c r="M893" s="30">
        <f t="shared" si="80"/>
        <v>1.247305910946026E-2</v>
      </c>
      <c r="N893" s="20" t="str">
        <f t="shared" si="83"/>
        <v>High volume</v>
      </c>
      <c r="O893" s="32">
        <f t="shared" si="81"/>
        <v>54.115000000000002</v>
      </c>
      <c r="P893" s="20">
        <f t="shared" si="82"/>
        <v>9</v>
      </c>
      <c r="Q893" s="20" t="str" cm="1">
        <f t="array" ref="Q893">_xlfn.IFS(P893&lt;=3,"Q1",P893&lt;=6,"Q2",P893&lt;=9,"Q3",P893&lt;=12,"Q4")</f>
        <v>Q3</v>
      </c>
    </row>
    <row r="894" spans="1:17" x14ac:dyDescent="0.25">
      <c r="A894" s="8">
        <v>45909</v>
      </c>
      <c r="B894" s="9" t="s">
        <v>69</v>
      </c>
      <c r="C894" s="9" t="s">
        <v>70</v>
      </c>
      <c r="D894" s="9" t="s">
        <v>71</v>
      </c>
      <c r="E894" s="10">
        <v>634.76</v>
      </c>
      <c r="F894" s="10">
        <v>636.65</v>
      </c>
      <c r="G894" s="10">
        <v>629.38</v>
      </c>
      <c r="H894" s="10">
        <v>631.51</v>
      </c>
      <c r="I894" s="11">
        <v>2239575</v>
      </c>
      <c r="J894" s="10">
        <v>505208000000</v>
      </c>
      <c r="K894" s="30">
        <f t="shared" si="78"/>
        <v>-0.5120045371478984</v>
      </c>
      <c r="L894" s="31">
        <f t="shared" si="79"/>
        <v>7.2699999999999818</v>
      </c>
      <c r="M894" s="30">
        <f t="shared" si="80"/>
        <v>1.14531476463545E-2</v>
      </c>
      <c r="N894" s="20" t="str">
        <f t="shared" si="83"/>
        <v>High volume</v>
      </c>
      <c r="O894" s="32">
        <f t="shared" si="81"/>
        <v>505.20800000000003</v>
      </c>
      <c r="P894" s="20">
        <f t="shared" si="82"/>
        <v>9</v>
      </c>
      <c r="Q894" s="20" t="str" cm="1">
        <f t="array" ref="Q894">_xlfn.IFS(P894&lt;=3,"Q1",P894&lt;=6,"Q2",P894&lt;=9,"Q3",P894&lt;=12,"Q4")</f>
        <v>Q3</v>
      </c>
    </row>
    <row r="895" spans="1:17" x14ac:dyDescent="0.25">
      <c r="A895" s="14">
        <v>45909</v>
      </c>
      <c r="B895" s="15" t="s">
        <v>73</v>
      </c>
      <c r="C895" s="15" t="s">
        <v>74</v>
      </c>
      <c r="D895" s="15" t="s">
        <v>75</v>
      </c>
      <c r="E895" s="16">
        <v>77.900000000000006</v>
      </c>
      <c r="F895" s="16">
        <v>78.13</v>
      </c>
      <c r="G895" s="16">
        <v>77.150000000000006</v>
      </c>
      <c r="H895" s="16">
        <v>77.33</v>
      </c>
      <c r="I895" s="17">
        <v>3966713</v>
      </c>
      <c r="J895" s="16">
        <v>17012600000</v>
      </c>
      <c r="K895" s="30">
        <f t="shared" si="78"/>
        <v>-0.73170731707318015</v>
      </c>
      <c r="L895" s="31">
        <f t="shared" si="79"/>
        <v>0.97999999999998977</v>
      </c>
      <c r="M895" s="30">
        <f t="shared" si="80"/>
        <v>1.2580231065468418E-2</v>
      </c>
      <c r="N895" s="20" t="str">
        <f t="shared" si="83"/>
        <v>High volume</v>
      </c>
      <c r="O895" s="32">
        <f t="shared" si="81"/>
        <v>17.012599999999999</v>
      </c>
      <c r="P895" s="20">
        <f t="shared" si="82"/>
        <v>9</v>
      </c>
      <c r="Q895" s="20" t="str" cm="1">
        <f t="array" ref="Q895">_xlfn.IFS(P895&lt;=3,"Q1",P895&lt;=6,"Q2",P895&lt;=9,"Q3",P895&lt;=12,"Q4")</f>
        <v>Q3</v>
      </c>
    </row>
    <row r="896" spans="1:17" x14ac:dyDescent="0.25">
      <c r="A896" s="8">
        <v>45909</v>
      </c>
      <c r="B896" s="9" t="s">
        <v>76</v>
      </c>
      <c r="C896" s="9" t="s">
        <v>77</v>
      </c>
      <c r="D896" s="9" t="s">
        <v>75</v>
      </c>
      <c r="E896" s="10">
        <v>146.62</v>
      </c>
      <c r="F896" s="10">
        <v>147.05000000000001</v>
      </c>
      <c r="G896" s="10">
        <v>146.53</v>
      </c>
      <c r="H896" s="10">
        <v>146.72999999999999</v>
      </c>
      <c r="I896" s="11">
        <v>2506038</v>
      </c>
      <c r="J896" s="10">
        <v>29346000000</v>
      </c>
      <c r="K896" s="30">
        <f t="shared" si="78"/>
        <v>7.5023871231745476E-2</v>
      </c>
      <c r="L896" s="31">
        <f t="shared" si="79"/>
        <v>0.52000000000001023</v>
      </c>
      <c r="M896" s="30">
        <f t="shared" si="80"/>
        <v>3.5465830036830598E-3</v>
      </c>
      <c r="N896" s="20" t="str">
        <f t="shared" si="83"/>
        <v>High volume</v>
      </c>
      <c r="O896" s="32">
        <f t="shared" si="81"/>
        <v>29.346</v>
      </c>
      <c r="P896" s="20">
        <f t="shared" si="82"/>
        <v>9</v>
      </c>
      <c r="Q896" s="20" t="str" cm="1">
        <f t="array" ref="Q896">_xlfn.IFS(P896&lt;=3,"Q1",P896&lt;=6,"Q2",P896&lt;=9,"Q3",P896&lt;=12,"Q4")</f>
        <v>Q3</v>
      </c>
    </row>
    <row r="897" spans="1:17" x14ac:dyDescent="0.25">
      <c r="A897" s="14">
        <v>45910</v>
      </c>
      <c r="B897" s="15" t="s">
        <v>60</v>
      </c>
      <c r="C897" s="15" t="s">
        <v>61</v>
      </c>
      <c r="D897" s="15" t="s">
        <v>62</v>
      </c>
      <c r="E897" s="16">
        <v>2185.04</v>
      </c>
      <c r="F897" s="16">
        <v>2206.56</v>
      </c>
      <c r="G897" s="16">
        <v>2173.35</v>
      </c>
      <c r="H897" s="16">
        <v>2190.5100000000002</v>
      </c>
      <c r="I897" s="17">
        <v>2580569</v>
      </c>
      <c r="J897" s="16">
        <v>3066714000000</v>
      </c>
      <c r="K897" s="30">
        <f t="shared" si="78"/>
        <v>0.25033866656904469</v>
      </c>
      <c r="L897" s="31">
        <f t="shared" si="79"/>
        <v>33.210000000000036</v>
      </c>
      <c r="M897" s="30">
        <f t="shared" si="80"/>
        <v>1.5198806429172939E-2</v>
      </c>
      <c r="N897" s="20" t="str">
        <f t="shared" si="83"/>
        <v>High volume</v>
      </c>
      <c r="O897" s="32">
        <f t="shared" si="81"/>
        <v>3066.7139999999999</v>
      </c>
      <c r="P897" s="20">
        <f t="shared" si="82"/>
        <v>9</v>
      </c>
      <c r="Q897" s="20" t="str" cm="1">
        <f t="array" ref="Q897">_xlfn.IFS(P897&lt;=3,"Q1",P897&lt;=6,"Q2",P897&lt;=9,"Q3",P897&lt;=12,"Q4")</f>
        <v>Q3</v>
      </c>
    </row>
    <row r="898" spans="1:17" x14ac:dyDescent="0.25">
      <c r="A898" s="8">
        <v>45910</v>
      </c>
      <c r="B898" s="9" t="s">
        <v>65</v>
      </c>
      <c r="C898" s="9" t="s">
        <v>66</v>
      </c>
      <c r="D898" s="9" t="s">
        <v>67</v>
      </c>
      <c r="E898" s="10">
        <v>215.35</v>
      </c>
      <c r="F898" s="10">
        <v>218.12</v>
      </c>
      <c r="G898" s="10">
        <v>214.71</v>
      </c>
      <c r="H898" s="10">
        <v>217.62</v>
      </c>
      <c r="I898" s="11">
        <v>1830142</v>
      </c>
      <c r="J898" s="10">
        <v>54405000000</v>
      </c>
      <c r="K898" s="30">
        <f t="shared" si="78"/>
        <v>1.0540979800325101</v>
      </c>
      <c r="L898" s="31">
        <f t="shared" si="79"/>
        <v>3.4099999999999966</v>
      </c>
      <c r="M898" s="30">
        <f t="shared" si="80"/>
        <v>1.5834687717668897E-2</v>
      </c>
      <c r="N898" s="20" t="str">
        <f t="shared" si="83"/>
        <v>Normal</v>
      </c>
      <c r="O898" s="32">
        <f t="shared" si="81"/>
        <v>54.405000000000001</v>
      </c>
      <c r="P898" s="20">
        <f t="shared" si="82"/>
        <v>9</v>
      </c>
      <c r="Q898" s="20" t="str" cm="1">
        <f t="array" ref="Q898">_xlfn.IFS(P898&lt;=3,"Q1",P898&lt;=6,"Q2",P898&lt;=9,"Q3",P898&lt;=12,"Q4")</f>
        <v>Q3</v>
      </c>
    </row>
    <row r="899" spans="1:17" x14ac:dyDescent="0.25">
      <c r="A899" s="14">
        <v>45910</v>
      </c>
      <c r="B899" s="15" t="s">
        <v>69</v>
      </c>
      <c r="C899" s="15" t="s">
        <v>70</v>
      </c>
      <c r="D899" s="15" t="s">
        <v>71</v>
      </c>
      <c r="E899" s="16">
        <v>622.52</v>
      </c>
      <c r="F899" s="16">
        <v>624.09</v>
      </c>
      <c r="G899" s="16">
        <v>620.70000000000005</v>
      </c>
      <c r="H899" s="16">
        <v>622.24</v>
      </c>
      <c r="I899" s="17">
        <v>4098086</v>
      </c>
      <c r="J899" s="16">
        <v>497792000000</v>
      </c>
      <c r="K899" s="30">
        <f t="shared" ref="K899:K962" si="84">((H899-E899)/E899)*100</f>
        <v>-4.497847458715748E-2</v>
      </c>
      <c r="L899" s="31">
        <f t="shared" ref="L899:L962" si="85">F899-G899</f>
        <v>3.3899999999999864</v>
      </c>
      <c r="M899" s="30">
        <f t="shared" ref="M899:M962" si="86">L899/E899</f>
        <v>5.44560817323136E-3</v>
      </c>
      <c r="N899" s="20" t="str">
        <f t="shared" si="83"/>
        <v>High volume</v>
      </c>
      <c r="O899" s="32">
        <f t="shared" ref="O899:O962" si="87">J899/1000000000</f>
        <v>497.79199999999997</v>
      </c>
      <c r="P899" s="20">
        <f t="shared" ref="P899:P962" si="88">MONTH(A899)</f>
        <v>9</v>
      </c>
      <c r="Q899" s="20" t="str" cm="1">
        <f t="array" ref="Q899">_xlfn.IFS(P899&lt;=3,"Q1",P899&lt;=6,"Q2",P899&lt;=9,"Q3",P899&lt;=12,"Q4")</f>
        <v>Q3</v>
      </c>
    </row>
    <row r="900" spans="1:17" x14ac:dyDescent="0.25">
      <c r="A900" s="8">
        <v>45910</v>
      </c>
      <c r="B900" s="9" t="s">
        <v>73</v>
      </c>
      <c r="C900" s="9" t="s">
        <v>74</v>
      </c>
      <c r="D900" s="9" t="s">
        <v>75</v>
      </c>
      <c r="E900" s="10">
        <v>77.12</v>
      </c>
      <c r="F900" s="10">
        <v>77.97</v>
      </c>
      <c r="G900" s="10">
        <v>77.069999999999993</v>
      </c>
      <c r="H900" s="10">
        <v>77.11</v>
      </c>
      <c r="I900" s="11">
        <v>4787659</v>
      </c>
      <c r="J900" s="10">
        <v>16964200000</v>
      </c>
      <c r="K900" s="30">
        <f t="shared" si="84"/>
        <v>-1.2966804979259745E-2</v>
      </c>
      <c r="L900" s="31">
        <f t="shared" si="85"/>
        <v>0.90000000000000568</v>
      </c>
      <c r="M900" s="30">
        <f t="shared" si="86"/>
        <v>1.1670124481327874E-2</v>
      </c>
      <c r="N900" s="20" t="str">
        <f t="shared" ref="N900:N963" si="89">IF(I900&gt;2000000,"High volume","Normal")</f>
        <v>High volume</v>
      </c>
      <c r="O900" s="32">
        <f t="shared" si="87"/>
        <v>16.964200000000002</v>
      </c>
      <c r="P900" s="20">
        <f t="shared" si="88"/>
        <v>9</v>
      </c>
      <c r="Q900" s="20" t="str" cm="1">
        <f t="array" ref="Q900">_xlfn.IFS(P900&lt;=3,"Q1",P900&lt;=6,"Q2",P900&lt;=9,"Q3",P900&lt;=12,"Q4")</f>
        <v>Q3</v>
      </c>
    </row>
    <row r="901" spans="1:17" x14ac:dyDescent="0.25">
      <c r="A901" s="14">
        <v>45910</v>
      </c>
      <c r="B901" s="15" t="s">
        <v>76</v>
      </c>
      <c r="C901" s="15" t="s">
        <v>77</v>
      </c>
      <c r="D901" s="15" t="s">
        <v>75</v>
      </c>
      <c r="E901" s="16">
        <v>147.16</v>
      </c>
      <c r="F901" s="16">
        <v>150.28</v>
      </c>
      <c r="G901" s="16">
        <v>146.72</v>
      </c>
      <c r="H901" s="16">
        <v>147.72</v>
      </c>
      <c r="I901" s="17">
        <v>1348904</v>
      </c>
      <c r="J901" s="16">
        <v>29544000000</v>
      </c>
      <c r="K901" s="30">
        <f t="shared" si="84"/>
        <v>0.38053818972547043</v>
      </c>
      <c r="L901" s="31">
        <f t="shared" si="85"/>
        <v>3.5600000000000023</v>
      </c>
      <c r="M901" s="30">
        <f t="shared" si="86"/>
        <v>2.4191356346833396E-2</v>
      </c>
      <c r="N901" s="20" t="str">
        <f t="shared" si="89"/>
        <v>Normal</v>
      </c>
      <c r="O901" s="32">
        <f t="shared" si="87"/>
        <v>29.544</v>
      </c>
      <c r="P901" s="20">
        <f t="shared" si="88"/>
        <v>9</v>
      </c>
      <c r="Q901" s="20" t="str" cm="1">
        <f t="array" ref="Q901">_xlfn.IFS(P901&lt;=3,"Q1",P901&lt;=6,"Q2",P901&lt;=9,"Q3",P901&lt;=12,"Q4")</f>
        <v>Q3</v>
      </c>
    </row>
    <row r="902" spans="1:17" x14ac:dyDescent="0.25">
      <c r="A902" s="8">
        <v>45911</v>
      </c>
      <c r="B902" s="9" t="s">
        <v>60</v>
      </c>
      <c r="C902" s="9" t="s">
        <v>61</v>
      </c>
      <c r="D902" s="9" t="s">
        <v>62</v>
      </c>
      <c r="E902" s="10">
        <v>2179.46</v>
      </c>
      <c r="F902" s="10">
        <v>2206.89</v>
      </c>
      <c r="G902" s="10">
        <v>2178.39</v>
      </c>
      <c r="H902" s="10">
        <v>2192.46</v>
      </c>
      <c r="I902" s="11">
        <v>3168172</v>
      </c>
      <c r="J902" s="10">
        <v>3069444000000</v>
      </c>
      <c r="K902" s="30">
        <f t="shared" si="84"/>
        <v>0.5964780266671561</v>
      </c>
      <c r="L902" s="31">
        <f t="shared" si="85"/>
        <v>28.5</v>
      </c>
      <c r="M902" s="30">
        <f t="shared" si="86"/>
        <v>1.3076633661549191E-2</v>
      </c>
      <c r="N902" s="20" t="str">
        <f t="shared" si="89"/>
        <v>High volume</v>
      </c>
      <c r="O902" s="32">
        <f t="shared" si="87"/>
        <v>3069.444</v>
      </c>
      <c r="P902" s="20">
        <f t="shared" si="88"/>
        <v>9</v>
      </c>
      <c r="Q902" s="20" t="str" cm="1">
        <f t="array" ref="Q902">_xlfn.IFS(P902&lt;=3,"Q1",P902&lt;=6,"Q2",P902&lt;=9,"Q3",P902&lt;=12,"Q4")</f>
        <v>Q3</v>
      </c>
    </row>
    <row r="903" spans="1:17" x14ac:dyDescent="0.25">
      <c r="A903" s="14">
        <v>45911</v>
      </c>
      <c r="B903" s="15" t="s">
        <v>65</v>
      </c>
      <c r="C903" s="15" t="s">
        <v>66</v>
      </c>
      <c r="D903" s="15" t="s">
        <v>67</v>
      </c>
      <c r="E903" s="16">
        <v>219.52</v>
      </c>
      <c r="F903" s="16">
        <v>222.22</v>
      </c>
      <c r="G903" s="16">
        <v>218.04</v>
      </c>
      <c r="H903" s="16">
        <v>220.12</v>
      </c>
      <c r="I903" s="17">
        <v>3415504</v>
      </c>
      <c r="J903" s="16">
        <v>55030000000</v>
      </c>
      <c r="K903" s="30">
        <f t="shared" si="84"/>
        <v>0.27332361516034726</v>
      </c>
      <c r="L903" s="31">
        <f t="shared" si="85"/>
        <v>4.1800000000000068</v>
      </c>
      <c r="M903" s="30">
        <f t="shared" si="86"/>
        <v>1.9041545189504402E-2</v>
      </c>
      <c r="N903" s="20" t="str">
        <f t="shared" si="89"/>
        <v>High volume</v>
      </c>
      <c r="O903" s="32">
        <f t="shared" si="87"/>
        <v>55.03</v>
      </c>
      <c r="P903" s="20">
        <f t="shared" si="88"/>
        <v>9</v>
      </c>
      <c r="Q903" s="20" t="str" cm="1">
        <f t="array" ref="Q903">_xlfn.IFS(P903&lt;=3,"Q1",P903&lt;=6,"Q2",P903&lt;=9,"Q3",P903&lt;=12,"Q4")</f>
        <v>Q3</v>
      </c>
    </row>
    <row r="904" spans="1:17" x14ac:dyDescent="0.25">
      <c r="A904" s="8">
        <v>45911</v>
      </c>
      <c r="B904" s="9" t="s">
        <v>69</v>
      </c>
      <c r="C904" s="9" t="s">
        <v>70</v>
      </c>
      <c r="D904" s="9" t="s">
        <v>71</v>
      </c>
      <c r="E904" s="10">
        <v>606.27</v>
      </c>
      <c r="F904" s="10">
        <v>608.21</v>
      </c>
      <c r="G904" s="10">
        <v>601.76</v>
      </c>
      <c r="H904" s="10">
        <v>607.9</v>
      </c>
      <c r="I904" s="11">
        <v>770083</v>
      </c>
      <c r="J904" s="10">
        <v>486320000000</v>
      </c>
      <c r="K904" s="30">
        <f t="shared" si="84"/>
        <v>0.26885710986853967</v>
      </c>
      <c r="L904" s="31">
        <f t="shared" si="85"/>
        <v>6.4500000000000455</v>
      </c>
      <c r="M904" s="30">
        <f t="shared" si="86"/>
        <v>1.063882428620919E-2</v>
      </c>
      <c r="N904" s="20" t="str">
        <f t="shared" si="89"/>
        <v>Normal</v>
      </c>
      <c r="O904" s="32">
        <f t="shared" si="87"/>
        <v>486.32</v>
      </c>
      <c r="P904" s="20">
        <f t="shared" si="88"/>
        <v>9</v>
      </c>
      <c r="Q904" s="20" t="str" cm="1">
        <f t="array" ref="Q904">_xlfn.IFS(P904&lt;=3,"Q1",P904&lt;=6,"Q2",P904&lt;=9,"Q3",P904&lt;=12,"Q4")</f>
        <v>Q3</v>
      </c>
    </row>
    <row r="905" spans="1:17" x14ac:dyDescent="0.25">
      <c r="A905" s="14">
        <v>45911</v>
      </c>
      <c r="B905" s="15" t="s">
        <v>73</v>
      </c>
      <c r="C905" s="15" t="s">
        <v>74</v>
      </c>
      <c r="D905" s="15" t="s">
        <v>75</v>
      </c>
      <c r="E905" s="16">
        <v>79.08</v>
      </c>
      <c r="F905" s="16">
        <v>79.150000000000006</v>
      </c>
      <c r="G905" s="16">
        <v>78.45</v>
      </c>
      <c r="H905" s="16">
        <v>78.83</v>
      </c>
      <c r="I905" s="17">
        <v>1823402</v>
      </c>
      <c r="J905" s="16">
        <v>17342600000</v>
      </c>
      <c r="K905" s="30">
        <f t="shared" si="84"/>
        <v>-0.3161355589276682</v>
      </c>
      <c r="L905" s="31">
        <f t="shared" si="85"/>
        <v>0.70000000000000284</v>
      </c>
      <c r="M905" s="30">
        <f t="shared" si="86"/>
        <v>8.851795649974745E-3</v>
      </c>
      <c r="N905" s="20" t="str">
        <f t="shared" si="89"/>
        <v>Normal</v>
      </c>
      <c r="O905" s="32">
        <f t="shared" si="87"/>
        <v>17.342600000000001</v>
      </c>
      <c r="P905" s="20">
        <f t="shared" si="88"/>
        <v>9</v>
      </c>
      <c r="Q905" s="20" t="str" cm="1">
        <f t="array" ref="Q905">_xlfn.IFS(P905&lt;=3,"Q1",P905&lt;=6,"Q2",P905&lt;=9,"Q3",P905&lt;=12,"Q4")</f>
        <v>Q3</v>
      </c>
    </row>
    <row r="906" spans="1:17" x14ac:dyDescent="0.25">
      <c r="A906" s="8">
        <v>45911</v>
      </c>
      <c r="B906" s="9" t="s">
        <v>76</v>
      </c>
      <c r="C906" s="9" t="s">
        <v>77</v>
      </c>
      <c r="D906" s="9" t="s">
        <v>75</v>
      </c>
      <c r="E906" s="10">
        <v>149.26</v>
      </c>
      <c r="F906" s="10">
        <v>151.4</v>
      </c>
      <c r="G906" s="10">
        <v>148.34</v>
      </c>
      <c r="H906" s="10">
        <v>148.71</v>
      </c>
      <c r="I906" s="11">
        <v>2388447</v>
      </c>
      <c r="J906" s="10">
        <v>29742000000</v>
      </c>
      <c r="K906" s="30">
        <f t="shared" si="84"/>
        <v>-0.36848452364999529</v>
      </c>
      <c r="L906" s="31">
        <f t="shared" si="85"/>
        <v>3.0600000000000023</v>
      </c>
      <c r="M906" s="30">
        <f t="shared" si="86"/>
        <v>2.0501138952164027E-2</v>
      </c>
      <c r="N906" s="20" t="str">
        <f t="shared" si="89"/>
        <v>High volume</v>
      </c>
      <c r="O906" s="32">
        <f t="shared" si="87"/>
        <v>29.742000000000001</v>
      </c>
      <c r="P906" s="20">
        <f t="shared" si="88"/>
        <v>9</v>
      </c>
      <c r="Q906" s="20" t="str" cm="1">
        <f t="array" ref="Q906">_xlfn.IFS(P906&lt;=3,"Q1",P906&lt;=6,"Q2",P906&lt;=9,"Q3",P906&lt;=12,"Q4")</f>
        <v>Q3</v>
      </c>
    </row>
    <row r="907" spans="1:17" x14ac:dyDescent="0.25">
      <c r="A907" s="14">
        <v>45912</v>
      </c>
      <c r="B907" s="15" t="s">
        <v>60</v>
      </c>
      <c r="C907" s="15" t="s">
        <v>61</v>
      </c>
      <c r="D907" s="15" t="s">
        <v>62</v>
      </c>
      <c r="E907" s="16">
        <v>2136.6</v>
      </c>
      <c r="F907" s="16">
        <v>2171.38</v>
      </c>
      <c r="G907" s="16">
        <v>2105.86</v>
      </c>
      <c r="H907" s="16">
        <v>2122.0500000000002</v>
      </c>
      <c r="I907" s="17">
        <v>581104</v>
      </c>
      <c r="J907" s="16">
        <v>2970870000000</v>
      </c>
      <c r="K907" s="30">
        <f t="shared" si="84"/>
        <v>-0.68098848638021747</v>
      </c>
      <c r="L907" s="31">
        <f t="shared" si="85"/>
        <v>65.519999999999982</v>
      </c>
      <c r="M907" s="30">
        <f t="shared" si="86"/>
        <v>3.0665543386689125E-2</v>
      </c>
      <c r="N907" s="20" t="str">
        <f t="shared" si="89"/>
        <v>Normal</v>
      </c>
      <c r="O907" s="32">
        <f t="shared" si="87"/>
        <v>2970.87</v>
      </c>
      <c r="P907" s="20">
        <f t="shared" si="88"/>
        <v>9</v>
      </c>
      <c r="Q907" s="20" t="str" cm="1">
        <f t="array" ref="Q907">_xlfn.IFS(P907&lt;=3,"Q1",P907&lt;=6,"Q2",P907&lt;=9,"Q3",P907&lt;=12,"Q4")</f>
        <v>Q3</v>
      </c>
    </row>
    <row r="908" spans="1:17" x14ac:dyDescent="0.25">
      <c r="A908" s="8">
        <v>45912</v>
      </c>
      <c r="B908" s="9" t="s">
        <v>65</v>
      </c>
      <c r="C908" s="9" t="s">
        <v>66</v>
      </c>
      <c r="D908" s="9" t="s">
        <v>67</v>
      </c>
      <c r="E908" s="10">
        <v>221.85</v>
      </c>
      <c r="F908" s="10">
        <v>224.6</v>
      </c>
      <c r="G908" s="10">
        <v>219.67</v>
      </c>
      <c r="H908" s="10">
        <v>220.7</v>
      </c>
      <c r="I908" s="11">
        <v>3564199</v>
      </c>
      <c r="J908" s="10">
        <v>55175000000</v>
      </c>
      <c r="K908" s="30">
        <f t="shared" si="84"/>
        <v>-0.51836826684697124</v>
      </c>
      <c r="L908" s="31">
        <f t="shared" si="85"/>
        <v>4.9300000000000068</v>
      </c>
      <c r="M908" s="30">
        <f t="shared" si="86"/>
        <v>2.2222222222222254E-2</v>
      </c>
      <c r="N908" s="20" t="str">
        <f t="shared" si="89"/>
        <v>High volume</v>
      </c>
      <c r="O908" s="32">
        <f t="shared" si="87"/>
        <v>55.174999999999997</v>
      </c>
      <c r="P908" s="20">
        <f t="shared" si="88"/>
        <v>9</v>
      </c>
      <c r="Q908" s="20" t="str" cm="1">
        <f t="array" ref="Q908">_xlfn.IFS(P908&lt;=3,"Q1",P908&lt;=6,"Q2",P908&lt;=9,"Q3",P908&lt;=12,"Q4")</f>
        <v>Q3</v>
      </c>
    </row>
    <row r="909" spans="1:17" x14ac:dyDescent="0.25">
      <c r="A909" s="14">
        <v>45912</v>
      </c>
      <c r="B909" s="15" t="s">
        <v>69</v>
      </c>
      <c r="C909" s="15" t="s">
        <v>70</v>
      </c>
      <c r="D909" s="15" t="s">
        <v>71</v>
      </c>
      <c r="E909" s="16">
        <v>615.54</v>
      </c>
      <c r="F909" s="16">
        <v>617.32000000000005</v>
      </c>
      <c r="G909" s="16">
        <v>611.66999999999996</v>
      </c>
      <c r="H909" s="16">
        <v>613.5</v>
      </c>
      <c r="I909" s="17">
        <v>653881</v>
      </c>
      <c r="J909" s="16">
        <v>490800000000</v>
      </c>
      <c r="K909" s="30">
        <f t="shared" si="84"/>
        <v>-0.33141631737985566</v>
      </c>
      <c r="L909" s="31">
        <f t="shared" si="85"/>
        <v>5.6500000000000909</v>
      </c>
      <c r="M909" s="30">
        <f t="shared" si="86"/>
        <v>9.1789323195894511E-3</v>
      </c>
      <c r="N909" s="20" t="str">
        <f t="shared" si="89"/>
        <v>Normal</v>
      </c>
      <c r="O909" s="32">
        <f t="shared" si="87"/>
        <v>490.8</v>
      </c>
      <c r="P909" s="20">
        <f t="shared" si="88"/>
        <v>9</v>
      </c>
      <c r="Q909" s="20" t="str" cm="1">
        <f t="array" ref="Q909">_xlfn.IFS(P909&lt;=3,"Q1",P909&lt;=6,"Q2",P909&lt;=9,"Q3",P909&lt;=12,"Q4")</f>
        <v>Q3</v>
      </c>
    </row>
    <row r="910" spans="1:17" x14ac:dyDescent="0.25">
      <c r="A910" s="8">
        <v>45912</v>
      </c>
      <c r="B910" s="9" t="s">
        <v>73</v>
      </c>
      <c r="C910" s="9" t="s">
        <v>74</v>
      </c>
      <c r="D910" s="9" t="s">
        <v>75</v>
      </c>
      <c r="E910" s="10">
        <v>78.8</v>
      </c>
      <c r="F910" s="10">
        <v>79.599999999999994</v>
      </c>
      <c r="G910" s="10">
        <v>78.28</v>
      </c>
      <c r="H910" s="10">
        <v>78.67</v>
      </c>
      <c r="I910" s="11">
        <v>3323477</v>
      </c>
      <c r="J910" s="10">
        <v>17307400000</v>
      </c>
      <c r="K910" s="30">
        <f t="shared" si="84"/>
        <v>-0.16497461928933432</v>
      </c>
      <c r="L910" s="31">
        <f t="shared" si="85"/>
        <v>1.3199999999999932</v>
      </c>
      <c r="M910" s="30">
        <f t="shared" si="86"/>
        <v>1.6751269035532909E-2</v>
      </c>
      <c r="N910" s="20" t="str">
        <f t="shared" si="89"/>
        <v>High volume</v>
      </c>
      <c r="O910" s="32">
        <f t="shared" si="87"/>
        <v>17.307400000000001</v>
      </c>
      <c r="P910" s="20">
        <f t="shared" si="88"/>
        <v>9</v>
      </c>
      <c r="Q910" s="20" t="str" cm="1">
        <f t="array" ref="Q910">_xlfn.IFS(P910&lt;=3,"Q1",P910&lt;=6,"Q2",P910&lt;=9,"Q3",P910&lt;=12,"Q4")</f>
        <v>Q3</v>
      </c>
    </row>
    <row r="911" spans="1:17" x14ac:dyDescent="0.25">
      <c r="A911" s="14">
        <v>45912</v>
      </c>
      <c r="B911" s="15" t="s">
        <v>76</v>
      </c>
      <c r="C911" s="15" t="s">
        <v>77</v>
      </c>
      <c r="D911" s="15" t="s">
        <v>75</v>
      </c>
      <c r="E911" s="16">
        <v>150.51</v>
      </c>
      <c r="F911" s="16">
        <v>152.34</v>
      </c>
      <c r="G911" s="16">
        <v>148.94999999999999</v>
      </c>
      <c r="H911" s="16">
        <v>149.69</v>
      </c>
      <c r="I911" s="17">
        <v>1247312</v>
      </c>
      <c r="J911" s="16">
        <v>29938000000</v>
      </c>
      <c r="K911" s="30">
        <f t="shared" si="84"/>
        <v>-0.54481429805328097</v>
      </c>
      <c r="L911" s="31">
        <f t="shared" si="85"/>
        <v>3.3900000000000148</v>
      </c>
      <c r="M911" s="30">
        <f t="shared" si="86"/>
        <v>2.2523420370739584E-2</v>
      </c>
      <c r="N911" s="20" t="str">
        <f t="shared" si="89"/>
        <v>Normal</v>
      </c>
      <c r="O911" s="32">
        <f t="shared" si="87"/>
        <v>29.937999999999999</v>
      </c>
      <c r="P911" s="20">
        <f t="shared" si="88"/>
        <v>9</v>
      </c>
      <c r="Q911" s="20" t="str" cm="1">
        <f t="array" ref="Q911">_xlfn.IFS(P911&lt;=3,"Q1",P911&lt;=6,"Q2",P911&lt;=9,"Q3",P911&lt;=12,"Q4")</f>
        <v>Q3</v>
      </c>
    </row>
    <row r="912" spans="1:17" x14ac:dyDescent="0.25">
      <c r="A912" s="8">
        <v>45915</v>
      </c>
      <c r="B912" s="9" t="s">
        <v>60</v>
      </c>
      <c r="C912" s="9" t="s">
        <v>61</v>
      </c>
      <c r="D912" s="9" t="s">
        <v>62</v>
      </c>
      <c r="E912" s="10">
        <v>2125.4699999999998</v>
      </c>
      <c r="F912" s="10">
        <v>2143.5500000000002</v>
      </c>
      <c r="G912" s="10">
        <v>2095.36</v>
      </c>
      <c r="H912" s="10">
        <v>2123.54</v>
      </c>
      <c r="I912" s="11">
        <v>3620280</v>
      </c>
      <c r="J912" s="10">
        <v>2972956000000</v>
      </c>
      <c r="K912" s="30">
        <f t="shared" si="84"/>
        <v>-9.0803445826091955E-2</v>
      </c>
      <c r="L912" s="31">
        <f t="shared" si="85"/>
        <v>48.190000000000055</v>
      </c>
      <c r="M912" s="30">
        <f t="shared" si="86"/>
        <v>2.2672632406009051E-2</v>
      </c>
      <c r="N912" s="20" t="str">
        <f t="shared" si="89"/>
        <v>High volume</v>
      </c>
      <c r="O912" s="32">
        <f t="shared" si="87"/>
        <v>2972.9560000000001</v>
      </c>
      <c r="P912" s="20">
        <f t="shared" si="88"/>
        <v>9</v>
      </c>
      <c r="Q912" s="20" t="str" cm="1">
        <f t="array" ref="Q912">_xlfn.IFS(P912&lt;=3,"Q1",P912&lt;=6,"Q2",P912&lt;=9,"Q3",P912&lt;=12,"Q4")</f>
        <v>Q3</v>
      </c>
    </row>
    <row r="913" spans="1:17" x14ac:dyDescent="0.25">
      <c r="A913" s="14">
        <v>45915</v>
      </c>
      <c r="B913" s="15" t="s">
        <v>65</v>
      </c>
      <c r="C913" s="15" t="s">
        <v>66</v>
      </c>
      <c r="D913" s="15" t="s">
        <v>67</v>
      </c>
      <c r="E913" s="16">
        <v>221.3</v>
      </c>
      <c r="F913" s="16">
        <v>221.36</v>
      </c>
      <c r="G913" s="16">
        <v>221.07</v>
      </c>
      <c r="H913" s="16">
        <v>221.08</v>
      </c>
      <c r="I913" s="17">
        <v>4286859</v>
      </c>
      <c r="J913" s="16">
        <v>55270000000</v>
      </c>
      <c r="K913" s="30">
        <f t="shared" si="84"/>
        <v>-9.9412562132850824E-2</v>
      </c>
      <c r="L913" s="31">
        <f t="shared" si="85"/>
        <v>0.29000000000002046</v>
      </c>
      <c r="M913" s="30">
        <f t="shared" si="86"/>
        <v>1.3104383190240417E-3</v>
      </c>
      <c r="N913" s="20" t="str">
        <f t="shared" si="89"/>
        <v>High volume</v>
      </c>
      <c r="O913" s="32">
        <f t="shared" si="87"/>
        <v>55.27</v>
      </c>
      <c r="P913" s="20">
        <f t="shared" si="88"/>
        <v>9</v>
      </c>
      <c r="Q913" s="20" t="str" cm="1">
        <f t="array" ref="Q913">_xlfn.IFS(P913&lt;=3,"Q1",P913&lt;=6,"Q2",P913&lt;=9,"Q3",P913&lt;=12,"Q4")</f>
        <v>Q3</v>
      </c>
    </row>
    <row r="914" spans="1:17" x14ac:dyDescent="0.25">
      <c r="A914" s="8">
        <v>45915</v>
      </c>
      <c r="B914" s="9" t="s">
        <v>69</v>
      </c>
      <c r="C914" s="9" t="s">
        <v>70</v>
      </c>
      <c r="D914" s="9" t="s">
        <v>71</v>
      </c>
      <c r="E914" s="10">
        <v>611.61</v>
      </c>
      <c r="F914" s="10">
        <v>614.24</v>
      </c>
      <c r="G914" s="10">
        <v>611.13</v>
      </c>
      <c r="H914" s="10">
        <v>612.67999999999995</v>
      </c>
      <c r="I914" s="11">
        <v>3138890</v>
      </c>
      <c r="J914" s="10">
        <v>490144000000</v>
      </c>
      <c r="K914" s="30">
        <f t="shared" si="84"/>
        <v>0.17494808783373986</v>
      </c>
      <c r="L914" s="31">
        <f t="shared" si="85"/>
        <v>3.1100000000000136</v>
      </c>
      <c r="M914" s="30">
        <f t="shared" si="86"/>
        <v>5.0849397491865957E-3</v>
      </c>
      <c r="N914" s="20" t="str">
        <f t="shared" si="89"/>
        <v>High volume</v>
      </c>
      <c r="O914" s="32">
        <f t="shared" si="87"/>
        <v>490.14400000000001</v>
      </c>
      <c r="P914" s="20">
        <f t="shared" si="88"/>
        <v>9</v>
      </c>
      <c r="Q914" s="20" t="str" cm="1">
        <f t="array" ref="Q914">_xlfn.IFS(P914&lt;=3,"Q1",P914&lt;=6,"Q2",P914&lt;=9,"Q3",P914&lt;=12,"Q4")</f>
        <v>Q3</v>
      </c>
    </row>
    <row r="915" spans="1:17" x14ac:dyDescent="0.25">
      <c r="A915" s="14">
        <v>45915</v>
      </c>
      <c r="B915" s="15" t="s">
        <v>73</v>
      </c>
      <c r="C915" s="15" t="s">
        <v>74</v>
      </c>
      <c r="D915" s="15" t="s">
        <v>75</v>
      </c>
      <c r="E915" s="16">
        <v>77.8</v>
      </c>
      <c r="F915" s="16">
        <v>79.72</v>
      </c>
      <c r="G915" s="16">
        <v>76.91</v>
      </c>
      <c r="H915" s="16">
        <v>78.67</v>
      </c>
      <c r="I915" s="17">
        <v>801430</v>
      </c>
      <c r="J915" s="16">
        <v>17307400000</v>
      </c>
      <c r="K915" s="30">
        <f t="shared" si="84"/>
        <v>1.1182519280205714</v>
      </c>
      <c r="L915" s="31">
        <f t="shared" si="85"/>
        <v>2.8100000000000023</v>
      </c>
      <c r="M915" s="30">
        <f t="shared" si="86"/>
        <v>3.6118251928020595E-2</v>
      </c>
      <c r="N915" s="20" t="str">
        <f t="shared" si="89"/>
        <v>Normal</v>
      </c>
      <c r="O915" s="32">
        <f t="shared" si="87"/>
        <v>17.307400000000001</v>
      </c>
      <c r="P915" s="20">
        <f t="shared" si="88"/>
        <v>9</v>
      </c>
      <c r="Q915" s="20" t="str" cm="1">
        <f t="array" ref="Q915">_xlfn.IFS(P915&lt;=3,"Q1",P915&lt;=6,"Q2",P915&lt;=9,"Q3",P915&lt;=12,"Q4")</f>
        <v>Q3</v>
      </c>
    </row>
    <row r="916" spans="1:17" x14ac:dyDescent="0.25">
      <c r="A916" s="8">
        <v>45915</v>
      </c>
      <c r="B916" s="9" t="s">
        <v>76</v>
      </c>
      <c r="C916" s="9" t="s">
        <v>77</v>
      </c>
      <c r="D916" s="9" t="s">
        <v>75</v>
      </c>
      <c r="E916" s="10">
        <v>148.91999999999999</v>
      </c>
      <c r="F916" s="10">
        <v>149.46</v>
      </c>
      <c r="G916" s="10">
        <v>148.37</v>
      </c>
      <c r="H916" s="10">
        <v>148.9</v>
      </c>
      <c r="I916" s="11">
        <v>2957003</v>
      </c>
      <c r="J916" s="10">
        <v>29780000000</v>
      </c>
      <c r="K916" s="30">
        <f t="shared" si="84"/>
        <v>-1.3430029546052788E-2</v>
      </c>
      <c r="L916" s="31">
        <f t="shared" si="85"/>
        <v>1.0900000000000034</v>
      </c>
      <c r="M916" s="30">
        <f t="shared" si="86"/>
        <v>7.3193661026054492E-3</v>
      </c>
      <c r="N916" s="20" t="str">
        <f t="shared" si="89"/>
        <v>High volume</v>
      </c>
      <c r="O916" s="32">
        <f t="shared" si="87"/>
        <v>29.78</v>
      </c>
      <c r="P916" s="20">
        <f t="shared" si="88"/>
        <v>9</v>
      </c>
      <c r="Q916" s="20" t="str" cm="1">
        <f t="array" ref="Q916">_xlfn.IFS(P916&lt;=3,"Q1",P916&lt;=6,"Q2",P916&lt;=9,"Q3",P916&lt;=12,"Q4")</f>
        <v>Q3</v>
      </c>
    </row>
    <row r="917" spans="1:17" x14ac:dyDescent="0.25">
      <c r="A917" s="14">
        <v>45916</v>
      </c>
      <c r="B917" s="15" t="s">
        <v>60</v>
      </c>
      <c r="C917" s="15" t="s">
        <v>61</v>
      </c>
      <c r="D917" s="15" t="s">
        <v>62</v>
      </c>
      <c r="E917" s="16">
        <v>2120.5300000000002</v>
      </c>
      <c r="F917" s="16">
        <v>2150.2399999999998</v>
      </c>
      <c r="G917" s="16">
        <v>2117.09</v>
      </c>
      <c r="H917" s="16">
        <v>2142.17</v>
      </c>
      <c r="I917" s="17">
        <v>3980240</v>
      </c>
      <c r="J917" s="16">
        <v>2999038000000</v>
      </c>
      <c r="K917" s="30">
        <f t="shared" si="84"/>
        <v>1.0204995920831053</v>
      </c>
      <c r="L917" s="31">
        <f t="shared" si="85"/>
        <v>33.149999999999636</v>
      </c>
      <c r="M917" s="30">
        <f t="shared" si="86"/>
        <v>1.5632884231772073E-2</v>
      </c>
      <c r="N917" s="20" t="str">
        <f t="shared" si="89"/>
        <v>High volume</v>
      </c>
      <c r="O917" s="32">
        <f t="shared" si="87"/>
        <v>2999.038</v>
      </c>
      <c r="P917" s="20">
        <f t="shared" si="88"/>
        <v>9</v>
      </c>
      <c r="Q917" s="20" t="str" cm="1">
        <f t="array" ref="Q917">_xlfn.IFS(P917&lt;=3,"Q1",P917&lt;=6,"Q2",P917&lt;=9,"Q3",P917&lt;=12,"Q4")</f>
        <v>Q3</v>
      </c>
    </row>
    <row r="918" spans="1:17" x14ac:dyDescent="0.25">
      <c r="A918" s="8">
        <v>45916</v>
      </c>
      <c r="B918" s="9" t="s">
        <v>65</v>
      </c>
      <c r="C918" s="9" t="s">
        <v>66</v>
      </c>
      <c r="D918" s="9" t="s">
        <v>67</v>
      </c>
      <c r="E918" s="10">
        <v>221.05</v>
      </c>
      <c r="F918" s="10">
        <v>221.42</v>
      </c>
      <c r="G918" s="10">
        <v>219.01</v>
      </c>
      <c r="H918" s="10">
        <v>219.61</v>
      </c>
      <c r="I918" s="11">
        <v>631253</v>
      </c>
      <c r="J918" s="10">
        <v>54902500000</v>
      </c>
      <c r="K918" s="30">
        <f t="shared" si="84"/>
        <v>-0.65143632662293494</v>
      </c>
      <c r="L918" s="31">
        <f t="shared" si="85"/>
        <v>2.4099999999999966</v>
      </c>
      <c r="M918" s="30">
        <f t="shared" si="86"/>
        <v>1.090251074417551E-2</v>
      </c>
      <c r="N918" s="20" t="str">
        <f t="shared" si="89"/>
        <v>Normal</v>
      </c>
      <c r="O918" s="32">
        <f t="shared" si="87"/>
        <v>54.902500000000003</v>
      </c>
      <c r="P918" s="20">
        <f t="shared" si="88"/>
        <v>9</v>
      </c>
      <c r="Q918" s="20" t="str" cm="1">
        <f t="array" ref="Q918">_xlfn.IFS(P918&lt;=3,"Q1",P918&lt;=6,"Q2",P918&lt;=9,"Q3",P918&lt;=12,"Q4")</f>
        <v>Q3</v>
      </c>
    </row>
    <row r="919" spans="1:17" x14ac:dyDescent="0.25">
      <c r="A919" s="14">
        <v>45916</v>
      </c>
      <c r="B919" s="15" t="s">
        <v>69</v>
      </c>
      <c r="C919" s="15" t="s">
        <v>70</v>
      </c>
      <c r="D919" s="15" t="s">
        <v>71</v>
      </c>
      <c r="E919" s="16">
        <v>623.04999999999995</v>
      </c>
      <c r="F919" s="16">
        <v>628.37</v>
      </c>
      <c r="G919" s="16">
        <v>622.55999999999995</v>
      </c>
      <c r="H919" s="16">
        <v>624.27</v>
      </c>
      <c r="I919" s="17">
        <v>4411189</v>
      </c>
      <c r="J919" s="16">
        <v>499416000000</v>
      </c>
      <c r="K919" s="30">
        <f t="shared" si="84"/>
        <v>0.19581093010192238</v>
      </c>
      <c r="L919" s="31">
        <f t="shared" si="85"/>
        <v>5.8100000000000591</v>
      </c>
      <c r="M919" s="30">
        <f t="shared" si="86"/>
        <v>9.3250942941979931E-3</v>
      </c>
      <c r="N919" s="20" t="str">
        <f t="shared" si="89"/>
        <v>High volume</v>
      </c>
      <c r="O919" s="32">
        <f t="shared" si="87"/>
        <v>499.416</v>
      </c>
      <c r="P919" s="20">
        <f t="shared" si="88"/>
        <v>9</v>
      </c>
      <c r="Q919" s="20" t="str" cm="1">
        <f t="array" ref="Q919">_xlfn.IFS(P919&lt;=3,"Q1",P919&lt;=6,"Q2",P919&lt;=9,"Q3",P919&lt;=12,"Q4")</f>
        <v>Q3</v>
      </c>
    </row>
    <row r="920" spans="1:17" x14ac:dyDescent="0.25">
      <c r="A920" s="8">
        <v>45916</v>
      </c>
      <c r="B920" s="9" t="s">
        <v>73</v>
      </c>
      <c r="C920" s="9" t="s">
        <v>74</v>
      </c>
      <c r="D920" s="9" t="s">
        <v>75</v>
      </c>
      <c r="E920" s="10">
        <v>78.97</v>
      </c>
      <c r="F920" s="10">
        <v>79.349999999999994</v>
      </c>
      <c r="G920" s="10">
        <v>78.38</v>
      </c>
      <c r="H920" s="10">
        <v>78.650000000000006</v>
      </c>
      <c r="I920" s="11">
        <v>4951653</v>
      </c>
      <c r="J920" s="10">
        <v>17303000000</v>
      </c>
      <c r="K920" s="30">
        <f t="shared" si="84"/>
        <v>-0.40521717107761579</v>
      </c>
      <c r="L920" s="31">
        <f t="shared" si="85"/>
        <v>0.96999999999999886</v>
      </c>
      <c r="M920" s="30">
        <f t="shared" si="86"/>
        <v>1.2283145498290475E-2</v>
      </c>
      <c r="N920" s="20" t="str">
        <f t="shared" si="89"/>
        <v>High volume</v>
      </c>
      <c r="O920" s="32">
        <f t="shared" si="87"/>
        <v>17.303000000000001</v>
      </c>
      <c r="P920" s="20">
        <f t="shared" si="88"/>
        <v>9</v>
      </c>
      <c r="Q920" s="20" t="str" cm="1">
        <f t="array" ref="Q920">_xlfn.IFS(P920&lt;=3,"Q1",P920&lt;=6,"Q2",P920&lt;=9,"Q3",P920&lt;=12,"Q4")</f>
        <v>Q3</v>
      </c>
    </row>
    <row r="921" spans="1:17" x14ac:dyDescent="0.25">
      <c r="A921" s="14">
        <v>45916</v>
      </c>
      <c r="B921" s="15" t="s">
        <v>76</v>
      </c>
      <c r="C921" s="15" t="s">
        <v>77</v>
      </c>
      <c r="D921" s="15" t="s">
        <v>75</v>
      </c>
      <c r="E921" s="16">
        <v>151.88999999999999</v>
      </c>
      <c r="F921" s="16">
        <v>152.69</v>
      </c>
      <c r="G921" s="16">
        <v>150.63</v>
      </c>
      <c r="H921" s="16">
        <v>151.56</v>
      </c>
      <c r="I921" s="17">
        <v>2509133</v>
      </c>
      <c r="J921" s="16">
        <v>30312000000</v>
      </c>
      <c r="K921" s="30">
        <f t="shared" si="84"/>
        <v>-0.21726249259331368</v>
      </c>
      <c r="L921" s="31">
        <f t="shared" si="85"/>
        <v>2.0600000000000023</v>
      </c>
      <c r="M921" s="30">
        <f t="shared" si="86"/>
        <v>1.3562446507340856E-2</v>
      </c>
      <c r="N921" s="20" t="str">
        <f t="shared" si="89"/>
        <v>High volume</v>
      </c>
      <c r="O921" s="32">
        <f t="shared" si="87"/>
        <v>30.312000000000001</v>
      </c>
      <c r="P921" s="20">
        <f t="shared" si="88"/>
        <v>9</v>
      </c>
      <c r="Q921" s="20" t="str" cm="1">
        <f t="array" ref="Q921">_xlfn.IFS(P921&lt;=3,"Q1",P921&lt;=6,"Q2",P921&lt;=9,"Q3",P921&lt;=12,"Q4")</f>
        <v>Q3</v>
      </c>
    </row>
    <row r="922" spans="1:17" x14ac:dyDescent="0.25">
      <c r="A922" s="8">
        <v>45917</v>
      </c>
      <c r="B922" s="9" t="s">
        <v>60</v>
      </c>
      <c r="C922" s="9" t="s">
        <v>61</v>
      </c>
      <c r="D922" s="9" t="s">
        <v>62</v>
      </c>
      <c r="E922" s="10">
        <v>2108.4499999999998</v>
      </c>
      <c r="F922" s="10">
        <v>2113.25</v>
      </c>
      <c r="G922" s="10">
        <v>2105.1999999999998</v>
      </c>
      <c r="H922" s="10">
        <v>2111.11</v>
      </c>
      <c r="I922" s="11">
        <v>457033</v>
      </c>
      <c r="J922" s="10">
        <v>2955554000000</v>
      </c>
      <c r="K922" s="30">
        <f t="shared" si="84"/>
        <v>0.1261590267732367</v>
      </c>
      <c r="L922" s="31">
        <f t="shared" si="85"/>
        <v>8.0500000000001819</v>
      </c>
      <c r="M922" s="30">
        <f t="shared" si="86"/>
        <v>3.8179705470844376E-3</v>
      </c>
      <c r="N922" s="20" t="str">
        <f t="shared" si="89"/>
        <v>Normal</v>
      </c>
      <c r="O922" s="32">
        <f t="shared" si="87"/>
        <v>2955.5540000000001</v>
      </c>
      <c r="P922" s="20">
        <f t="shared" si="88"/>
        <v>9</v>
      </c>
      <c r="Q922" s="20" t="str" cm="1">
        <f t="array" ref="Q922">_xlfn.IFS(P922&lt;=3,"Q1",P922&lt;=6,"Q2",P922&lt;=9,"Q3",P922&lt;=12,"Q4")</f>
        <v>Q3</v>
      </c>
    </row>
    <row r="923" spans="1:17" x14ac:dyDescent="0.25">
      <c r="A923" s="14">
        <v>45917</v>
      </c>
      <c r="B923" s="15" t="s">
        <v>65</v>
      </c>
      <c r="C923" s="15" t="s">
        <v>66</v>
      </c>
      <c r="D923" s="15" t="s">
        <v>67</v>
      </c>
      <c r="E923" s="16">
        <v>215.79</v>
      </c>
      <c r="F923" s="16">
        <v>216.99</v>
      </c>
      <c r="G923" s="16">
        <v>214.67</v>
      </c>
      <c r="H923" s="16">
        <v>216.11</v>
      </c>
      <c r="I923" s="17">
        <v>2990177</v>
      </c>
      <c r="J923" s="16">
        <v>54027500000</v>
      </c>
      <c r="K923" s="30">
        <f t="shared" si="84"/>
        <v>0.1482923212382509</v>
      </c>
      <c r="L923" s="31">
        <f t="shared" si="85"/>
        <v>2.3200000000000216</v>
      </c>
      <c r="M923" s="30">
        <f t="shared" si="86"/>
        <v>1.0751193289772564E-2</v>
      </c>
      <c r="N923" s="20" t="str">
        <f t="shared" si="89"/>
        <v>High volume</v>
      </c>
      <c r="O923" s="32">
        <f t="shared" si="87"/>
        <v>54.027500000000003</v>
      </c>
      <c r="P923" s="20">
        <f t="shared" si="88"/>
        <v>9</v>
      </c>
      <c r="Q923" s="20" t="str" cm="1">
        <f t="array" ref="Q923">_xlfn.IFS(P923&lt;=3,"Q1",P923&lt;=6,"Q2",P923&lt;=9,"Q3",P923&lt;=12,"Q4")</f>
        <v>Q3</v>
      </c>
    </row>
    <row r="924" spans="1:17" x14ac:dyDescent="0.25">
      <c r="A924" s="8">
        <v>45917</v>
      </c>
      <c r="B924" s="9" t="s">
        <v>69</v>
      </c>
      <c r="C924" s="9" t="s">
        <v>70</v>
      </c>
      <c r="D924" s="9" t="s">
        <v>71</v>
      </c>
      <c r="E924" s="10">
        <v>621.91</v>
      </c>
      <c r="F924" s="10">
        <v>629.08000000000004</v>
      </c>
      <c r="G924" s="10">
        <v>617.13</v>
      </c>
      <c r="H924" s="10">
        <v>623.39</v>
      </c>
      <c r="I924" s="11">
        <v>4473744</v>
      </c>
      <c r="J924" s="10">
        <v>498712000000</v>
      </c>
      <c r="K924" s="30">
        <f t="shared" si="84"/>
        <v>0.23797655609332835</v>
      </c>
      <c r="L924" s="31">
        <f t="shared" si="85"/>
        <v>11.950000000000045</v>
      </c>
      <c r="M924" s="30">
        <f t="shared" si="86"/>
        <v>1.9214998954832765E-2</v>
      </c>
      <c r="N924" s="20" t="str">
        <f t="shared" si="89"/>
        <v>High volume</v>
      </c>
      <c r="O924" s="32">
        <f t="shared" si="87"/>
        <v>498.71199999999999</v>
      </c>
      <c r="P924" s="20">
        <f t="shared" si="88"/>
        <v>9</v>
      </c>
      <c r="Q924" s="20" t="str" cm="1">
        <f t="array" ref="Q924">_xlfn.IFS(P924&lt;=3,"Q1",P924&lt;=6,"Q2",P924&lt;=9,"Q3",P924&lt;=12,"Q4")</f>
        <v>Q3</v>
      </c>
    </row>
    <row r="925" spans="1:17" x14ac:dyDescent="0.25">
      <c r="A925" s="14">
        <v>45917</v>
      </c>
      <c r="B925" s="15" t="s">
        <v>73</v>
      </c>
      <c r="C925" s="15" t="s">
        <v>74</v>
      </c>
      <c r="D925" s="15" t="s">
        <v>75</v>
      </c>
      <c r="E925" s="16">
        <v>78.38</v>
      </c>
      <c r="F925" s="16">
        <v>78.42</v>
      </c>
      <c r="G925" s="16">
        <v>78.02</v>
      </c>
      <c r="H925" s="16">
        <v>78.13</v>
      </c>
      <c r="I925" s="17">
        <v>3737689</v>
      </c>
      <c r="J925" s="16">
        <v>17188600000</v>
      </c>
      <c r="K925" s="30">
        <f t="shared" si="84"/>
        <v>-0.31895891809134985</v>
      </c>
      <c r="L925" s="31">
        <f t="shared" si="85"/>
        <v>0.40000000000000568</v>
      </c>
      <c r="M925" s="30">
        <f t="shared" si="86"/>
        <v>5.1033426894616703E-3</v>
      </c>
      <c r="N925" s="20" t="str">
        <f t="shared" si="89"/>
        <v>High volume</v>
      </c>
      <c r="O925" s="32">
        <f t="shared" si="87"/>
        <v>17.188600000000001</v>
      </c>
      <c r="P925" s="20">
        <f t="shared" si="88"/>
        <v>9</v>
      </c>
      <c r="Q925" s="20" t="str" cm="1">
        <f t="array" ref="Q925">_xlfn.IFS(P925&lt;=3,"Q1",P925&lt;=6,"Q2",P925&lt;=9,"Q3",P925&lt;=12,"Q4")</f>
        <v>Q3</v>
      </c>
    </row>
    <row r="926" spans="1:17" x14ac:dyDescent="0.25">
      <c r="A926" s="8">
        <v>45917</v>
      </c>
      <c r="B926" s="9" t="s">
        <v>76</v>
      </c>
      <c r="C926" s="9" t="s">
        <v>77</v>
      </c>
      <c r="D926" s="9" t="s">
        <v>75</v>
      </c>
      <c r="E926" s="10">
        <v>150.88999999999999</v>
      </c>
      <c r="F926" s="10">
        <v>151.34</v>
      </c>
      <c r="G926" s="10">
        <v>150.44999999999999</v>
      </c>
      <c r="H926" s="10">
        <v>151.19</v>
      </c>
      <c r="I926" s="11">
        <v>1388625</v>
      </c>
      <c r="J926" s="10">
        <v>30238000000</v>
      </c>
      <c r="K926" s="30">
        <f t="shared" si="84"/>
        <v>0.19882033269269761</v>
      </c>
      <c r="L926" s="31">
        <f t="shared" si="85"/>
        <v>0.89000000000001478</v>
      </c>
      <c r="M926" s="30">
        <f t="shared" si="86"/>
        <v>5.8983365365499031E-3</v>
      </c>
      <c r="N926" s="20" t="str">
        <f t="shared" si="89"/>
        <v>Normal</v>
      </c>
      <c r="O926" s="32">
        <f t="shared" si="87"/>
        <v>30.238</v>
      </c>
      <c r="P926" s="20">
        <f t="shared" si="88"/>
        <v>9</v>
      </c>
      <c r="Q926" s="20" t="str" cm="1">
        <f t="array" ref="Q926">_xlfn.IFS(P926&lt;=3,"Q1",P926&lt;=6,"Q2",P926&lt;=9,"Q3",P926&lt;=12,"Q4")</f>
        <v>Q3</v>
      </c>
    </row>
    <row r="927" spans="1:17" x14ac:dyDescent="0.25">
      <c r="A927" s="14">
        <v>45918</v>
      </c>
      <c r="B927" s="15" t="s">
        <v>60</v>
      </c>
      <c r="C927" s="15" t="s">
        <v>61</v>
      </c>
      <c r="D927" s="15" t="s">
        <v>62</v>
      </c>
      <c r="E927" s="16">
        <v>2109.8200000000002</v>
      </c>
      <c r="F927" s="16">
        <v>2111.66</v>
      </c>
      <c r="G927" s="16">
        <v>2105.9899999999998</v>
      </c>
      <c r="H927" s="16">
        <v>2106.6</v>
      </c>
      <c r="I927" s="17">
        <v>1907396</v>
      </c>
      <c r="J927" s="16">
        <v>2949240000000</v>
      </c>
      <c r="K927" s="30">
        <f t="shared" si="84"/>
        <v>-0.15261965475728992</v>
      </c>
      <c r="L927" s="31">
        <f t="shared" si="85"/>
        <v>5.6700000000000728</v>
      </c>
      <c r="M927" s="30">
        <f t="shared" si="86"/>
        <v>2.6874330511607969E-3</v>
      </c>
      <c r="N927" s="20" t="str">
        <f t="shared" si="89"/>
        <v>Normal</v>
      </c>
      <c r="O927" s="32">
        <f t="shared" si="87"/>
        <v>2949.24</v>
      </c>
      <c r="P927" s="20">
        <f t="shared" si="88"/>
        <v>9</v>
      </c>
      <c r="Q927" s="20" t="str" cm="1">
        <f t="array" ref="Q927">_xlfn.IFS(P927&lt;=3,"Q1",P927&lt;=6,"Q2",P927&lt;=9,"Q3",P927&lt;=12,"Q4")</f>
        <v>Q3</v>
      </c>
    </row>
    <row r="928" spans="1:17" x14ac:dyDescent="0.25">
      <c r="A928" s="8">
        <v>45918</v>
      </c>
      <c r="B928" s="9" t="s">
        <v>65</v>
      </c>
      <c r="C928" s="9" t="s">
        <v>66</v>
      </c>
      <c r="D928" s="9" t="s">
        <v>67</v>
      </c>
      <c r="E928" s="10">
        <v>219.58</v>
      </c>
      <c r="F928" s="10">
        <v>220.91</v>
      </c>
      <c r="G928" s="10">
        <v>218.25</v>
      </c>
      <c r="H928" s="10">
        <v>219.65</v>
      </c>
      <c r="I928" s="11">
        <v>2446968</v>
      </c>
      <c r="J928" s="10">
        <v>54912500000</v>
      </c>
      <c r="K928" s="30">
        <f t="shared" si="84"/>
        <v>3.1879041807083147E-2</v>
      </c>
      <c r="L928" s="31">
        <f t="shared" si="85"/>
        <v>2.6599999999999966</v>
      </c>
      <c r="M928" s="30">
        <f t="shared" si="86"/>
        <v>1.2114035886692761E-2</v>
      </c>
      <c r="N928" s="20" t="str">
        <f t="shared" si="89"/>
        <v>High volume</v>
      </c>
      <c r="O928" s="32">
        <f t="shared" si="87"/>
        <v>54.912500000000001</v>
      </c>
      <c r="P928" s="20">
        <f t="shared" si="88"/>
        <v>9</v>
      </c>
      <c r="Q928" s="20" t="str" cm="1">
        <f t="array" ref="Q928">_xlfn.IFS(P928&lt;=3,"Q1",P928&lt;=6,"Q2",P928&lt;=9,"Q3",P928&lt;=12,"Q4")</f>
        <v>Q3</v>
      </c>
    </row>
    <row r="929" spans="1:17" x14ac:dyDescent="0.25">
      <c r="A929" s="14">
        <v>45918</v>
      </c>
      <c r="B929" s="15" t="s">
        <v>69</v>
      </c>
      <c r="C929" s="15" t="s">
        <v>70</v>
      </c>
      <c r="D929" s="15" t="s">
        <v>71</v>
      </c>
      <c r="E929" s="16">
        <v>611.78</v>
      </c>
      <c r="F929" s="16">
        <v>615.07000000000005</v>
      </c>
      <c r="G929" s="16">
        <v>610.73</v>
      </c>
      <c r="H929" s="16">
        <v>613.85</v>
      </c>
      <c r="I929" s="17">
        <v>409774</v>
      </c>
      <c r="J929" s="16">
        <v>491080000000</v>
      </c>
      <c r="K929" s="30">
        <f t="shared" si="84"/>
        <v>0.33835692569225051</v>
      </c>
      <c r="L929" s="31">
        <f t="shared" si="85"/>
        <v>4.3400000000000318</v>
      </c>
      <c r="M929" s="30">
        <f t="shared" si="86"/>
        <v>7.094053417895374E-3</v>
      </c>
      <c r="N929" s="20" t="str">
        <f t="shared" si="89"/>
        <v>Normal</v>
      </c>
      <c r="O929" s="32">
        <f t="shared" si="87"/>
        <v>491.08</v>
      </c>
      <c r="P929" s="20">
        <f t="shared" si="88"/>
        <v>9</v>
      </c>
      <c r="Q929" s="20" t="str" cm="1">
        <f t="array" ref="Q929">_xlfn.IFS(P929&lt;=3,"Q1",P929&lt;=6,"Q2",P929&lt;=9,"Q3",P929&lt;=12,"Q4")</f>
        <v>Q3</v>
      </c>
    </row>
    <row r="930" spans="1:17" x14ac:dyDescent="0.25">
      <c r="A930" s="8">
        <v>45918</v>
      </c>
      <c r="B930" s="9" t="s">
        <v>73</v>
      </c>
      <c r="C930" s="9" t="s">
        <v>74</v>
      </c>
      <c r="D930" s="9" t="s">
        <v>75</v>
      </c>
      <c r="E930" s="10">
        <v>78.87</v>
      </c>
      <c r="F930" s="10">
        <v>79.05</v>
      </c>
      <c r="G930" s="10">
        <v>77.55</v>
      </c>
      <c r="H930" s="10">
        <v>77.67</v>
      </c>
      <c r="I930" s="11">
        <v>809190</v>
      </c>
      <c r="J930" s="10">
        <v>17087400000</v>
      </c>
      <c r="K930" s="30">
        <f t="shared" si="84"/>
        <v>-1.5214910612400188</v>
      </c>
      <c r="L930" s="31">
        <f t="shared" si="85"/>
        <v>1.5</v>
      </c>
      <c r="M930" s="30">
        <f t="shared" si="86"/>
        <v>1.9018638265500189E-2</v>
      </c>
      <c r="N930" s="20" t="str">
        <f t="shared" si="89"/>
        <v>Normal</v>
      </c>
      <c r="O930" s="32">
        <f t="shared" si="87"/>
        <v>17.087399999999999</v>
      </c>
      <c r="P930" s="20">
        <f t="shared" si="88"/>
        <v>9</v>
      </c>
      <c r="Q930" s="20" t="str" cm="1">
        <f t="array" ref="Q930">_xlfn.IFS(P930&lt;=3,"Q1",P930&lt;=6,"Q2",P930&lt;=9,"Q3",P930&lt;=12,"Q4")</f>
        <v>Q3</v>
      </c>
    </row>
    <row r="931" spans="1:17" x14ac:dyDescent="0.25">
      <c r="A931" s="14">
        <v>45918</v>
      </c>
      <c r="B931" s="15" t="s">
        <v>76</v>
      </c>
      <c r="C931" s="15" t="s">
        <v>77</v>
      </c>
      <c r="D931" s="15" t="s">
        <v>75</v>
      </c>
      <c r="E931" s="16">
        <v>151.47999999999999</v>
      </c>
      <c r="F931" s="16">
        <v>152.76</v>
      </c>
      <c r="G931" s="16">
        <v>149.94999999999999</v>
      </c>
      <c r="H931" s="16">
        <v>152.44999999999999</v>
      </c>
      <c r="I931" s="17">
        <v>3395972</v>
      </c>
      <c r="J931" s="16">
        <v>30490000000</v>
      </c>
      <c r="K931" s="30">
        <f t="shared" si="84"/>
        <v>0.64034856086612024</v>
      </c>
      <c r="L931" s="31">
        <f t="shared" si="85"/>
        <v>2.8100000000000023</v>
      </c>
      <c r="M931" s="30">
        <f t="shared" si="86"/>
        <v>1.8550303670451559E-2</v>
      </c>
      <c r="N931" s="20" t="str">
        <f t="shared" si="89"/>
        <v>High volume</v>
      </c>
      <c r="O931" s="32">
        <f t="shared" si="87"/>
        <v>30.49</v>
      </c>
      <c r="P931" s="20">
        <f t="shared" si="88"/>
        <v>9</v>
      </c>
      <c r="Q931" s="20" t="str" cm="1">
        <f t="array" ref="Q931">_xlfn.IFS(P931&lt;=3,"Q1",P931&lt;=6,"Q2",P931&lt;=9,"Q3",P931&lt;=12,"Q4")</f>
        <v>Q3</v>
      </c>
    </row>
    <row r="932" spans="1:17" x14ac:dyDescent="0.25">
      <c r="A932" s="8">
        <v>45919</v>
      </c>
      <c r="B932" s="9" t="s">
        <v>60</v>
      </c>
      <c r="C932" s="9" t="s">
        <v>61</v>
      </c>
      <c r="D932" s="9" t="s">
        <v>62</v>
      </c>
      <c r="E932" s="10">
        <v>2110.0300000000002</v>
      </c>
      <c r="F932" s="10">
        <v>2115.66</v>
      </c>
      <c r="G932" s="10">
        <v>2094.66</v>
      </c>
      <c r="H932" s="10">
        <v>2110.08</v>
      </c>
      <c r="I932" s="11">
        <v>2849336</v>
      </c>
      <c r="J932" s="10">
        <v>2954112000000</v>
      </c>
      <c r="K932" s="30">
        <f t="shared" si="84"/>
        <v>2.369634554946003E-3</v>
      </c>
      <c r="L932" s="31">
        <f t="shared" si="85"/>
        <v>21</v>
      </c>
      <c r="M932" s="30">
        <f t="shared" si="86"/>
        <v>9.952465130827523E-3</v>
      </c>
      <c r="N932" s="20" t="str">
        <f t="shared" si="89"/>
        <v>High volume</v>
      </c>
      <c r="O932" s="32">
        <f t="shared" si="87"/>
        <v>2954.1120000000001</v>
      </c>
      <c r="P932" s="20">
        <f t="shared" si="88"/>
        <v>9</v>
      </c>
      <c r="Q932" s="20" t="str" cm="1">
        <f t="array" ref="Q932">_xlfn.IFS(P932&lt;=3,"Q1",P932&lt;=6,"Q2",P932&lt;=9,"Q3",P932&lt;=12,"Q4")</f>
        <v>Q3</v>
      </c>
    </row>
    <row r="933" spans="1:17" x14ac:dyDescent="0.25">
      <c r="A933" s="14">
        <v>45919</v>
      </c>
      <c r="B933" s="15" t="s">
        <v>65</v>
      </c>
      <c r="C933" s="15" t="s">
        <v>66</v>
      </c>
      <c r="D933" s="15" t="s">
        <v>67</v>
      </c>
      <c r="E933" s="16">
        <v>216.98</v>
      </c>
      <c r="F933" s="16">
        <v>218.05</v>
      </c>
      <c r="G933" s="16">
        <v>216.41</v>
      </c>
      <c r="H933" s="16">
        <v>217.26</v>
      </c>
      <c r="I933" s="17">
        <v>1149137</v>
      </c>
      <c r="J933" s="16">
        <v>54315000000</v>
      </c>
      <c r="K933" s="30">
        <f t="shared" si="84"/>
        <v>0.12904415153470419</v>
      </c>
      <c r="L933" s="31">
        <f t="shared" si="85"/>
        <v>1.6400000000000148</v>
      </c>
      <c r="M933" s="30">
        <f t="shared" si="86"/>
        <v>7.5583003041755688E-3</v>
      </c>
      <c r="N933" s="20" t="str">
        <f t="shared" si="89"/>
        <v>Normal</v>
      </c>
      <c r="O933" s="32">
        <f t="shared" si="87"/>
        <v>54.314999999999998</v>
      </c>
      <c r="P933" s="20">
        <f t="shared" si="88"/>
        <v>9</v>
      </c>
      <c r="Q933" s="20" t="str" cm="1">
        <f t="array" ref="Q933">_xlfn.IFS(P933&lt;=3,"Q1",P933&lt;=6,"Q2",P933&lt;=9,"Q3",P933&lt;=12,"Q4")</f>
        <v>Q3</v>
      </c>
    </row>
    <row r="934" spans="1:17" x14ac:dyDescent="0.25">
      <c r="A934" s="8">
        <v>45919</v>
      </c>
      <c r="B934" s="9" t="s">
        <v>69</v>
      </c>
      <c r="C934" s="9" t="s">
        <v>70</v>
      </c>
      <c r="D934" s="9" t="s">
        <v>71</v>
      </c>
      <c r="E934" s="10">
        <v>612.21</v>
      </c>
      <c r="F934" s="10">
        <v>618.16999999999996</v>
      </c>
      <c r="G934" s="10">
        <v>609.99</v>
      </c>
      <c r="H934" s="10">
        <v>612.02</v>
      </c>
      <c r="I934" s="11">
        <v>1800704</v>
      </c>
      <c r="J934" s="10">
        <v>489616000000</v>
      </c>
      <c r="K934" s="30">
        <f t="shared" si="84"/>
        <v>-3.103510233417529E-2</v>
      </c>
      <c r="L934" s="31">
        <f t="shared" si="85"/>
        <v>8.17999999999995</v>
      </c>
      <c r="M934" s="30">
        <f t="shared" si="86"/>
        <v>1.3361428268077865E-2</v>
      </c>
      <c r="N934" s="20" t="str">
        <f t="shared" si="89"/>
        <v>Normal</v>
      </c>
      <c r="O934" s="32">
        <f t="shared" si="87"/>
        <v>489.61599999999999</v>
      </c>
      <c r="P934" s="20">
        <f t="shared" si="88"/>
        <v>9</v>
      </c>
      <c r="Q934" s="20" t="str" cm="1">
        <f t="array" ref="Q934">_xlfn.IFS(P934&lt;=3,"Q1",P934&lt;=6,"Q2",P934&lt;=9,"Q3",P934&lt;=12,"Q4")</f>
        <v>Q3</v>
      </c>
    </row>
    <row r="935" spans="1:17" x14ac:dyDescent="0.25">
      <c r="A935" s="14">
        <v>45919</v>
      </c>
      <c r="B935" s="15" t="s">
        <v>73</v>
      </c>
      <c r="C935" s="15" t="s">
        <v>74</v>
      </c>
      <c r="D935" s="15" t="s">
        <v>75</v>
      </c>
      <c r="E935" s="16">
        <v>79.010000000000005</v>
      </c>
      <c r="F935" s="16">
        <v>79.760000000000005</v>
      </c>
      <c r="G935" s="16">
        <v>78.72</v>
      </c>
      <c r="H935" s="16">
        <v>79.5</v>
      </c>
      <c r="I935" s="17">
        <v>3302814</v>
      </c>
      <c r="J935" s="16">
        <v>17490000000</v>
      </c>
      <c r="K935" s="30">
        <f t="shared" si="84"/>
        <v>0.62017466143525479</v>
      </c>
      <c r="L935" s="31">
        <f t="shared" si="85"/>
        <v>1.0400000000000063</v>
      </c>
      <c r="M935" s="30">
        <f t="shared" si="86"/>
        <v>1.3162890773319912E-2</v>
      </c>
      <c r="N935" s="20" t="str">
        <f t="shared" si="89"/>
        <v>High volume</v>
      </c>
      <c r="O935" s="32">
        <f t="shared" si="87"/>
        <v>17.489999999999998</v>
      </c>
      <c r="P935" s="20">
        <f t="shared" si="88"/>
        <v>9</v>
      </c>
      <c r="Q935" s="20" t="str" cm="1">
        <f t="array" ref="Q935">_xlfn.IFS(P935&lt;=3,"Q1",P935&lt;=6,"Q2",P935&lt;=9,"Q3",P935&lt;=12,"Q4")</f>
        <v>Q3</v>
      </c>
    </row>
    <row r="936" spans="1:17" x14ac:dyDescent="0.25">
      <c r="A936" s="8">
        <v>45919</v>
      </c>
      <c r="B936" s="9" t="s">
        <v>76</v>
      </c>
      <c r="C936" s="9" t="s">
        <v>77</v>
      </c>
      <c r="D936" s="9" t="s">
        <v>75</v>
      </c>
      <c r="E936" s="10">
        <v>150.85</v>
      </c>
      <c r="F936" s="10">
        <v>152.52000000000001</v>
      </c>
      <c r="G936" s="10">
        <v>150.34</v>
      </c>
      <c r="H936" s="10">
        <v>152.07</v>
      </c>
      <c r="I936" s="11">
        <v>4913444</v>
      </c>
      <c r="J936" s="10">
        <v>30414000000</v>
      </c>
      <c r="K936" s="30">
        <f t="shared" si="84"/>
        <v>0.80875041431885897</v>
      </c>
      <c r="L936" s="31">
        <f t="shared" si="85"/>
        <v>2.1800000000000068</v>
      </c>
      <c r="M936" s="30">
        <f t="shared" si="86"/>
        <v>1.4451441829632131E-2</v>
      </c>
      <c r="N936" s="20" t="str">
        <f t="shared" si="89"/>
        <v>High volume</v>
      </c>
      <c r="O936" s="32">
        <f t="shared" si="87"/>
        <v>30.414000000000001</v>
      </c>
      <c r="P936" s="20">
        <f t="shared" si="88"/>
        <v>9</v>
      </c>
      <c r="Q936" s="20" t="str" cm="1">
        <f t="array" ref="Q936">_xlfn.IFS(P936&lt;=3,"Q1",P936&lt;=6,"Q2",P936&lt;=9,"Q3",P936&lt;=12,"Q4")</f>
        <v>Q3</v>
      </c>
    </row>
    <row r="937" spans="1:17" x14ac:dyDescent="0.25">
      <c r="A937" s="14">
        <v>45922</v>
      </c>
      <c r="B937" s="15" t="s">
        <v>60</v>
      </c>
      <c r="C937" s="15" t="s">
        <v>61</v>
      </c>
      <c r="D937" s="15" t="s">
        <v>62</v>
      </c>
      <c r="E937" s="16">
        <v>2117.0700000000002</v>
      </c>
      <c r="F937" s="16">
        <v>2129.59</v>
      </c>
      <c r="G937" s="16">
        <v>2108.16</v>
      </c>
      <c r="H937" s="16">
        <v>2111.5500000000002</v>
      </c>
      <c r="I937" s="17">
        <v>4016255</v>
      </c>
      <c r="J937" s="16">
        <v>2956170000000</v>
      </c>
      <c r="K937" s="30">
        <f t="shared" si="84"/>
        <v>-0.26073771769473764</v>
      </c>
      <c r="L937" s="31">
        <f t="shared" si="85"/>
        <v>21.430000000000291</v>
      </c>
      <c r="M937" s="30">
        <f t="shared" si="86"/>
        <v>1.0122480598185364E-2</v>
      </c>
      <c r="N937" s="20" t="str">
        <f t="shared" si="89"/>
        <v>High volume</v>
      </c>
      <c r="O937" s="32">
        <f t="shared" si="87"/>
        <v>2956.17</v>
      </c>
      <c r="P937" s="20">
        <f t="shared" si="88"/>
        <v>9</v>
      </c>
      <c r="Q937" s="20" t="str" cm="1">
        <f t="array" ref="Q937">_xlfn.IFS(P937&lt;=3,"Q1",P937&lt;=6,"Q2",P937&lt;=9,"Q3",P937&lt;=12,"Q4")</f>
        <v>Q3</v>
      </c>
    </row>
    <row r="938" spans="1:17" x14ac:dyDescent="0.25">
      <c r="A938" s="8">
        <v>45922</v>
      </c>
      <c r="B938" s="9" t="s">
        <v>65</v>
      </c>
      <c r="C938" s="9" t="s">
        <v>66</v>
      </c>
      <c r="D938" s="9" t="s">
        <v>67</v>
      </c>
      <c r="E938" s="10">
        <v>223.73</v>
      </c>
      <c r="F938" s="10">
        <v>225.3</v>
      </c>
      <c r="G938" s="10">
        <v>217.95</v>
      </c>
      <c r="H938" s="10">
        <v>224.16</v>
      </c>
      <c r="I938" s="11">
        <v>3758986</v>
      </c>
      <c r="J938" s="10">
        <v>56040000000</v>
      </c>
      <c r="K938" s="30">
        <f t="shared" si="84"/>
        <v>0.19219595047602325</v>
      </c>
      <c r="L938" s="31">
        <f t="shared" si="85"/>
        <v>7.3500000000000227</v>
      </c>
      <c r="M938" s="30">
        <f t="shared" si="86"/>
        <v>3.2852098511598905E-2</v>
      </c>
      <c r="N938" s="20" t="str">
        <f t="shared" si="89"/>
        <v>High volume</v>
      </c>
      <c r="O938" s="32">
        <f t="shared" si="87"/>
        <v>56.04</v>
      </c>
      <c r="P938" s="20">
        <f t="shared" si="88"/>
        <v>9</v>
      </c>
      <c r="Q938" s="20" t="str" cm="1">
        <f t="array" ref="Q938">_xlfn.IFS(P938&lt;=3,"Q1",P938&lt;=6,"Q2",P938&lt;=9,"Q3",P938&lt;=12,"Q4")</f>
        <v>Q3</v>
      </c>
    </row>
    <row r="939" spans="1:17" x14ac:dyDescent="0.25">
      <c r="A939" s="14">
        <v>45922</v>
      </c>
      <c r="B939" s="15" t="s">
        <v>69</v>
      </c>
      <c r="C939" s="15" t="s">
        <v>70</v>
      </c>
      <c r="D939" s="15" t="s">
        <v>71</v>
      </c>
      <c r="E939" s="16">
        <v>602.5</v>
      </c>
      <c r="F939" s="16">
        <v>602.96</v>
      </c>
      <c r="G939" s="16">
        <v>597.4</v>
      </c>
      <c r="H939" s="16">
        <v>601.44000000000005</v>
      </c>
      <c r="I939" s="17">
        <v>2319327</v>
      </c>
      <c r="J939" s="16">
        <v>481152000000</v>
      </c>
      <c r="K939" s="30">
        <f t="shared" si="84"/>
        <v>-0.17593360995849716</v>
      </c>
      <c r="L939" s="31">
        <f t="shared" si="85"/>
        <v>5.5600000000000591</v>
      </c>
      <c r="M939" s="30">
        <f t="shared" si="86"/>
        <v>9.2282157676349535E-3</v>
      </c>
      <c r="N939" s="20" t="str">
        <f t="shared" si="89"/>
        <v>High volume</v>
      </c>
      <c r="O939" s="32">
        <f t="shared" si="87"/>
        <v>481.15199999999999</v>
      </c>
      <c r="P939" s="20">
        <f t="shared" si="88"/>
        <v>9</v>
      </c>
      <c r="Q939" s="20" t="str" cm="1">
        <f t="array" ref="Q939">_xlfn.IFS(P939&lt;=3,"Q1",P939&lt;=6,"Q2",P939&lt;=9,"Q3",P939&lt;=12,"Q4")</f>
        <v>Q3</v>
      </c>
    </row>
    <row r="940" spans="1:17" x14ac:dyDescent="0.25">
      <c r="A940" s="8">
        <v>45922</v>
      </c>
      <c r="B940" s="9" t="s">
        <v>73</v>
      </c>
      <c r="C940" s="9" t="s">
        <v>74</v>
      </c>
      <c r="D940" s="9" t="s">
        <v>75</v>
      </c>
      <c r="E940" s="10">
        <v>78.75</v>
      </c>
      <c r="F940" s="10">
        <v>78.92</v>
      </c>
      <c r="G940" s="10">
        <v>78.61</v>
      </c>
      <c r="H940" s="10">
        <v>78.69</v>
      </c>
      <c r="I940" s="11">
        <v>4095035</v>
      </c>
      <c r="J940" s="10">
        <v>17311800000</v>
      </c>
      <c r="K940" s="30">
        <f t="shared" si="84"/>
        <v>-7.619047619047907E-2</v>
      </c>
      <c r="L940" s="31">
        <f t="shared" si="85"/>
        <v>0.31000000000000227</v>
      </c>
      <c r="M940" s="30">
        <f t="shared" si="86"/>
        <v>3.9365079365079655E-3</v>
      </c>
      <c r="N940" s="20" t="str">
        <f t="shared" si="89"/>
        <v>High volume</v>
      </c>
      <c r="O940" s="32">
        <f t="shared" si="87"/>
        <v>17.311800000000002</v>
      </c>
      <c r="P940" s="20">
        <f t="shared" si="88"/>
        <v>9</v>
      </c>
      <c r="Q940" s="20" t="str" cm="1">
        <f t="array" ref="Q940">_xlfn.IFS(P940&lt;=3,"Q1",P940&lt;=6,"Q2",P940&lt;=9,"Q3",P940&lt;=12,"Q4")</f>
        <v>Q3</v>
      </c>
    </row>
    <row r="941" spans="1:17" x14ac:dyDescent="0.25">
      <c r="A941" s="14">
        <v>45922</v>
      </c>
      <c r="B941" s="15" t="s">
        <v>76</v>
      </c>
      <c r="C941" s="15" t="s">
        <v>77</v>
      </c>
      <c r="D941" s="15" t="s">
        <v>75</v>
      </c>
      <c r="E941" s="16">
        <v>146.91999999999999</v>
      </c>
      <c r="F941" s="16">
        <v>148.04</v>
      </c>
      <c r="G941" s="16">
        <v>146.54</v>
      </c>
      <c r="H941" s="16">
        <v>147.63</v>
      </c>
      <c r="I941" s="17">
        <v>2686409</v>
      </c>
      <c r="J941" s="16">
        <v>29526000000</v>
      </c>
      <c r="K941" s="30">
        <f t="shared" si="84"/>
        <v>0.48325619384699703</v>
      </c>
      <c r="L941" s="31">
        <f t="shared" si="85"/>
        <v>1.5</v>
      </c>
      <c r="M941" s="30">
        <f t="shared" si="86"/>
        <v>1.020963789817588E-2</v>
      </c>
      <c r="N941" s="20" t="str">
        <f t="shared" si="89"/>
        <v>High volume</v>
      </c>
      <c r="O941" s="32">
        <f t="shared" si="87"/>
        <v>29.526</v>
      </c>
      <c r="P941" s="20">
        <f t="shared" si="88"/>
        <v>9</v>
      </c>
      <c r="Q941" s="20" t="str" cm="1">
        <f t="array" ref="Q941">_xlfn.IFS(P941&lt;=3,"Q1",P941&lt;=6,"Q2",P941&lt;=9,"Q3",P941&lt;=12,"Q4")</f>
        <v>Q3</v>
      </c>
    </row>
    <row r="942" spans="1:17" x14ac:dyDescent="0.25">
      <c r="A942" s="8">
        <v>45923</v>
      </c>
      <c r="B942" s="9" t="s">
        <v>60</v>
      </c>
      <c r="C942" s="9" t="s">
        <v>61</v>
      </c>
      <c r="D942" s="9" t="s">
        <v>62</v>
      </c>
      <c r="E942" s="10">
        <v>2080.44</v>
      </c>
      <c r="F942" s="10">
        <v>2091.8200000000002</v>
      </c>
      <c r="G942" s="10">
        <v>2066.34</v>
      </c>
      <c r="H942" s="10">
        <v>2073.9899999999998</v>
      </c>
      <c r="I942" s="11">
        <v>2161320</v>
      </c>
      <c r="J942" s="10">
        <v>2903586000000</v>
      </c>
      <c r="K942" s="30">
        <f t="shared" si="84"/>
        <v>-0.31003057045626276</v>
      </c>
      <c r="L942" s="31">
        <f t="shared" si="85"/>
        <v>25.480000000000018</v>
      </c>
      <c r="M942" s="30">
        <f t="shared" si="86"/>
        <v>1.2247409201899607E-2</v>
      </c>
      <c r="N942" s="20" t="str">
        <f t="shared" si="89"/>
        <v>High volume</v>
      </c>
      <c r="O942" s="32">
        <f t="shared" si="87"/>
        <v>2903.5859999999998</v>
      </c>
      <c r="P942" s="20">
        <f t="shared" si="88"/>
        <v>9</v>
      </c>
      <c r="Q942" s="20" t="str" cm="1">
        <f t="array" ref="Q942">_xlfn.IFS(P942&lt;=3,"Q1",P942&lt;=6,"Q2",P942&lt;=9,"Q3",P942&lt;=12,"Q4")</f>
        <v>Q3</v>
      </c>
    </row>
    <row r="943" spans="1:17" x14ac:dyDescent="0.25">
      <c r="A943" s="14">
        <v>45923</v>
      </c>
      <c r="B943" s="15" t="s">
        <v>65</v>
      </c>
      <c r="C943" s="15" t="s">
        <v>66</v>
      </c>
      <c r="D943" s="15" t="s">
        <v>67</v>
      </c>
      <c r="E943" s="16">
        <v>224.09</v>
      </c>
      <c r="F943" s="16">
        <v>224.43</v>
      </c>
      <c r="G943" s="16">
        <v>222.57</v>
      </c>
      <c r="H943" s="16">
        <v>224.01</v>
      </c>
      <c r="I943" s="17">
        <v>2614896</v>
      </c>
      <c r="J943" s="16">
        <v>56002500000</v>
      </c>
      <c r="K943" s="30">
        <f t="shared" si="84"/>
        <v>-3.5699941987599848E-2</v>
      </c>
      <c r="L943" s="31">
        <f t="shared" si="85"/>
        <v>1.8600000000000136</v>
      </c>
      <c r="M943" s="30">
        <f t="shared" si="86"/>
        <v>8.3002365121157291E-3</v>
      </c>
      <c r="N943" s="20" t="str">
        <f t="shared" si="89"/>
        <v>High volume</v>
      </c>
      <c r="O943" s="32">
        <f t="shared" si="87"/>
        <v>56.002499999999998</v>
      </c>
      <c r="P943" s="20">
        <f t="shared" si="88"/>
        <v>9</v>
      </c>
      <c r="Q943" s="20" t="str" cm="1">
        <f t="array" ref="Q943">_xlfn.IFS(P943&lt;=3,"Q1",P943&lt;=6,"Q2",P943&lt;=9,"Q3",P943&lt;=12,"Q4")</f>
        <v>Q3</v>
      </c>
    </row>
    <row r="944" spans="1:17" x14ac:dyDescent="0.25">
      <c r="A944" s="8">
        <v>45923</v>
      </c>
      <c r="B944" s="9" t="s">
        <v>69</v>
      </c>
      <c r="C944" s="9" t="s">
        <v>70</v>
      </c>
      <c r="D944" s="9" t="s">
        <v>71</v>
      </c>
      <c r="E944" s="10">
        <v>610.99</v>
      </c>
      <c r="F944" s="10">
        <v>613.84</v>
      </c>
      <c r="G944" s="10">
        <v>605.24</v>
      </c>
      <c r="H944" s="10">
        <v>606.04999999999995</v>
      </c>
      <c r="I944" s="11">
        <v>4161861</v>
      </c>
      <c r="J944" s="10">
        <v>484840000000</v>
      </c>
      <c r="K944" s="30">
        <f t="shared" si="84"/>
        <v>-0.80852387109446222</v>
      </c>
      <c r="L944" s="31">
        <f t="shared" si="85"/>
        <v>8.6000000000000227</v>
      </c>
      <c r="M944" s="30">
        <f t="shared" si="86"/>
        <v>1.4075516784235458E-2</v>
      </c>
      <c r="N944" s="20" t="str">
        <f t="shared" si="89"/>
        <v>High volume</v>
      </c>
      <c r="O944" s="32">
        <f t="shared" si="87"/>
        <v>484.84</v>
      </c>
      <c r="P944" s="20">
        <f t="shared" si="88"/>
        <v>9</v>
      </c>
      <c r="Q944" s="20" t="str" cm="1">
        <f t="array" ref="Q944">_xlfn.IFS(P944&lt;=3,"Q1",P944&lt;=6,"Q2",P944&lt;=9,"Q3",P944&lt;=12,"Q4")</f>
        <v>Q3</v>
      </c>
    </row>
    <row r="945" spans="1:17" x14ac:dyDescent="0.25">
      <c r="A945" s="14">
        <v>45923</v>
      </c>
      <c r="B945" s="15" t="s">
        <v>73</v>
      </c>
      <c r="C945" s="15" t="s">
        <v>74</v>
      </c>
      <c r="D945" s="15" t="s">
        <v>75</v>
      </c>
      <c r="E945" s="16">
        <v>78.05</v>
      </c>
      <c r="F945" s="16">
        <v>78.260000000000005</v>
      </c>
      <c r="G945" s="16">
        <v>77.78</v>
      </c>
      <c r="H945" s="16">
        <v>77.959999999999994</v>
      </c>
      <c r="I945" s="17">
        <v>2395951</v>
      </c>
      <c r="J945" s="16">
        <v>17151200000</v>
      </c>
      <c r="K945" s="30">
        <f t="shared" si="84"/>
        <v>-0.11531069827034389</v>
      </c>
      <c r="L945" s="31">
        <f t="shared" si="85"/>
        <v>0.48000000000000398</v>
      </c>
      <c r="M945" s="30">
        <f t="shared" si="86"/>
        <v>6.1499039077514929E-3</v>
      </c>
      <c r="N945" s="20" t="str">
        <f t="shared" si="89"/>
        <v>High volume</v>
      </c>
      <c r="O945" s="32">
        <f t="shared" si="87"/>
        <v>17.151199999999999</v>
      </c>
      <c r="P945" s="20">
        <f t="shared" si="88"/>
        <v>9</v>
      </c>
      <c r="Q945" s="20" t="str" cm="1">
        <f t="array" ref="Q945">_xlfn.IFS(P945&lt;=3,"Q1",P945&lt;=6,"Q2",P945&lt;=9,"Q3",P945&lt;=12,"Q4")</f>
        <v>Q3</v>
      </c>
    </row>
    <row r="946" spans="1:17" x14ac:dyDescent="0.25">
      <c r="A946" s="8">
        <v>45923</v>
      </c>
      <c r="B946" s="9" t="s">
        <v>76</v>
      </c>
      <c r="C946" s="9" t="s">
        <v>77</v>
      </c>
      <c r="D946" s="9" t="s">
        <v>75</v>
      </c>
      <c r="E946" s="10">
        <v>148.09</v>
      </c>
      <c r="F946" s="10">
        <v>150.24</v>
      </c>
      <c r="G946" s="10">
        <v>147.09</v>
      </c>
      <c r="H946" s="10">
        <v>149.97999999999999</v>
      </c>
      <c r="I946" s="11">
        <v>947613</v>
      </c>
      <c r="J946" s="10">
        <v>29996000000</v>
      </c>
      <c r="K946" s="30">
        <f t="shared" si="84"/>
        <v>1.2762509284894228</v>
      </c>
      <c r="L946" s="31">
        <f t="shared" si="85"/>
        <v>3.1500000000000057</v>
      </c>
      <c r="M946" s="30">
        <f t="shared" si="86"/>
        <v>2.1270848808157241E-2</v>
      </c>
      <c r="N946" s="20" t="str">
        <f t="shared" si="89"/>
        <v>Normal</v>
      </c>
      <c r="O946" s="32">
        <f t="shared" si="87"/>
        <v>29.995999999999999</v>
      </c>
      <c r="P946" s="20">
        <f t="shared" si="88"/>
        <v>9</v>
      </c>
      <c r="Q946" s="20" t="str" cm="1">
        <f t="array" ref="Q946">_xlfn.IFS(P946&lt;=3,"Q1",P946&lt;=6,"Q2",P946&lt;=9,"Q3",P946&lt;=12,"Q4")</f>
        <v>Q3</v>
      </c>
    </row>
    <row r="947" spans="1:17" x14ac:dyDescent="0.25">
      <c r="A947" s="14">
        <v>45924</v>
      </c>
      <c r="B947" s="15" t="s">
        <v>60</v>
      </c>
      <c r="C947" s="15" t="s">
        <v>61</v>
      </c>
      <c r="D947" s="15" t="s">
        <v>62</v>
      </c>
      <c r="E947" s="16">
        <v>2091.56</v>
      </c>
      <c r="F947" s="16">
        <v>2096.4699999999998</v>
      </c>
      <c r="G947" s="16">
        <v>2062.27</v>
      </c>
      <c r="H947" s="16">
        <v>2068.1799999999998</v>
      </c>
      <c r="I947" s="17">
        <v>1099971</v>
      </c>
      <c r="J947" s="16">
        <v>2895452000000</v>
      </c>
      <c r="K947" s="30">
        <f t="shared" si="84"/>
        <v>-1.1178259289716819</v>
      </c>
      <c r="L947" s="31">
        <f t="shared" si="85"/>
        <v>34.199999999999818</v>
      </c>
      <c r="M947" s="30">
        <f t="shared" si="86"/>
        <v>1.6351431467421358E-2</v>
      </c>
      <c r="N947" s="20" t="str">
        <f t="shared" si="89"/>
        <v>Normal</v>
      </c>
      <c r="O947" s="32">
        <f t="shared" si="87"/>
        <v>2895.4520000000002</v>
      </c>
      <c r="P947" s="20">
        <f t="shared" si="88"/>
        <v>9</v>
      </c>
      <c r="Q947" s="20" t="str" cm="1">
        <f t="array" ref="Q947">_xlfn.IFS(P947&lt;=3,"Q1",P947&lt;=6,"Q2",P947&lt;=9,"Q3",P947&lt;=12,"Q4")</f>
        <v>Q3</v>
      </c>
    </row>
    <row r="948" spans="1:17" x14ac:dyDescent="0.25">
      <c r="A948" s="8">
        <v>45924</v>
      </c>
      <c r="B948" s="9" t="s">
        <v>65</v>
      </c>
      <c r="C948" s="9" t="s">
        <v>66</v>
      </c>
      <c r="D948" s="9" t="s">
        <v>67</v>
      </c>
      <c r="E948" s="10">
        <v>221.71</v>
      </c>
      <c r="F948" s="10">
        <v>222.55</v>
      </c>
      <c r="G948" s="10">
        <v>221.43</v>
      </c>
      <c r="H948" s="10">
        <v>221.52</v>
      </c>
      <c r="I948" s="11">
        <v>769113</v>
      </c>
      <c r="J948" s="10">
        <v>55380000000</v>
      </c>
      <c r="K948" s="30">
        <f t="shared" si="84"/>
        <v>-8.5697532813133248E-2</v>
      </c>
      <c r="L948" s="31">
        <f t="shared" si="85"/>
        <v>1.1200000000000045</v>
      </c>
      <c r="M948" s="30">
        <f t="shared" si="86"/>
        <v>5.0516440395110933E-3</v>
      </c>
      <c r="N948" s="20" t="str">
        <f t="shared" si="89"/>
        <v>Normal</v>
      </c>
      <c r="O948" s="32">
        <f t="shared" si="87"/>
        <v>55.38</v>
      </c>
      <c r="P948" s="20">
        <f t="shared" si="88"/>
        <v>9</v>
      </c>
      <c r="Q948" s="20" t="str" cm="1">
        <f t="array" ref="Q948">_xlfn.IFS(P948&lt;=3,"Q1",P948&lt;=6,"Q2",P948&lt;=9,"Q3",P948&lt;=12,"Q4")</f>
        <v>Q3</v>
      </c>
    </row>
    <row r="949" spans="1:17" x14ac:dyDescent="0.25">
      <c r="A949" s="14">
        <v>45924</v>
      </c>
      <c r="B949" s="15" t="s">
        <v>69</v>
      </c>
      <c r="C949" s="15" t="s">
        <v>70</v>
      </c>
      <c r="D949" s="15" t="s">
        <v>71</v>
      </c>
      <c r="E949" s="16">
        <v>594.34</v>
      </c>
      <c r="F949" s="16">
        <v>598.12</v>
      </c>
      <c r="G949" s="16">
        <v>592.32000000000005</v>
      </c>
      <c r="H949" s="16">
        <v>597.41999999999996</v>
      </c>
      <c r="I949" s="17">
        <v>3943209</v>
      </c>
      <c r="J949" s="16">
        <v>477936000000</v>
      </c>
      <c r="K949" s="30">
        <f t="shared" si="84"/>
        <v>0.5182218931924365</v>
      </c>
      <c r="L949" s="31">
        <f t="shared" si="85"/>
        <v>5.7999999999999545</v>
      </c>
      <c r="M949" s="30">
        <f t="shared" si="86"/>
        <v>9.7587239627148666E-3</v>
      </c>
      <c r="N949" s="20" t="str">
        <f t="shared" si="89"/>
        <v>High volume</v>
      </c>
      <c r="O949" s="32">
        <f t="shared" si="87"/>
        <v>477.93599999999998</v>
      </c>
      <c r="P949" s="20">
        <f t="shared" si="88"/>
        <v>9</v>
      </c>
      <c r="Q949" s="20" t="str" cm="1">
        <f t="array" ref="Q949">_xlfn.IFS(P949&lt;=3,"Q1",P949&lt;=6,"Q2",P949&lt;=9,"Q3",P949&lt;=12,"Q4")</f>
        <v>Q3</v>
      </c>
    </row>
    <row r="950" spans="1:17" x14ac:dyDescent="0.25">
      <c r="A950" s="8">
        <v>45924</v>
      </c>
      <c r="B950" s="9" t="s">
        <v>73</v>
      </c>
      <c r="C950" s="9" t="s">
        <v>74</v>
      </c>
      <c r="D950" s="9" t="s">
        <v>75</v>
      </c>
      <c r="E950" s="10">
        <v>75.94</v>
      </c>
      <c r="F950" s="10">
        <v>76.55</v>
      </c>
      <c r="G950" s="10">
        <v>75.64</v>
      </c>
      <c r="H950" s="10">
        <v>76.23</v>
      </c>
      <c r="I950" s="11">
        <v>395918</v>
      </c>
      <c r="J950" s="10">
        <v>16770600000</v>
      </c>
      <c r="K950" s="30">
        <f t="shared" si="84"/>
        <v>0.38188043191994508</v>
      </c>
      <c r="L950" s="31">
        <f t="shared" si="85"/>
        <v>0.90999999999999659</v>
      </c>
      <c r="M950" s="30">
        <f t="shared" si="86"/>
        <v>1.1983144587832454E-2</v>
      </c>
      <c r="N950" s="20" t="str">
        <f t="shared" si="89"/>
        <v>Normal</v>
      </c>
      <c r="O950" s="32">
        <f t="shared" si="87"/>
        <v>16.770600000000002</v>
      </c>
      <c r="P950" s="20">
        <f t="shared" si="88"/>
        <v>9</v>
      </c>
      <c r="Q950" s="20" t="str" cm="1">
        <f t="array" ref="Q950">_xlfn.IFS(P950&lt;=3,"Q1",P950&lt;=6,"Q2",P950&lt;=9,"Q3",P950&lt;=12,"Q4")</f>
        <v>Q3</v>
      </c>
    </row>
    <row r="951" spans="1:17" x14ac:dyDescent="0.25">
      <c r="A951" s="14">
        <v>45924</v>
      </c>
      <c r="B951" s="15" t="s">
        <v>76</v>
      </c>
      <c r="C951" s="15" t="s">
        <v>77</v>
      </c>
      <c r="D951" s="15" t="s">
        <v>75</v>
      </c>
      <c r="E951" s="16">
        <v>148.83000000000001</v>
      </c>
      <c r="F951" s="16">
        <v>149.94999999999999</v>
      </c>
      <c r="G951" s="16">
        <v>147.57</v>
      </c>
      <c r="H951" s="16">
        <v>147.69999999999999</v>
      </c>
      <c r="I951" s="17">
        <v>4698846</v>
      </c>
      <c r="J951" s="16">
        <v>29540000000</v>
      </c>
      <c r="K951" s="30">
        <f t="shared" si="84"/>
        <v>-0.75925552643957783</v>
      </c>
      <c r="L951" s="31">
        <f t="shared" si="85"/>
        <v>2.3799999999999955</v>
      </c>
      <c r="M951" s="30">
        <f t="shared" si="86"/>
        <v>1.599139958341729E-2</v>
      </c>
      <c r="N951" s="20" t="str">
        <f t="shared" si="89"/>
        <v>High volume</v>
      </c>
      <c r="O951" s="32">
        <f t="shared" si="87"/>
        <v>29.54</v>
      </c>
      <c r="P951" s="20">
        <f t="shared" si="88"/>
        <v>9</v>
      </c>
      <c r="Q951" s="20" t="str" cm="1">
        <f t="array" ref="Q951">_xlfn.IFS(P951&lt;=3,"Q1",P951&lt;=6,"Q2",P951&lt;=9,"Q3",P951&lt;=12,"Q4")</f>
        <v>Q3</v>
      </c>
    </row>
    <row r="952" spans="1:17" x14ac:dyDescent="0.25">
      <c r="A952" s="8">
        <v>45925</v>
      </c>
      <c r="B952" s="9" t="s">
        <v>60</v>
      </c>
      <c r="C952" s="9" t="s">
        <v>61</v>
      </c>
      <c r="D952" s="9" t="s">
        <v>62</v>
      </c>
      <c r="E952" s="10">
        <v>2105.96</v>
      </c>
      <c r="F952" s="10">
        <v>2111.33</v>
      </c>
      <c r="G952" s="10">
        <v>2094.2199999999998</v>
      </c>
      <c r="H952" s="10">
        <v>2098</v>
      </c>
      <c r="I952" s="11">
        <v>723790</v>
      </c>
      <c r="J952" s="10">
        <v>2937200000000</v>
      </c>
      <c r="K952" s="30">
        <f t="shared" si="84"/>
        <v>-0.37797489031130865</v>
      </c>
      <c r="L952" s="31">
        <f t="shared" si="85"/>
        <v>17.110000000000127</v>
      </c>
      <c r="M952" s="30">
        <f t="shared" si="86"/>
        <v>8.1245607703850625E-3</v>
      </c>
      <c r="N952" s="20" t="str">
        <f t="shared" si="89"/>
        <v>Normal</v>
      </c>
      <c r="O952" s="32">
        <f t="shared" si="87"/>
        <v>2937.2</v>
      </c>
      <c r="P952" s="20">
        <f t="shared" si="88"/>
        <v>9</v>
      </c>
      <c r="Q952" s="20" t="str" cm="1">
        <f t="array" ref="Q952">_xlfn.IFS(P952&lt;=3,"Q1",P952&lt;=6,"Q2",P952&lt;=9,"Q3",P952&lt;=12,"Q4")</f>
        <v>Q3</v>
      </c>
    </row>
    <row r="953" spans="1:17" x14ac:dyDescent="0.25">
      <c r="A953" s="14">
        <v>45925</v>
      </c>
      <c r="B953" s="15" t="s">
        <v>65</v>
      </c>
      <c r="C953" s="15" t="s">
        <v>66</v>
      </c>
      <c r="D953" s="15" t="s">
        <v>67</v>
      </c>
      <c r="E953" s="16">
        <v>224.73</v>
      </c>
      <c r="F953" s="16">
        <v>227.59</v>
      </c>
      <c r="G953" s="16">
        <v>219.23</v>
      </c>
      <c r="H953" s="16">
        <v>227.35</v>
      </c>
      <c r="I953" s="17">
        <v>4533976</v>
      </c>
      <c r="J953" s="16">
        <v>56837500000</v>
      </c>
      <c r="K953" s="30">
        <f t="shared" si="84"/>
        <v>1.1658434565923574</v>
      </c>
      <c r="L953" s="31">
        <f t="shared" si="85"/>
        <v>8.3600000000000136</v>
      </c>
      <c r="M953" s="30">
        <f t="shared" si="86"/>
        <v>3.7200195790504223E-2</v>
      </c>
      <c r="N953" s="20" t="str">
        <f t="shared" si="89"/>
        <v>High volume</v>
      </c>
      <c r="O953" s="32">
        <f t="shared" si="87"/>
        <v>56.837499999999999</v>
      </c>
      <c r="P953" s="20">
        <f t="shared" si="88"/>
        <v>9</v>
      </c>
      <c r="Q953" s="20" t="str" cm="1">
        <f t="array" ref="Q953">_xlfn.IFS(P953&lt;=3,"Q1",P953&lt;=6,"Q2",P953&lt;=9,"Q3",P953&lt;=12,"Q4")</f>
        <v>Q3</v>
      </c>
    </row>
    <row r="954" spans="1:17" x14ac:dyDescent="0.25">
      <c r="A954" s="8">
        <v>45925</v>
      </c>
      <c r="B954" s="9" t="s">
        <v>69</v>
      </c>
      <c r="C954" s="9" t="s">
        <v>70</v>
      </c>
      <c r="D954" s="9" t="s">
        <v>71</v>
      </c>
      <c r="E954" s="10">
        <v>605.58000000000004</v>
      </c>
      <c r="F954" s="10">
        <v>608.34</v>
      </c>
      <c r="G954" s="10">
        <v>604.96</v>
      </c>
      <c r="H954" s="10">
        <v>606.1</v>
      </c>
      <c r="I954" s="11">
        <v>4291758</v>
      </c>
      <c r="J954" s="10">
        <v>484880000000</v>
      </c>
      <c r="K954" s="30">
        <f t="shared" si="84"/>
        <v>8.586809339806166E-2</v>
      </c>
      <c r="L954" s="31">
        <f t="shared" si="85"/>
        <v>3.3799999999999955</v>
      </c>
      <c r="M954" s="30">
        <f t="shared" si="86"/>
        <v>5.581426070874195E-3</v>
      </c>
      <c r="N954" s="20" t="str">
        <f t="shared" si="89"/>
        <v>High volume</v>
      </c>
      <c r="O954" s="32">
        <f t="shared" si="87"/>
        <v>484.88</v>
      </c>
      <c r="P954" s="20">
        <f t="shared" si="88"/>
        <v>9</v>
      </c>
      <c r="Q954" s="20" t="str" cm="1">
        <f t="array" ref="Q954">_xlfn.IFS(P954&lt;=3,"Q1",P954&lt;=6,"Q2",P954&lt;=9,"Q3",P954&lt;=12,"Q4")</f>
        <v>Q3</v>
      </c>
    </row>
    <row r="955" spans="1:17" x14ac:dyDescent="0.25">
      <c r="A955" s="14">
        <v>45925</v>
      </c>
      <c r="B955" s="15" t="s">
        <v>73</v>
      </c>
      <c r="C955" s="15" t="s">
        <v>74</v>
      </c>
      <c r="D955" s="15" t="s">
        <v>75</v>
      </c>
      <c r="E955" s="16">
        <v>75.61</v>
      </c>
      <c r="F955" s="16">
        <v>75.78</v>
      </c>
      <c r="G955" s="16">
        <v>75.53</v>
      </c>
      <c r="H955" s="16">
        <v>75.63</v>
      </c>
      <c r="I955" s="17">
        <v>1013694</v>
      </c>
      <c r="J955" s="16">
        <v>16638600000</v>
      </c>
      <c r="K955" s="30">
        <f t="shared" si="84"/>
        <v>2.6451527575712237E-2</v>
      </c>
      <c r="L955" s="31">
        <f t="shared" si="85"/>
        <v>0.25</v>
      </c>
      <c r="M955" s="30">
        <f t="shared" si="86"/>
        <v>3.3064409469646871E-3</v>
      </c>
      <c r="N955" s="20" t="str">
        <f t="shared" si="89"/>
        <v>Normal</v>
      </c>
      <c r="O955" s="32">
        <f t="shared" si="87"/>
        <v>16.6386</v>
      </c>
      <c r="P955" s="20">
        <f t="shared" si="88"/>
        <v>9</v>
      </c>
      <c r="Q955" s="20" t="str" cm="1">
        <f t="array" ref="Q955">_xlfn.IFS(P955&lt;=3,"Q1",P955&lt;=6,"Q2",P955&lt;=9,"Q3",P955&lt;=12,"Q4")</f>
        <v>Q3</v>
      </c>
    </row>
    <row r="956" spans="1:17" x14ac:dyDescent="0.25">
      <c r="A956" s="8">
        <v>45925</v>
      </c>
      <c r="B956" s="9" t="s">
        <v>76</v>
      </c>
      <c r="C956" s="9" t="s">
        <v>77</v>
      </c>
      <c r="D956" s="9" t="s">
        <v>75</v>
      </c>
      <c r="E956" s="10">
        <v>145.83000000000001</v>
      </c>
      <c r="F956" s="10">
        <v>146.57</v>
      </c>
      <c r="G956" s="10">
        <v>145.19</v>
      </c>
      <c r="H956" s="10">
        <v>145.85</v>
      </c>
      <c r="I956" s="11">
        <v>1961854</v>
      </c>
      <c r="J956" s="10">
        <v>29170000000</v>
      </c>
      <c r="K956" s="30">
        <f t="shared" si="84"/>
        <v>1.3714599190826172E-2</v>
      </c>
      <c r="L956" s="31">
        <f t="shared" si="85"/>
        <v>1.3799999999999955</v>
      </c>
      <c r="M956" s="30">
        <f t="shared" si="86"/>
        <v>9.4630734416786353E-3</v>
      </c>
      <c r="N956" s="20" t="str">
        <f t="shared" si="89"/>
        <v>Normal</v>
      </c>
      <c r="O956" s="32">
        <f t="shared" si="87"/>
        <v>29.17</v>
      </c>
      <c r="P956" s="20">
        <f t="shared" si="88"/>
        <v>9</v>
      </c>
      <c r="Q956" s="20" t="str" cm="1">
        <f t="array" ref="Q956">_xlfn.IFS(P956&lt;=3,"Q1",P956&lt;=6,"Q2",P956&lt;=9,"Q3",P956&lt;=12,"Q4")</f>
        <v>Q3</v>
      </c>
    </row>
    <row r="957" spans="1:17" x14ac:dyDescent="0.25">
      <c r="A957" s="14">
        <v>45926</v>
      </c>
      <c r="B957" s="15" t="s">
        <v>60</v>
      </c>
      <c r="C957" s="15" t="s">
        <v>61</v>
      </c>
      <c r="D957" s="15" t="s">
        <v>62</v>
      </c>
      <c r="E957" s="16">
        <v>2047.93</v>
      </c>
      <c r="F957" s="16">
        <v>2071.67</v>
      </c>
      <c r="G957" s="16">
        <v>2046.12</v>
      </c>
      <c r="H957" s="16">
        <v>2051.13</v>
      </c>
      <c r="I957" s="17">
        <v>4697709</v>
      </c>
      <c r="J957" s="16">
        <v>2871582000000</v>
      </c>
      <c r="K957" s="30">
        <f t="shared" si="84"/>
        <v>0.15625534075871955</v>
      </c>
      <c r="L957" s="31">
        <f t="shared" si="85"/>
        <v>25.550000000000182</v>
      </c>
      <c r="M957" s="30">
        <f t="shared" si="86"/>
        <v>1.2476012363703926E-2</v>
      </c>
      <c r="N957" s="20" t="str">
        <f t="shared" si="89"/>
        <v>High volume</v>
      </c>
      <c r="O957" s="32">
        <f t="shared" si="87"/>
        <v>2871.5819999999999</v>
      </c>
      <c r="P957" s="20">
        <f t="shared" si="88"/>
        <v>9</v>
      </c>
      <c r="Q957" s="20" t="str" cm="1">
        <f t="array" ref="Q957">_xlfn.IFS(P957&lt;=3,"Q1",P957&lt;=6,"Q2",P957&lt;=9,"Q3",P957&lt;=12,"Q4")</f>
        <v>Q3</v>
      </c>
    </row>
    <row r="958" spans="1:17" x14ac:dyDescent="0.25">
      <c r="A958" s="8">
        <v>45926</v>
      </c>
      <c r="B958" s="9" t="s">
        <v>65</v>
      </c>
      <c r="C958" s="9" t="s">
        <v>66</v>
      </c>
      <c r="D958" s="9" t="s">
        <v>67</v>
      </c>
      <c r="E958" s="10">
        <v>227.43</v>
      </c>
      <c r="F958" s="10">
        <v>228.13</v>
      </c>
      <c r="G958" s="10">
        <v>227.16</v>
      </c>
      <c r="H958" s="10">
        <v>228.06</v>
      </c>
      <c r="I958" s="11">
        <v>1051574</v>
      </c>
      <c r="J958" s="10">
        <v>57015000000</v>
      </c>
      <c r="K958" s="30">
        <f t="shared" si="84"/>
        <v>0.2770083102493055</v>
      </c>
      <c r="L958" s="31">
        <f t="shared" si="85"/>
        <v>0.96999999999999886</v>
      </c>
      <c r="M958" s="30">
        <f t="shared" si="86"/>
        <v>4.2650485863782207E-3</v>
      </c>
      <c r="N958" s="20" t="str">
        <f t="shared" si="89"/>
        <v>Normal</v>
      </c>
      <c r="O958" s="32">
        <f t="shared" si="87"/>
        <v>57.015000000000001</v>
      </c>
      <c r="P958" s="20">
        <f t="shared" si="88"/>
        <v>9</v>
      </c>
      <c r="Q958" s="20" t="str" cm="1">
        <f t="array" ref="Q958">_xlfn.IFS(P958&lt;=3,"Q1",P958&lt;=6,"Q2",P958&lt;=9,"Q3",P958&lt;=12,"Q4")</f>
        <v>Q3</v>
      </c>
    </row>
    <row r="959" spans="1:17" x14ac:dyDescent="0.25">
      <c r="A959" s="14">
        <v>45926</v>
      </c>
      <c r="B959" s="15" t="s">
        <v>69</v>
      </c>
      <c r="C959" s="15" t="s">
        <v>70</v>
      </c>
      <c r="D959" s="15" t="s">
        <v>71</v>
      </c>
      <c r="E959" s="16">
        <v>598.29999999999995</v>
      </c>
      <c r="F959" s="16">
        <v>602.05999999999995</v>
      </c>
      <c r="G959" s="16">
        <v>595.09</v>
      </c>
      <c r="H959" s="16">
        <v>597.64</v>
      </c>
      <c r="I959" s="17">
        <v>1897943</v>
      </c>
      <c r="J959" s="16">
        <v>478112000000</v>
      </c>
      <c r="K959" s="30">
        <f t="shared" si="84"/>
        <v>-0.11031255223131677</v>
      </c>
      <c r="L959" s="31">
        <f t="shared" si="85"/>
        <v>6.9699999999999136</v>
      </c>
      <c r="M959" s="30">
        <f t="shared" si="86"/>
        <v>1.1649674076550083E-2</v>
      </c>
      <c r="N959" s="20" t="str">
        <f t="shared" si="89"/>
        <v>Normal</v>
      </c>
      <c r="O959" s="32">
        <f t="shared" si="87"/>
        <v>478.11200000000002</v>
      </c>
      <c r="P959" s="20">
        <f t="shared" si="88"/>
        <v>9</v>
      </c>
      <c r="Q959" s="20" t="str" cm="1">
        <f t="array" ref="Q959">_xlfn.IFS(P959&lt;=3,"Q1",P959&lt;=6,"Q2",P959&lt;=9,"Q3",P959&lt;=12,"Q4")</f>
        <v>Q3</v>
      </c>
    </row>
    <row r="960" spans="1:17" x14ac:dyDescent="0.25">
      <c r="A960" s="8">
        <v>45926</v>
      </c>
      <c r="B960" s="9" t="s">
        <v>73</v>
      </c>
      <c r="C960" s="9" t="s">
        <v>74</v>
      </c>
      <c r="D960" s="9" t="s">
        <v>75</v>
      </c>
      <c r="E960" s="10">
        <v>74.989999999999995</v>
      </c>
      <c r="F960" s="10">
        <v>75.72</v>
      </c>
      <c r="G960" s="10">
        <v>74.48</v>
      </c>
      <c r="H960" s="10">
        <v>75.7</v>
      </c>
      <c r="I960" s="11">
        <v>4009527</v>
      </c>
      <c r="J960" s="10">
        <v>16654000000</v>
      </c>
      <c r="K960" s="30">
        <f t="shared" si="84"/>
        <v>0.94679290572077346</v>
      </c>
      <c r="L960" s="31">
        <f t="shared" si="85"/>
        <v>1.2399999999999949</v>
      </c>
      <c r="M960" s="30">
        <f t="shared" si="86"/>
        <v>1.6535538071742833E-2</v>
      </c>
      <c r="N960" s="20" t="str">
        <f t="shared" si="89"/>
        <v>High volume</v>
      </c>
      <c r="O960" s="32">
        <f t="shared" si="87"/>
        <v>16.654</v>
      </c>
      <c r="P960" s="20">
        <f t="shared" si="88"/>
        <v>9</v>
      </c>
      <c r="Q960" s="20" t="str" cm="1">
        <f t="array" ref="Q960">_xlfn.IFS(P960&lt;=3,"Q1",P960&lt;=6,"Q2",P960&lt;=9,"Q3",P960&lt;=12,"Q4")</f>
        <v>Q3</v>
      </c>
    </row>
    <row r="961" spans="1:17" x14ac:dyDescent="0.25">
      <c r="A961" s="14">
        <v>45926</v>
      </c>
      <c r="B961" s="15" t="s">
        <v>76</v>
      </c>
      <c r="C961" s="15" t="s">
        <v>77</v>
      </c>
      <c r="D961" s="15" t="s">
        <v>75</v>
      </c>
      <c r="E961" s="16">
        <v>146.16</v>
      </c>
      <c r="F961" s="16">
        <v>147.06</v>
      </c>
      <c r="G961" s="16">
        <v>145.28</v>
      </c>
      <c r="H961" s="16">
        <v>146.93</v>
      </c>
      <c r="I961" s="17">
        <v>2258652</v>
      </c>
      <c r="J961" s="16">
        <v>29386000000</v>
      </c>
      <c r="K961" s="30">
        <f t="shared" si="84"/>
        <v>0.52681992337165451</v>
      </c>
      <c r="L961" s="31">
        <f t="shared" si="85"/>
        <v>1.7800000000000011</v>
      </c>
      <c r="M961" s="30">
        <f t="shared" si="86"/>
        <v>1.2178434592227705E-2</v>
      </c>
      <c r="N961" s="20" t="str">
        <f t="shared" si="89"/>
        <v>High volume</v>
      </c>
      <c r="O961" s="32">
        <f t="shared" si="87"/>
        <v>29.385999999999999</v>
      </c>
      <c r="P961" s="20">
        <f t="shared" si="88"/>
        <v>9</v>
      </c>
      <c r="Q961" s="20" t="str" cm="1">
        <f t="array" ref="Q961">_xlfn.IFS(P961&lt;=3,"Q1",P961&lt;=6,"Q2",P961&lt;=9,"Q3",P961&lt;=12,"Q4")</f>
        <v>Q3</v>
      </c>
    </row>
    <row r="962" spans="1:17" x14ac:dyDescent="0.25">
      <c r="A962" s="8">
        <v>45929</v>
      </c>
      <c r="B962" s="9" t="s">
        <v>60</v>
      </c>
      <c r="C962" s="9" t="s">
        <v>61</v>
      </c>
      <c r="D962" s="9" t="s">
        <v>62</v>
      </c>
      <c r="E962" s="10">
        <v>2060.8000000000002</v>
      </c>
      <c r="F962" s="10">
        <v>2075.96</v>
      </c>
      <c r="G962" s="10">
        <v>2059.23</v>
      </c>
      <c r="H962" s="10">
        <v>2061.11</v>
      </c>
      <c r="I962" s="11">
        <v>757498</v>
      </c>
      <c r="J962" s="10">
        <v>2885554000000</v>
      </c>
      <c r="K962" s="30">
        <f t="shared" si="84"/>
        <v>1.5042701863351389E-2</v>
      </c>
      <c r="L962" s="31">
        <f t="shared" si="85"/>
        <v>16.730000000000018</v>
      </c>
      <c r="M962" s="30">
        <f t="shared" si="86"/>
        <v>8.1182065217391391E-3</v>
      </c>
      <c r="N962" s="20" t="str">
        <f t="shared" si="89"/>
        <v>Normal</v>
      </c>
      <c r="O962" s="32">
        <f t="shared" si="87"/>
        <v>2885.5540000000001</v>
      </c>
      <c r="P962" s="20">
        <f t="shared" si="88"/>
        <v>9</v>
      </c>
      <c r="Q962" s="20" t="str" cm="1">
        <f t="array" ref="Q962">_xlfn.IFS(P962&lt;=3,"Q1",P962&lt;=6,"Q2",P962&lt;=9,"Q3",P962&lt;=12,"Q4")</f>
        <v>Q3</v>
      </c>
    </row>
    <row r="963" spans="1:17" x14ac:dyDescent="0.25">
      <c r="A963" s="14">
        <v>45929</v>
      </c>
      <c r="B963" s="15" t="s">
        <v>65</v>
      </c>
      <c r="C963" s="15" t="s">
        <v>66</v>
      </c>
      <c r="D963" s="15" t="s">
        <v>67</v>
      </c>
      <c r="E963" s="16">
        <v>221.42</v>
      </c>
      <c r="F963" s="16">
        <v>221.53</v>
      </c>
      <c r="G963" s="16">
        <v>218.95</v>
      </c>
      <c r="H963" s="16">
        <v>219.33</v>
      </c>
      <c r="I963" s="17">
        <v>2713277</v>
      </c>
      <c r="J963" s="16">
        <v>54832500000</v>
      </c>
      <c r="K963" s="30">
        <f t="shared" ref="K963:K1026" si="90">((H963-E963)/E963)*100</f>
        <v>-0.94390750609699892</v>
      </c>
      <c r="L963" s="31">
        <f t="shared" ref="L963:L1026" si="91">F963-G963</f>
        <v>2.5800000000000125</v>
      </c>
      <c r="M963" s="30">
        <f t="shared" ref="M963:M1026" si="92">L963/E963</f>
        <v>1.1652063950862671E-2</v>
      </c>
      <c r="N963" s="20" t="str">
        <f t="shared" si="89"/>
        <v>High volume</v>
      </c>
      <c r="O963" s="32">
        <f t="shared" ref="O963:O1026" si="93">J963/1000000000</f>
        <v>54.832500000000003</v>
      </c>
      <c r="P963" s="20">
        <f t="shared" ref="P963:P1026" si="94">MONTH(A963)</f>
        <v>9</v>
      </c>
      <c r="Q963" s="20" t="str" cm="1">
        <f t="array" ref="Q963">_xlfn.IFS(P963&lt;=3,"Q1",P963&lt;=6,"Q2",P963&lt;=9,"Q3",P963&lt;=12,"Q4")</f>
        <v>Q3</v>
      </c>
    </row>
    <row r="964" spans="1:17" x14ac:dyDescent="0.25">
      <c r="A964" s="8">
        <v>45929</v>
      </c>
      <c r="B964" s="9" t="s">
        <v>69</v>
      </c>
      <c r="C964" s="9" t="s">
        <v>70</v>
      </c>
      <c r="D964" s="9" t="s">
        <v>71</v>
      </c>
      <c r="E964" s="10">
        <v>611.5</v>
      </c>
      <c r="F964" s="10">
        <v>612.15</v>
      </c>
      <c r="G964" s="10">
        <v>607.41</v>
      </c>
      <c r="H964" s="10">
        <v>607.52</v>
      </c>
      <c r="I964" s="11">
        <v>2053299</v>
      </c>
      <c r="J964" s="10">
        <v>486016000000</v>
      </c>
      <c r="K964" s="30">
        <f t="shared" si="90"/>
        <v>-0.6508585445625541</v>
      </c>
      <c r="L964" s="31">
        <f t="shared" si="91"/>
        <v>4.7400000000000091</v>
      </c>
      <c r="M964" s="30">
        <f t="shared" si="92"/>
        <v>7.751430907604267E-3</v>
      </c>
      <c r="N964" s="20" t="str">
        <f t="shared" ref="N964:N1027" si="95">IF(I964&gt;2000000,"High volume","Normal")</f>
        <v>High volume</v>
      </c>
      <c r="O964" s="32">
        <f t="shared" si="93"/>
        <v>486.01600000000002</v>
      </c>
      <c r="P964" s="20">
        <f t="shared" si="94"/>
        <v>9</v>
      </c>
      <c r="Q964" s="20" t="str" cm="1">
        <f t="array" ref="Q964">_xlfn.IFS(P964&lt;=3,"Q1",P964&lt;=6,"Q2",P964&lt;=9,"Q3",P964&lt;=12,"Q4")</f>
        <v>Q3</v>
      </c>
    </row>
    <row r="965" spans="1:17" x14ac:dyDescent="0.25">
      <c r="A965" s="14">
        <v>45929</v>
      </c>
      <c r="B965" s="15" t="s">
        <v>73</v>
      </c>
      <c r="C965" s="15" t="s">
        <v>74</v>
      </c>
      <c r="D965" s="15" t="s">
        <v>75</v>
      </c>
      <c r="E965" s="16">
        <v>76.510000000000005</v>
      </c>
      <c r="F965" s="16">
        <v>76.540000000000006</v>
      </c>
      <c r="G965" s="16">
        <v>76.09</v>
      </c>
      <c r="H965" s="16">
        <v>76.34</v>
      </c>
      <c r="I965" s="17">
        <v>2469780</v>
      </c>
      <c r="J965" s="16">
        <v>16794800000</v>
      </c>
      <c r="K965" s="30">
        <f t="shared" si="90"/>
        <v>-0.22219317736243849</v>
      </c>
      <c r="L965" s="31">
        <f t="shared" si="91"/>
        <v>0.45000000000000284</v>
      </c>
      <c r="M965" s="30">
        <f t="shared" si="92"/>
        <v>5.8815841066527617E-3</v>
      </c>
      <c r="N965" s="20" t="str">
        <f t="shared" si="95"/>
        <v>High volume</v>
      </c>
      <c r="O965" s="32">
        <f t="shared" si="93"/>
        <v>16.794799999999999</v>
      </c>
      <c r="P965" s="20">
        <f t="shared" si="94"/>
        <v>9</v>
      </c>
      <c r="Q965" s="20" t="str" cm="1">
        <f t="array" ref="Q965">_xlfn.IFS(P965&lt;=3,"Q1",P965&lt;=6,"Q2",P965&lt;=9,"Q3",P965&lt;=12,"Q4")</f>
        <v>Q3</v>
      </c>
    </row>
    <row r="966" spans="1:17" x14ac:dyDescent="0.25">
      <c r="A966" s="8">
        <v>45929</v>
      </c>
      <c r="B966" s="9" t="s">
        <v>76</v>
      </c>
      <c r="C966" s="9" t="s">
        <v>77</v>
      </c>
      <c r="D966" s="9" t="s">
        <v>75</v>
      </c>
      <c r="E966" s="10">
        <v>144.02000000000001</v>
      </c>
      <c r="F966" s="10">
        <v>144.51</v>
      </c>
      <c r="G966" s="10">
        <v>142.25</v>
      </c>
      <c r="H966" s="10">
        <v>143.76</v>
      </c>
      <c r="I966" s="11">
        <v>3459205</v>
      </c>
      <c r="J966" s="10">
        <v>28752000000</v>
      </c>
      <c r="K966" s="30">
        <f t="shared" si="90"/>
        <v>-0.18053048187753043</v>
      </c>
      <c r="L966" s="31">
        <f t="shared" si="91"/>
        <v>2.2599999999999909</v>
      </c>
      <c r="M966" s="30">
        <f t="shared" si="92"/>
        <v>1.569226496319949E-2</v>
      </c>
      <c r="N966" s="20" t="str">
        <f t="shared" si="95"/>
        <v>High volume</v>
      </c>
      <c r="O966" s="32">
        <f t="shared" si="93"/>
        <v>28.751999999999999</v>
      </c>
      <c r="P966" s="20">
        <f t="shared" si="94"/>
        <v>9</v>
      </c>
      <c r="Q966" s="20" t="str" cm="1">
        <f t="array" ref="Q966">_xlfn.IFS(P966&lt;=3,"Q1",P966&lt;=6,"Q2",P966&lt;=9,"Q3",P966&lt;=12,"Q4")</f>
        <v>Q3</v>
      </c>
    </row>
    <row r="967" spans="1:17" x14ac:dyDescent="0.25">
      <c r="A967" s="14">
        <v>45930</v>
      </c>
      <c r="B967" s="15" t="s">
        <v>60</v>
      </c>
      <c r="C967" s="15" t="s">
        <v>61</v>
      </c>
      <c r="D967" s="15" t="s">
        <v>62</v>
      </c>
      <c r="E967" s="16">
        <v>2059.2199999999998</v>
      </c>
      <c r="F967" s="16">
        <v>2080.3000000000002</v>
      </c>
      <c r="G967" s="16">
        <v>2047.11</v>
      </c>
      <c r="H967" s="16">
        <v>2048.5500000000002</v>
      </c>
      <c r="I967" s="17">
        <v>1728744</v>
      </c>
      <c r="J967" s="16">
        <v>2867970000000</v>
      </c>
      <c r="K967" s="30">
        <f t="shared" si="90"/>
        <v>-0.51815736055397765</v>
      </c>
      <c r="L967" s="31">
        <f t="shared" si="91"/>
        <v>33.190000000000282</v>
      </c>
      <c r="M967" s="30">
        <f t="shared" si="92"/>
        <v>1.6117753324074304E-2</v>
      </c>
      <c r="N967" s="20" t="str">
        <f t="shared" si="95"/>
        <v>Normal</v>
      </c>
      <c r="O967" s="32">
        <f t="shared" si="93"/>
        <v>2867.97</v>
      </c>
      <c r="P967" s="20">
        <f t="shared" si="94"/>
        <v>9</v>
      </c>
      <c r="Q967" s="20" t="str" cm="1">
        <f t="array" ref="Q967">_xlfn.IFS(P967&lt;=3,"Q1",P967&lt;=6,"Q2",P967&lt;=9,"Q3",P967&lt;=12,"Q4")</f>
        <v>Q3</v>
      </c>
    </row>
    <row r="968" spans="1:17" x14ac:dyDescent="0.25">
      <c r="A968" s="8">
        <v>45930</v>
      </c>
      <c r="B968" s="9" t="s">
        <v>65</v>
      </c>
      <c r="C968" s="9" t="s">
        <v>66</v>
      </c>
      <c r="D968" s="9" t="s">
        <v>67</v>
      </c>
      <c r="E968" s="10">
        <v>221.42</v>
      </c>
      <c r="F968" s="10">
        <v>221.86</v>
      </c>
      <c r="G968" s="10">
        <v>220.96</v>
      </c>
      <c r="H968" s="10">
        <v>221.38</v>
      </c>
      <c r="I968" s="11">
        <v>369912</v>
      </c>
      <c r="J968" s="10">
        <v>55345000000</v>
      </c>
      <c r="K968" s="30">
        <f t="shared" si="90"/>
        <v>-1.8065215427690382E-2</v>
      </c>
      <c r="L968" s="31">
        <f t="shared" si="91"/>
        <v>0.90000000000000568</v>
      </c>
      <c r="M968" s="30">
        <f t="shared" si="92"/>
        <v>4.06467347123117E-3</v>
      </c>
      <c r="N968" s="20" t="str">
        <f t="shared" si="95"/>
        <v>Normal</v>
      </c>
      <c r="O968" s="32">
        <f t="shared" si="93"/>
        <v>55.344999999999999</v>
      </c>
      <c r="P968" s="20">
        <f t="shared" si="94"/>
        <v>9</v>
      </c>
      <c r="Q968" s="20" t="str" cm="1">
        <f t="array" ref="Q968">_xlfn.IFS(P968&lt;=3,"Q1",P968&lt;=6,"Q2",P968&lt;=9,"Q3",P968&lt;=12,"Q4")</f>
        <v>Q3</v>
      </c>
    </row>
    <row r="969" spans="1:17" x14ac:dyDescent="0.25">
      <c r="A969" s="14">
        <v>45930</v>
      </c>
      <c r="B969" s="15" t="s">
        <v>69</v>
      </c>
      <c r="C969" s="15" t="s">
        <v>70</v>
      </c>
      <c r="D969" s="15" t="s">
        <v>71</v>
      </c>
      <c r="E969" s="16">
        <v>600.79999999999995</v>
      </c>
      <c r="F969" s="16">
        <v>607.25</v>
      </c>
      <c r="G969" s="16">
        <v>597.92999999999995</v>
      </c>
      <c r="H969" s="16">
        <v>604.11</v>
      </c>
      <c r="I969" s="17">
        <v>3321737</v>
      </c>
      <c r="J969" s="16">
        <v>483288000000</v>
      </c>
      <c r="K969" s="30">
        <f t="shared" si="90"/>
        <v>0.55093209054594861</v>
      </c>
      <c r="L969" s="31">
        <f t="shared" si="91"/>
        <v>9.32000000000005</v>
      </c>
      <c r="M969" s="30">
        <f t="shared" si="92"/>
        <v>1.5512649800266396E-2</v>
      </c>
      <c r="N969" s="20" t="str">
        <f t="shared" si="95"/>
        <v>High volume</v>
      </c>
      <c r="O969" s="32">
        <f t="shared" si="93"/>
        <v>483.28800000000001</v>
      </c>
      <c r="P969" s="20">
        <f t="shared" si="94"/>
        <v>9</v>
      </c>
      <c r="Q969" s="20" t="str" cm="1">
        <f t="array" ref="Q969">_xlfn.IFS(P969&lt;=3,"Q1",P969&lt;=6,"Q2",P969&lt;=9,"Q3",P969&lt;=12,"Q4")</f>
        <v>Q3</v>
      </c>
    </row>
    <row r="970" spans="1:17" x14ac:dyDescent="0.25">
      <c r="A970" s="8">
        <v>45930</v>
      </c>
      <c r="B970" s="9" t="s">
        <v>73</v>
      </c>
      <c r="C970" s="9" t="s">
        <v>74</v>
      </c>
      <c r="D970" s="9" t="s">
        <v>75</v>
      </c>
      <c r="E970" s="10">
        <v>76.5</v>
      </c>
      <c r="F970" s="10">
        <v>76.59</v>
      </c>
      <c r="G970" s="10">
        <v>75.900000000000006</v>
      </c>
      <c r="H970" s="10">
        <v>76.06</v>
      </c>
      <c r="I970" s="11">
        <v>3493553</v>
      </c>
      <c r="J970" s="10">
        <v>16733200000</v>
      </c>
      <c r="K970" s="30">
        <f t="shared" si="90"/>
        <v>-0.57516339869280753</v>
      </c>
      <c r="L970" s="31">
        <f t="shared" si="91"/>
        <v>0.68999999999999773</v>
      </c>
      <c r="M970" s="30">
        <f t="shared" si="92"/>
        <v>9.0196078431372256E-3</v>
      </c>
      <c r="N970" s="20" t="str">
        <f t="shared" si="95"/>
        <v>High volume</v>
      </c>
      <c r="O970" s="32">
        <f t="shared" si="93"/>
        <v>16.7332</v>
      </c>
      <c r="P970" s="20">
        <f t="shared" si="94"/>
        <v>9</v>
      </c>
      <c r="Q970" s="20" t="str" cm="1">
        <f t="array" ref="Q970">_xlfn.IFS(P970&lt;=3,"Q1",P970&lt;=6,"Q2",P970&lt;=9,"Q3",P970&lt;=12,"Q4")</f>
        <v>Q3</v>
      </c>
    </row>
    <row r="971" spans="1:17" x14ac:dyDescent="0.25">
      <c r="A971" s="14">
        <v>45930</v>
      </c>
      <c r="B971" s="15" t="s">
        <v>76</v>
      </c>
      <c r="C971" s="15" t="s">
        <v>77</v>
      </c>
      <c r="D971" s="15" t="s">
        <v>75</v>
      </c>
      <c r="E971" s="16">
        <v>141.47999999999999</v>
      </c>
      <c r="F971" s="16">
        <v>143.26</v>
      </c>
      <c r="G971" s="16">
        <v>141.38</v>
      </c>
      <c r="H971" s="16">
        <v>143.08000000000001</v>
      </c>
      <c r="I971" s="17">
        <v>4365640</v>
      </c>
      <c r="J971" s="16">
        <v>28616000000</v>
      </c>
      <c r="K971" s="30">
        <f t="shared" si="90"/>
        <v>1.130901894260689</v>
      </c>
      <c r="L971" s="31">
        <f t="shared" si="91"/>
        <v>1.8799999999999955</v>
      </c>
      <c r="M971" s="30">
        <f t="shared" si="92"/>
        <v>1.3288097257562876E-2</v>
      </c>
      <c r="N971" s="20" t="str">
        <f t="shared" si="95"/>
        <v>High volume</v>
      </c>
      <c r="O971" s="32">
        <f t="shared" si="93"/>
        <v>28.616</v>
      </c>
      <c r="P971" s="20">
        <f t="shared" si="94"/>
        <v>9</v>
      </c>
      <c r="Q971" s="20" t="str" cm="1">
        <f t="array" ref="Q971">_xlfn.IFS(P971&lt;=3,"Q1",P971&lt;=6,"Q2",P971&lt;=9,"Q3",P971&lt;=12,"Q4")</f>
        <v>Q3</v>
      </c>
    </row>
    <row r="972" spans="1:17" x14ac:dyDescent="0.25">
      <c r="A972" s="8">
        <v>45931</v>
      </c>
      <c r="B972" s="9" t="s">
        <v>60</v>
      </c>
      <c r="C972" s="9" t="s">
        <v>61</v>
      </c>
      <c r="D972" s="9" t="s">
        <v>62</v>
      </c>
      <c r="E972" s="10">
        <v>2074.3000000000002</v>
      </c>
      <c r="F972" s="10">
        <v>2089.48</v>
      </c>
      <c r="G972" s="10">
        <v>2066.69</v>
      </c>
      <c r="H972" s="10">
        <v>2077.13</v>
      </c>
      <c r="I972" s="11">
        <v>480258</v>
      </c>
      <c r="J972" s="10">
        <v>2907982000000</v>
      </c>
      <c r="K972" s="30">
        <f t="shared" si="90"/>
        <v>0.13643156727570394</v>
      </c>
      <c r="L972" s="31">
        <f t="shared" si="91"/>
        <v>22.789999999999964</v>
      </c>
      <c r="M972" s="30">
        <f t="shared" si="92"/>
        <v>1.0986838933616142E-2</v>
      </c>
      <c r="N972" s="20" t="str">
        <f t="shared" si="95"/>
        <v>Normal</v>
      </c>
      <c r="O972" s="32">
        <f t="shared" si="93"/>
        <v>2907.982</v>
      </c>
      <c r="P972" s="20">
        <f t="shared" si="94"/>
        <v>10</v>
      </c>
      <c r="Q972" s="20" t="str" cm="1">
        <f t="array" ref="Q972">_xlfn.IFS(P972&lt;=3,"Q1",P972&lt;=6,"Q2",P972&lt;=9,"Q3",P972&lt;=12,"Q4")</f>
        <v>Q4</v>
      </c>
    </row>
    <row r="973" spans="1:17" x14ac:dyDescent="0.25">
      <c r="A973" s="14">
        <v>45931</v>
      </c>
      <c r="B973" s="15" t="s">
        <v>65</v>
      </c>
      <c r="C973" s="15" t="s">
        <v>66</v>
      </c>
      <c r="D973" s="15" t="s">
        <v>67</v>
      </c>
      <c r="E973" s="16">
        <v>225.03</v>
      </c>
      <c r="F973" s="16">
        <v>228.97</v>
      </c>
      <c r="G973" s="16">
        <v>224.02</v>
      </c>
      <c r="H973" s="16">
        <v>225.53</v>
      </c>
      <c r="I973" s="17">
        <v>4409854</v>
      </c>
      <c r="J973" s="16">
        <v>56382500000</v>
      </c>
      <c r="K973" s="30">
        <f t="shared" si="90"/>
        <v>0.2221925965426832</v>
      </c>
      <c r="L973" s="31">
        <f t="shared" si="91"/>
        <v>4.9499999999999886</v>
      </c>
      <c r="M973" s="30">
        <f t="shared" si="92"/>
        <v>2.1997067057725587E-2</v>
      </c>
      <c r="N973" s="20" t="str">
        <f t="shared" si="95"/>
        <v>High volume</v>
      </c>
      <c r="O973" s="32">
        <f t="shared" si="93"/>
        <v>56.3825</v>
      </c>
      <c r="P973" s="20">
        <f t="shared" si="94"/>
        <v>10</v>
      </c>
      <c r="Q973" s="20" t="str" cm="1">
        <f t="array" ref="Q973">_xlfn.IFS(P973&lt;=3,"Q1",P973&lt;=6,"Q2",P973&lt;=9,"Q3",P973&lt;=12,"Q4")</f>
        <v>Q4</v>
      </c>
    </row>
    <row r="974" spans="1:17" x14ac:dyDescent="0.25">
      <c r="A974" s="8">
        <v>45931</v>
      </c>
      <c r="B974" s="9" t="s">
        <v>69</v>
      </c>
      <c r="C974" s="9" t="s">
        <v>70</v>
      </c>
      <c r="D974" s="9" t="s">
        <v>71</v>
      </c>
      <c r="E974" s="10">
        <v>600.08000000000004</v>
      </c>
      <c r="F974" s="10">
        <v>601.82000000000005</v>
      </c>
      <c r="G974" s="10">
        <v>597.53</v>
      </c>
      <c r="H974" s="10">
        <v>600.21</v>
      </c>
      <c r="I974" s="11">
        <v>2281429</v>
      </c>
      <c r="J974" s="10">
        <v>480168000000</v>
      </c>
      <c r="K974" s="30">
        <f t="shared" si="90"/>
        <v>2.1663778162910853E-2</v>
      </c>
      <c r="L974" s="31">
        <f t="shared" si="91"/>
        <v>4.2900000000000773</v>
      </c>
      <c r="M974" s="30">
        <f t="shared" si="92"/>
        <v>7.1490467937609607E-3</v>
      </c>
      <c r="N974" s="20" t="str">
        <f t="shared" si="95"/>
        <v>High volume</v>
      </c>
      <c r="O974" s="32">
        <f t="shared" si="93"/>
        <v>480.16800000000001</v>
      </c>
      <c r="P974" s="20">
        <f t="shared" si="94"/>
        <v>10</v>
      </c>
      <c r="Q974" s="20" t="str" cm="1">
        <f t="array" ref="Q974">_xlfn.IFS(P974&lt;=3,"Q1",P974&lt;=6,"Q2",P974&lt;=9,"Q3",P974&lt;=12,"Q4")</f>
        <v>Q4</v>
      </c>
    </row>
    <row r="975" spans="1:17" x14ac:dyDescent="0.25">
      <c r="A975" s="14">
        <v>45931</v>
      </c>
      <c r="B975" s="15" t="s">
        <v>73</v>
      </c>
      <c r="C975" s="15" t="s">
        <v>74</v>
      </c>
      <c r="D975" s="15" t="s">
        <v>75</v>
      </c>
      <c r="E975" s="16">
        <v>76.95</v>
      </c>
      <c r="F975" s="16">
        <v>78.66</v>
      </c>
      <c r="G975" s="16">
        <v>76.91</v>
      </c>
      <c r="H975" s="16">
        <v>77.39</v>
      </c>
      <c r="I975" s="17">
        <v>820175</v>
      </c>
      <c r="J975" s="16">
        <v>17025800000</v>
      </c>
      <c r="K975" s="30">
        <f t="shared" si="90"/>
        <v>0.57179987004548105</v>
      </c>
      <c r="L975" s="31">
        <f t="shared" si="91"/>
        <v>1.75</v>
      </c>
      <c r="M975" s="30">
        <f t="shared" si="92"/>
        <v>2.2742040285899934E-2</v>
      </c>
      <c r="N975" s="20" t="str">
        <f t="shared" si="95"/>
        <v>Normal</v>
      </c>
      <c r="O975" s="32">
        <f t="shared" si="93"/>
        <v>17.0258</v>
      </c>
      <c r="P975" s="20">
        <f t="shared" si="94"/>
        <v>10</v>
      </c>
      <c r="Q975" s="20" t="str" cm="1">
        <f t="array" ref="Q975">_xlfn.IFS(P975&lt;=3,"Q1",P975&lt;=6,"Q2",P975&lt;=9,"Q3",P975&lt;=12,"Q4")</f>
        <v>Q4</v>
      </c>
    </row>
    <row r="976" spans="1:17" x14ac:dyDescent="0.25">
      <c r="A976" s="8">
        <v>45931</v>
      </c>
      <c r="B976" s="9" t="s">
        <v>76</v>
      </c>
      <c r="C976" s="9" t="s">
        <v>77</v>
      </c>
      <c r="D976" s="9" t="s">
        <v>75</v>
      </c>
      <c r="E976" s="10">
        <v>140.01</v>
      </c>
      <c r="F976" s="10">
        <v>141.63999999999999</v>
      </c>
      <c r="G976" s="10">
        <v>138.41999999999999</v>
      </c>
      <c r="H976" s="10">
        <v>138.51</v>
      </c>
      <c r="I976" s="11">
        <v>4955168</v>
      </c>
      <c r="J976" s="10">
        <v>27702000000</v>
      </c>
      <c r="K976" s="30">
        <f t="shared" si="90"/>
        <v>-1.0713520462824084</v>
      </c>
      <c r="L976" s="31">
        <f t="shared" si="91"/>
        <v>3.2199999999999989</v>
      </c>
      <c r="M976" s="30">
        <f t="shared" si="92"/>
        <v>2.2998357260195695E-2</v>
      </c>
      <c r="N976" s="20" t="str">
        <f t="shared" si="95"/>
        <v>High volume</v>
      </c>
      <c r="O976" s="32">
        <f t="shared" si="93"/>
        <v>27.702000000000002</v>
      </c>
      <c r="P976" s="20">
        <f t="shared" si="94"/>
        <v>10</v>
      </c>
      <c r="Q976" s="20" t="str" cm="1">
        <f t="array" ref="Q976">_xlfn.IFS(P976&lt;=3,"Q1",P976&lt;=6,"Q2",P976&lt;=9,"Q3",P976&lt;=12,"Q4")</f>
        <v>Q4</v>
      </c>
    </row>
    <row r="977" spans="1:17" x14ac:dyDescent="0.25">
      <c r="A977" s="14">
        <v>45932</v>
      </c>
      <c r="B977" s="15" t="s">
        <v>60</v>
      </c>
      <c r="C977" s="15" t="s">
        <v>61</v>
      </c>
      <c r="D977" s="15" t="s">
        <v>62</v>
      </c>
      <c r="E977" s="16">
        <v>2041.18</v>
      </c>
      <c r="F977" s="16">
        <v>2052.2600000000002</v>
      </c>
      <c r="G977" s="16">
        <v>2037.51</v>
      </c>
      <c r="H977" s="16">
        <v>2042.55</v>
      </c>
      <c r="I977" s="17">
        <v>3595436</v>
      </c>
      <c r="J977" s="16">
        <v>2859570000000</v>
      </c>
      <c r="K977" s="30">
        <f t="shared" si="90"/>
        <v>6.7118039565344109E-2</v>
      </c>
      <c r="L977" s="31">
        <f t="shared" si="91"/>
        <v>14.750000000000227</v>
      </c>
      <c r="M977" s="30">
        <f t="shared" si="92"/>
        <v>7.2262122889702168E-3</v>
      </c>
      <c r="N977" s="20" t="str">
        <f t="shared" si="95"/>
        <v>High volume</v>
      </c>
      <c r="O977" s="32">
        <f t="shared" si="93"/>
        <v>2859.57</v>
      </c>
      <c r="P977" s="20">
        <f t="shared" si="94"/>
        <v>10</v>
      </c>
      <c r="Q977" s="20" t="str" cm="1">
        <f t="array" ref="Q977">_xlfn.IFS(P977&lt;=3,"Q1",P977&lt;=6,"Q2",P977&lt;=9,"Q3",P977&lt;=12,"Q4")</f>
        <v>Q4</v>
      </c>
    </row>
    <row r="978" spans="1:17" x14ac:dyDescent="0.25">
      <c r="A978" s="8">
        <v>45932</v>
      </c>
      <c r="B978" s="9" t="s">
        <v>65</v>
      </c>
      <c r="C978" s="9" t="s">
        <v>66</v>
      </c>
      <c r="D978" s="9" t="s">
        <v>67</v>
      </c>
      <c r="E978" s="10">
        <v>224.77</v>
      </c>
      <c r="F978" s="10">
        <v>225.41</v>
      </c>
      <c r="G978" s="10">
        <v>221.39</v>
      </c>
      <c r="H978" s="10">
        <v>223.85</v>
      </c>
      <c r="I978" s="11">
        <v>2207804</v>
      </c>
      <c r="J978" s="10">
        <v>55962500000</v>
      </c>
      <c r="K978" s="30">
        <f t="shared" si="90"/>
        <v>-0.4093072918983921</v>
      </c>
      <c r="L978" s="31">
        <f t="shared" si="91"/>
        <v>4.0200000000000102</v>
      </c>
      <c r="M978" s="30">
        <f t="shared" si="92"/>
        <v>1.7884949059038171E-2</v>
      </c>
      <c r="N978" s="20" t="str">
        <f t="shared" si="95"/>
        <v>High volume</v>
      </c>
      <c r="O978" s="32">
        <f t="shared" si="93"/>
        <v>55.962499999999999</v>
      </c>
      <c r="P978" s="20">
        <f t="shared" si="94"/>
        <v>10</v>
      </c>
      <c r="Q978" s="20" t="str" cm="1">
        <f t="array" ref="Q978">_xlfn.IFS(P978&lt;=3,"Q1",P978&lt;=6,"Q2",P978&lt;=9,"Q3",P978&lt;=12,"Q4")</f>
        <v>Q4</v>
      </c>
    </row>
    <row r="979" spans="1:17" x14ac:dyDescent="0.25">
      <c r="A979" s="14">
        <v>45932</v>
      </c>
      <c r="B979" s="15" t="s">
        <v>69</v>
      </c>
      <c r="C979" s="15" t="s">
        <v>70</v>
      </c>
      <c r="D979" s="15" t="s">
        <v>71</v>
      </c>
      <c r="E979" s="16">
        <v>615.77</v>
      </c>
      <c r="F979" s="16">
        <v>621.35</v>
      </c>
      <c r="G979" s="16">
        <v>612.58000000000004</v>
      </c>
      <c r="H979" s="16">
        <v>616.32000000000005</v>
      </c>
      <c r="I979" s="17">
        <v>2920456</v>
      </c>
      <c r="J979" s="16">
        <v>493056000000</v>
      </c>
      <c r="K979" s="30">
        <f t="shared" si="90"/>
        <v>8.9319063936221035E-2</v>
      </c>
      <c r="L979" s="31">
        <f t="shared" si="91"/>
        <v>8.7699999999999818</v>
      </c>
      <c r="M979" s="30">
        <f t="shared" si="92"/>
        <v>1.4242330740373812E-2</v>
      </c>
      <c r="N979" s="20" t="str">
        <f t="shared" si="95"/>
        <v>High volume</v>
      </c>
      <c r="O979" s="32">
        <f t="shared" si="93"/>
        <v>493.05599999999998</v>
      </c>
      <c r="P979" s="20">
        <f t="shared" si="94"/>
        <v>10</v>
      </c>
      <c r="Q979" s="20" t="str" cm="1">
        <f t="array" ref="Q979">_xlfn.IFS(P979&lt;=3,"Q1",P979&lt;=6,"Q2",P979&lt;=9,"Q3",P979&lt;=12,"Q4")</f>
        <v>Q4</v>
      </c>
    </row>
    <row r="980" spans="1:17" x14ac:dyDescent="0.25">
      <c r="A980" s="8">
        <v>45932</v>
      </c>
      <c r="B980" s="9" t="s">
        <v>73</v>
      </c>
      <c r="C980" s="9" t="s">
        <v>74</v>
      </c>
      <c r="D980" s="9" t="s">
        <v>75</v>
      </c>
      <c r="E980" s="10">
        <v>78.28</v>
      </c>
      <c r="F980" s="10">
        <v>78.58</v>
      </c>
      <c r="G980" s="10">
        <v>77.87</v>
      </c>
      <c r="H980" s="10">
        <v>77.97</v>
      </c>
      <c r="I980" s="11">
        <v>4841205</v>
      </c>
      <c r="J980" s="10">
        <v>17153400000</v>
      </c>
      <c r="K980" s="30">
        <f t="shared" si="90"/>
        <v>-0.39601430761369738</v>
      </c>
      <c r="L980" s="31">
        <f t="shared" si="91"/>
        <v>0.70999999999999375</v>
      </c>
      <c r="M980" s="30">
        <f t="shared" si="92"/>
        <v>9.0700051098619536E-3</v>
      </c>
      <c r="N980" s="20" t="str">
        <f t="shared" si="95"/>
        <v>High volume</v>
      </c>
      <c r="O980" s="32">
        <f t="shared" si="93"/>
        <v>17.153400000000001</v>
      </c>
      <c r="P980" s="20">
        <f t="shared" si="94"/>
        <v>10</v>
      </c>
      <c r="Q980" s="20" t="str" cm="1">
        <f t="array" ref="Q980">_xlfn.IFS(P980&lt;=3,"Q1",P980&lt;=6,"Q2",P980&lt;=9,"Q3",P980&lt;=12,"Q4")</f>
        <v>Q4</v>
      </c>
    </row>
    <row r="981" spans="1:17" x14ac:dyDescent="0.25">
      <c r="A981" s="14">
        <v>45932</v>
      </c>
      <c r="B981" s="15" t="s">
        <v>76</v>
      </c>
      <c r="C981" s="15" t="s">
        <v>77</v>
      </c>
      <c r="D981" s="15" t="s">
        <v>75</v>
      </c>
      <c r="E981" s="16">
        <v>138.16999999999999</v>
      </c>
      <c r="F981" s="16">
        <v>138.47</v>
      </c>
      <c r="G981" s="16">
        <v>137.49</v>
      </c>
      <c r="H981" s="16">
        <v>137.63</v>
      </c>
      <c r="I981" s="17">
        <v>4693998</v>
      </c>
      <c r="J981" s="16">
        <v>27526000000</v>
      </c>
      <c r="K981" s="30">
        <f t="shared" si="90"/>
        <v>-0.39082289932691039</v>
      </c>
      <c r="L981" s="31">
        <f t="shared" si="91"/>
        <v>0.97999999999998977</v>
      </c>
      <c r="M981" s="30">
        <f t="shared" si="92"/>
        <v>7.0927118766735894E-3</v>
      </c>
      <c r="N981" s="20" t="str">
        <f t="shared" si="95"/>
        <v>High volume</v>
      </c>
      <c r="O981" s="32">
        <f t="shared" si="93"/>
        <v>27.526</v>
      </c>
      <c r="P981" s="20">
        <f t="shared" si="94"/>
        <v>10</v>
      </c>
      <c r="Q981" s="20" t="str" cm="1">
        <f t="array" ref="Q981">_xlfn.IFS(P981&lt;=3,"Q1",P981&lt;=6,"Q2",P981&lt;=9,"Q3",P981&lt;=12,"Q4")</f>
        <v>Q4</v>
      </c>
    </row>
    <row r="982" spans="1:17" x14ac:dyDescent="0.25">
      <c r="A982" s="8">
        <v>45933</v>
      </c>
      <c r="B982" s="9" t="s">
        <v>60</v>
      </c>
      <c r="C982" s="9" t="s">
        <v>61</v>
      </c>
      <c r="D982" s="9" t="s">
        <v>62</v>
      </c>
      <c r="E982" s="10">
        <v>2070.34</v>
      </c>
      <c r="F982" s="10">
        <v>2079.79</v>
      </c>
      <c r="G982" s="10">
        <v>2046.46</v>
      </c>
      <c r="H982" s="10">
        <v>2068.33</v>
      </c>
      <c r="I982" s="11">
        <v>1625802</v>
      </c>
      <c r="J982" s="10">
        <v>2895662000000</v>
      </c>
      <c r="K982" s="30">
        <f t="shared" si="90"/>
        <v>-9.7085502864274378E-2</v>
      </c>
      <c r="L982" s="31">
        <f t="shared" si="91"/>
        <v>33.329999999999927</v>
      </c>
      <c r="M982" s="30">
        <f t="shared" si="92"/>
        <v>1.6098805027193564E-2</v>
      </c>
      <c r="N982" s="20" t="str">
        <f t="shared" si="95"/>
        <v>Normal</v>
      </c>
      <c r="O982" s="32">
        <f t="shared" si="93"/>
        <v>2895.6619999999998</v>
      </c>
      <c r="P982" s="20">
        <f t="shared" si="94"/>
        <v>10</v>
      </c>
      <c r="Q982" s="20" t="str" cm="1">
        <f t="array" ref="Q982">_xlfn.IFS(P982&lt;=3,"Q1",P982&lt;=6,"Q2",P982&lt;=9,"Q3",P982&lt;=12,"Q4")</f>
        <v>Q4</v>
      </c>
    </row>
    <row r="983" spans="1:17" x14ac:dyDescent="0.25">
      <c r="A983" s="14">
        <v>45933</v>
      </c>
      <c r="B983" s="15" t="s">
        <v>65</v>
      </c>
      <c r="C983" s="15" t="s">
        <v>66</v>
      </c>
      <c r="D983" s="15" t="s">
        <v>67</v>
      </c>
      <c r="E983" s="16">
        <v>220.78</v>
      </c>
      <c r="F983" s="16">
        <v>221.71</v>
      </c>
      <c r="G983" s="16">
        <v>218.72</v>
      </c>
      <c r="H983" s="16">
        <v>221.56</v>
      </c>
      <c r="I983" s="17">
        <v>1293104</v>
      </c>
      <c r="J983" s="16">
        <v>55390000000</v>
      </c>
      <c r="K983" s="30">
        <f t="shared" si="90"/>
        <v>0.35329287073104498</v>
      </c>
      <c r="L983" s="31">
        <f t="shared" si="91"/>
        <v>2.9900000000000091</v>
      </c>
      <c r="M983" s="30">
        <f t="shared" si="92"/>
        <v>1.3542893378023413E-2</v>
      </c>
      <c r="N983" s="20" t="str">
        <f t="shared" si="95"/>
        <v>Normal</v>
      </c>
      <c r="O983" s="32">
        <f t="shared" si="93"/>
        <v>55.39</v>
      </c>
      <c r="P983" s="20">
        <f t="shared" si="94"/>
        <v>10</v>
      </c>
      <c r="Q983" s="20" t="str" cm="1">
        <f t="array" ref="Q983">_xlfn.IFS(P983&lt;=3,"Q1",P983&lt;=6,"Q2",P983&lt;=9,"Q3",P983&lt;=12,"Q4")</f>
        <v>Q4</v>
      </c>
    </row>
    <row r="984" spans="1:17" x14ac:dyDescent="0.25">
      <c r="A984" s="8">
        <v>45933</v>
      </c>
      <c r="B984" s="9" t="s">
        <v>69</v>
      </c>
      <c r="C984" s="9" t="s">
        <v>70</v>
      </c>
      <c r="D984" s="9" t="s">
        <v>71</v>
      </c>
      <c r="E984" s="10">
        <v>623.54999999999995</v>
      </c>
      <c r="F984" s="10">
        <v>632.29</v>
      </c>
      <c r="G984" s="10">
        <v>622.80999999999995</v>
      </c>
      <c r="H984" s="10">
        <v>625.83000000000004</v>
      </c>
      <c r="I984" s="11">
        <v>3773220</v>
      </c>
      <c r="J984" s="10">
        <v>500664000000</v>
      </c>
      <c r="K984" s="30">
        <f t="shared" si="90"/>
        <v>0.36564830406544568</v>
      </c>
      <c r="L984" s="31">
        <f t="shared" si="91"/>
        <v>9.4800000000000182</v>
      </c>
      <c r="M984" s="30">
        <f t="shared" si="92"/>
        <v>1.5203271590089038E-2</v>
      </c>
      <c r="N984" s="20" t="str">
        <f t="shared" si="95"/>
        <v>High volume</v>
      </c>
      <c r="O984" s="32">
        <f t="shared" si="93"/>
        <v>500.66399999999999</v>
      </c>
      <c r="P984" s="20">
        <f t="shared" si="94"/>
        <v>10</v>
      </c>
      <c r="Q984" s="20" t="str" cm="1">
        <f t="array" ref="Q984">_xlfn.IFS(P984&lt;=3,"Q1",P984&lt;=6,"Q2",P984&lt;=9,"Q3",P984&lt;=12,"Q4")</f>
        <v>Q4</v>
      </c>
    </row>
    <row r="985" spans="1:17" x14ac:dyDescent="0.25">
      <c r="A985" s="14">
        <v>45933</v>
      </c>
      <c r="B985" s="15" t="s">
        <v>73</v>
      </c>
      <c r="C985" s="15" t="s">
        <v>74</v>
      </c>
      <c r="D985" s="15" t="s">
        <v>75</v>
      </c>
      <c r="E985" s="16">
        <v>78.209999999999994</v>
      </c>
      <c r="F985" s="16">
        <v>78.73</v>
      </c>
      <c r="G985" s="16">
        <v>78.08</v>
      </c>
      <c r="H985" s="16">
        <v>78.56</v>
      </c>
      <c r="I985" s="17">
        <v>2596768</v>
      </c>
      <c r="J985" s="16">
        <v>17283200000</v>
      </c>
      <c r="K985" s="30">
        <f t="shared" si="90"/>
        <v>0.44751310574096476</v>
      </c>
      <c r="L985" s="31">
        <f t="shared" si="91"/>
        <v>0.65000000000000568</v>
      </c>
      <c r="M985" s="30">
        <f t="shared" si="92"/>
        <v>8.3109576780463594E-3</v>
      </c>
      <c r="N985" s="20" t="str">
        <f t="shared" si="95"/>
        <v>High volume</v>
      </c>
      <c r="O985" s="32">
        <f t="shared" si="93"/>
        <v>17.283200000000001</v>
      </c>
      <c r="P985" s="20">
        <f t="shared" si="94"/>
        <v>10</v>
      </c>
      <c r="Q985" s="20" t="str" cm="1">
        <f t="array" ref="Q985">_xlfn.IFS(P985&lt;=3,"Q1",P985&lt;=6,"Q2",P985&lt;=9,"Q3",P985&lt;=12,"Q4")</f>
        <v>Q4</v>
      </c>
    </row>
    <row r="986" spans="1:17" x14ac:dyDescent="0.25">
      <c r="A986" s="8">
        <v>45933</v>
      </c>
      <c r="B986" s="9" t="s">
        <v>76</v>
      </c>
      <c r="C986" s="9" t="s">
        <v>77</v>
      </c>
      <c r="D986" s="9" t="s">
        <v>75</v>
      </c>
      <c r="E986" s="10">
        <v>138.43</v>
      </c>
      <c r="F986" s="10">
        <v>139.01</v>
      </c>
      <c r="G986" s="10">
        <v>138.26</v>
      </c>
      <c r="H986" s="10">
        <v>139</v>
      </c>
      <c r="I986" s="11">
        <v>2538605</v>
      </c>
      <c r="J986" s="10">
        <v>27800000000</v>
      </c>
      <c r="K986" s="30">
        <f t="shared" si="90"/>
        <v>0.41176045654843108</v>
      </c>
      <c r="L986" s="31">
        <f t="shared" si="91"/>
        <v>0.75</v>
      </c>
      <c r="M986" s="30">
        <f t="shared" si="92"/>
        <v>5.4179007440583685E-3</v>
      </c>
      <c r="N986" s="20" t="str">
        <f t="shared" si="95"/>
        <v>High volume</v>
      </c>
      <c r="O986" s="32">
        <f t="shared" si="93"/>
        <v>27.8</v>
      </c>
      <c r="P986" s="20">
        <f t="shared" si="94"/>
        <v>10</v>
      </c>
      <c r="Q986" s="20" t="str" cm="1">
        <f t="array" ref="Q986">_xlfn.IFS(P986&lt;=3,"Q1",P986&lt;=6,"Q2",P986&lt;=9,"Q3",P986&lt;=12,"Q4")</f>
        <v>Q4</v>
      </c>
    </row>
    <row r="987" spans="1:17" x14ac:dyDescent="0.25">
      <c r="A987" s="14">
        <v>45936</v>
      </c>
      <c r="B987" s="15" t="s">
        <v>60</v>
      </c>
      <c r="C987" s="15" t="s">
        <v>61</v>
      </c>
      <c r="D987" s="15" t="s">
        <v>62</v>
      </c>
      <c r="E987" s="16">
        <v>2074</v>
      </c>
      <c r="F987" s="16">
        <v>2092</v>
      </c>
      <c r="G987" s="16">
        <v>2059.9299999999998</v>
      </c>
      <c r="H987" s="16">
        <v>2079.06</v>
      </c>
      <c r="I987" s="17">
        <v>2237033</v>
      </c>
      <c r="J987" s="16">
        <v>2910684000000</v>
      </c>
      <c r="K987" s="30">
        <f t="shared" si="90"/>
        <v>0.24397299903567721</v>
      </c>
      <c r="L987" s="31">
        <f t="shared" si="91"/>
        <v>32.070000000000164</v>
      </c>
      <c r="M987" s="30">
        <f t="shared" si="92"/>
        <v>1.5462873674059867E-2</v>
      </c>
      <c r="N987" s="20" t="str">
        <f t="shared" si="95"/>
        <v>High volume</v>
      </c>
      <c r="O987" s="32">
        <f t="shared" si="93"/>
        <v>2910.6840000000002</v>
      </c>
      <c r="P987" s="20">
        <f t="shared" si="94"/>
        <v>10</v>
      </c>
      <c r="Q987" s="20" t="str" cm="1">
        <f t="array" ref="Q987">_xlfn.IFS(P987&lt;=3,"Q1",P987&lt;=6,"Q2",P987&lt;=9,"Q3",P987&lt;=12,"Q4")</f>
        <v>Q4</v>
      </c>
    </row>
    <row r="988" spans="1:17" x14ac:dyDescent="0.25">
      <c r="A988" s="8">
        <v>45936</v>
      </c>
      <c r="B988" s="9" t="s">
        <v>65</v>
      </c>
      <c r="C988" s="9" t="s">
        <v>66</v>
      </c>
      <c r="D988" s="9" t="s">
        <v>67</v>
      </c>
      <c r="E988" s="10">
        <v>220.4</v>
      </c>
      <c r="F988" s="10">
        <v>221.94</v>
      </c>
      <c r="G988" s="10">
        <v>219.64</v>
      </c>
      <c r="H988" s="10">
        <v>220.8</v>
      </c>
      <c r="I988" s="11">
        <v>4232273</v>
      </c>
      <c r="J988" s="10">
        <v>55200000000</v>
      </c>
      <c r="K988" s="30">
        <f t="shared" si="90"/>
        <v>0.18148820326679024</v>
      </c>
      <c r="L988" s="31">
        <f t="shared" si="91"/>
        <v>2.3000000000000114</v>
      </c>
      <c r="M988" s="30">
        <f t="shared" si="92"/>
        <v>1.0435571687840341E-2</v>
      </c>
      <c r="N988" s="20" t="str">
        <f t="shared" si="95"/>
        <v>High volume</v>
      </c>
      <c r="O988" s="32">
        <f t="shared" si="93"/>
        <v>55.2</v>
      </c>
      <c r="P988" s="20">
        <f t="shared" si="94"/>
        <v>10</v>
      </c>
      <c r="Q988" s="20" t="str" cm="1">
        <f t="array" ref="Q988">_xlfn.IFS(P988&lt;=3,"Q1",P988&lt;=6,"Q2",P988&lt;=9,"Q3",P988&lt;=12,"Q4")</f>
        <v>Q4</v>
      </c>
    </row>
    <row r="989" spans="1:17" x14ac:dyDescent="0.25">
      <c r="A989" s="14">
        <v>45936</v>
      </c>
      <c r="B989" s="15" t="s">
        <v>69</v>
      </c>
      <c r="C989" s="15" t="s">
        <v>70</v>
      </c>
      <c r="D989" s="15" t="s">
        <v>71</v>
      </c>
      <c r="E989" s="16">
        <v>616.07000000000005</v>
      </c>
      <c r="F989" s="16">
        <v>617.20000000000005</v>
      </c>
      <c r="G989" s="16">
        <v>611.44000000000005</v>
      </c>
      <c r="H989" s="16">
        <v>616.35</v>
      </c>
      <c r="I989" s="17">
        <v>4422544</v>
      </c>
      <c r="J989" s="16">
        <v>493080000000</v>
      </c>
      <c r="K989" s="30">
        <f t="shared" si="90"/>
        <v>4.5449380752182821E-2</v>
      </c>
      <c r="L989" s="31">
        <f t="shared" si="91"/>
        <v>5.7599999999999909</v>
      </c>
      <c r="M989" s="30">
        <f t="shared" si="92"/>
        <v>9.34958689759279E-3</v>
      </c>
      <c r="N989" s="20" t="str">
        <f t="shared" si="95"/>
        <v>High volume</v>
      </c>
      <c r="O989" s="32">
        <f t="shared" si="93"/>
        <v>493.08</v>
      </c>
      <c r="P989" s="20">
        <f t="shared" si="94"/>
        <v>10</v>
      </c>
      <c r="Q989" s="20" t="str" cm="1">
        <f t="array" ref="Q989">_xlfn.IFS(P989&lt;=3,"Q1",P989&lt;=6,"Q2",P989&lt;=9,"Q3",P989&lt;=12,"Q4")</f>
        <v>Q4</v>
      </c>
    </row>
    <row r="990" spans="1:17" x14ac:dyDescent="0.25">
      <c r="A990" s="8">
        <v>45936</v>
      </c>
      <c r="B990" s="9" t="s">
        <v>73</v>
      </c>
      <c r="C990" s="9" t="s">
        <v>74</v>
      </c>
      <c r="D990" s="9" t="s">
        <v>75</v>
      </c>
      <c r="E990" s="10">
        <v>77.88</v>
      </c>
      <c r="F990" s="10">
        <v>77.94</v>
      </c>
      <c r="G990" s="10">
        <v>77.790000000000006</v>
      </c>
      <c r="H990" s="10">
        <v>77.94</v>
      </c>
      <c r="I990" s="11">
        <v>2563738</v>
      </c>
      <c r="J990" s="10">
        <v>17146800000</v>
      </c>
      <c r="K990" s="30">
        <f t="shared" si="90"/>
        <v>7.7041602465334202E-2</v>
      </c>
      <c r="L990" s="31">
        <f t="shared" si="91"/>
        <v>0.14999999999999147</v>
      </c>
      <c r="M990" s="30">
        <f t="shared" si="92"/>
        <v>1.9260400616331727E-3</v>
      </c>
      <c r="N990" s="20" t="str">
        <f t="shared" si="95"/>
        <v>High volume</v>
      </c>
      <c r="O990" s="32">
        <f t="shared" si="93"/>
        <v>17.146799999999999</v>
      </c>
      <c r="P990" s="20">
        <f t="shared" si="94"/>
        <v>10</v>
      </c>
      <c r="Q990" s="20" t="str" cm="1">
        <f t="array" ref="Q990">_xlfn.IFS(P990&lt;=3,"Q1",P990&lt;=6,"Q2",P990&lt;=9,"Q3",P990&lt;=12,"Q4")</f>
        <v>Q4</v>
      </c>
    </row>
    <row r="991" spans="1:17" x14ac:dyDescent="0.25">
      <c r="A991" s="14">
        <v>45936</v>
      </c>
      <c r="B991" s="15" t="s">
        <v>76</v>
      </c>
      <c r="C991" s="15" t="s">
        <v>77</v>
      </c>
      <c r="D991" s="15" t="s">
        <v>75</v>
      </c>
      <c r="E991" s="16">
        <v>141.13999999999999</v>
      </c>
      <c r="F991" s="16">
        <v>141.9</v>
      </c>
      <c r="G991" s="16">
        <v>140.88999999999999</v>
      </c>
      <c r="H991" s="16">
        <v>141.57</v>
      </c>
      <c r="I991" s="17">
        <v>2001491</v>
      </c>
      <c r="J991" s="16">
        <v>28314000000</v>
      </c>
      <c r="K991" s="30">
        <f t="shared" si="90"/>
        <v>0.30466203769307554</v>
      </c>
      <c r="L991" s="31">
        <f t="shared" si="91"/>
        <v>1.0100000000000193</v>
      </c>
      <c r="M991" s="30">
        <f t="shared" si="92"/>
        <v>7.1560153039536591E-3</v>
      </c>
      <c r="N991" s="20" t="str">
        <f t="shared" si="95"/>
        <v>High volume</v>
      </c>
      <c r="O991" s="32">
        <f t="shared" si="93"/>
        <v>28.314</v>
      </c>
      <c r="P991" s="20">
        <f t="shared" si="94"/>
        <v>10</v>
      </c>
      <c r="Q991" s="20" t="str" cm="1">
        <f t="array" ref="Q991">_xlfn.IFS(P991&lt;=3,"Q1",P991&lt;=6,"Q2",P991&lt;=9,"Q3",P991&lt;=12,"Q4")</f>
        <v>Q4</v>
      </c>
    </row>
    <row r="992" spans="1:17" x14ac:dyDescent="0.25">
      <c r="A992" s="8">
        <v>45937</v>
      </c>
      <c r="B992" s="9" t="s">
        <v>60</v>
      </c>
      <c r="C992" s="9" t="s">
        <v>61</v>
      </c>
      <c r="D992" s="9" t="s">
        <v>62</v>
      </c>
      <c r="E992" s="10">
        <v>2080.04</v>
      </c>
      <c r="F992" s="10">
        <v>2086.19</v>
      </c>
      <c r="G992" s="10">
        <v>2036.56</v>
      </c>
      <c r="H992" s="10">
        <v>2079.6</v>
      </c>
      <c r="I992" s="11">
        <v>4409938</v>
      </c>
      <c r="J992" s="10">
        <v>2911440000000</v>
      </c>
      <c r="K992" s="30">
        <f t="shared" si="90"/>
        <v>-2.1153439356938069E-2</v>
      </c>
      <c r="L992" s="31">
        <f t="shared" si="91"/>
        <v>49.630000000000109</v>
      </c>
      <c r="M992" s="30">
        <f t="shared" si="92"/>
        <v>2.3860118074652464E-2</v>
      </c>
      <c r="N992" s="20" t="str">
        <f t="shared" si="95"/>
        <v>High volume</v>
      </c>
      <c r="O992" s="32">
        <f t="shared" si="93"/>
        <v>2911.44</v>
      </c>
      <c r="P992" s="20">
        <f t="shared" si="94"/>
        <v>10</v>
      </c>
      <c r="Q992" s="20" t="str" cm="1">
        <f t="array" ref="Q992">_xlfn.IFS(P992&lt;=3,"Q1",P992&lt;=6,"Q2",P992&lt;=9,"Q3",P992&lt;=12,"Q4")</f>
        <v>Q4</v>
      </c>
    </row>
    <row r="993" spans="1:17" x14ac:dyDescent="0.25">
      <c r="A993" s="14">
        <v>45937</v>
      </c>
      <c r="B993" s="15" t="s">
        <v>65</v>
      </c>
      <c r="C993" s="15" t="s">
        <v>66</v>
      </c>
      <c r="D993" s="15" t="s">
        <v>67</v>
      </c>
      <c r="E993" s="16">
        <v>216.58</v>
      </c>
      <c r="F993" s="16">
        <v>217.9</v>
      </c>
      <c r="G993" s="16">
        <v>213.36</v>
      </c>
      <c r="H993" s="16">
        <v>217.39</v>
      </c>
      <c r="I993" s="17">
        <v>3886597</v>
      </c>
      <c r="J993" s="16">
        <v>54347500000</v>
      </c>
      <c r="K993" s="30">
        <f t="shared" si="90"/>
        <v>0.37399575214700054</v>
      </c>
      <c r="L993" s="31">
        <f t="shared" si="91"/>
        <v>4.539999999999992</v>
      </c>
      <c r="M993" s="30">
        <f t="shared" si="92"/>
        <v>2.0962231046264622E-2</v>
      </c>
      <c r="N993" s="20" t="str">
        <f t="shared" si="95"/>
        <v>High volume</v>
      </c>
      <c r="O993" s="32">
        <f t="shared" si="93"/>
        <v>54.347499999999997</v>
      </c>
      <c r="P993" s="20">
        <f t="shared" si="94"/>
        <v>10</v>
      </c>
      <c r="Q993" s="20" t="str" cm="1">
        <f t="array" ref="Q993">_xlfn.IFS(P993&lt;=3,"Q1",P993&lt;=6,"Q2",P993&lt;=9,"Q3",P993&lt;=12,"Q4")</f>
        <v>Q4</v>
      </c>
    </row>
    <row r="994" spans="1:17" x14ac:dyDescent="0.25">
      <c r="A994" s="8">
        <v>45937</v>
      </c>
      <c r="B994" s="9" t="s">
        <v>69</v>
      </c>
      <c r="C994" s="9" t="s">
        <v>70</v>
      </c>
      <c r="D994" s="9" t="s">
        <v>71</v>
      </c>
      <c r="E994" s="10">
        <v>614.24</v>
      </c>
      <c r="F994" s="10">
        <v>615.04999999999995</v>
      </c>
      <c r="G994" s="10">
        <v>613.79999999999995</v>
      </c>
      <c r="H994" s="10">
        <v>614.19000000000005</v>
      </c>
      <c r="I994" s="11">
        <v>4797630</v>
      </c>
      <c r="J994" s="10">
        <v>491352000000</v>
      </c>
      <c r="K994" s="30">
        <f t="shared" si="90"/>
        <v>-8.140140661623229E-3</v>
      </c>
      <c r="L994" s="31">
        <f t="shared" si="91"/>
        <v>1.25</v>
      </c>
      <c r="M994" s="30">
        <f t="shared" si="92"/>
        <v>2.0350351654076582E-3</v>
      </c>
      <c r="N994" s="20" t="str">
        <f t="shared" si="95"/>
        <v>High volume</v>
      </c>
      <c r="O994" s="32">
        <f t="shared" si="93"/>
        <v>491.35199999999998</v>
      </c>
      <c r="P994" s="20">
        <f t="shared" si="94"/>
        <v>10</v>
      </c>
      <c r="Q994" s="20" t="str" cm="1">
        <f t="array" ref="Q994">_xlfn.IFS(P994&lt;=3,"Q1",P994&lt;=6,"Q2",P994&lt;=9,"Q3",P994&lt;=12,"Q4")</f>
        <v>Q4</v>
      </c>
    </row>
    <row r="995" spans="1:17" x14ac:dyDescent="0.25">
      <c r="A995" s="14">
        <v>45937</v>
      </c>
      <c r="B995" s="15" t="s">
        <v>73</v>
      </c>
      <c r="C995" s="15" t="s">
        <v>74</v>
      </c>
      <c r="D995" s="15" t="s">
        <v>75</v>
      </c>
      <c r="E995" s="16">
        <v>76.819999999999993</v>
      </c>
      <c r="F995" s="16">
        <v>78.06</v>
      </c>
      <c r="G995" s="16">
        <v>76.62</v>
      </c>
      <c r="H995" s="16">
        <v>77.75</v>
      </c>
      <c r="I995" s="17">
        <v>4667521</v>
      </c>
      <c r="J995" s="16">
        <v>17105000000</v>
      </c>
      <c r="K995" s="30">
        <f t="shared" si="90"/>
        <v>1.2106222337932919</v>
      </c>
      <c r="L995" s="31">
        <f t="shared" si="91"/>
        <v>1.4399999999999977</v>
      </c>
      <c r="M995" s="30">
        <f t="shared" si="92"/>
        <v>1.8745118458734677E-2</v>
      </c>
      <c r="N995" s="20" t="str">
        <f t="shared" si="95"/>
        <v>High volume</v>
      </c>
      <c r="O995" s="32">
        <f t="shared" si="93"/>
        <v>17.105</v>
      </c>
      <c r="P995" s="20">
        <f t="shared" si="94"/>
        <v>10</v>
      </c>
      <c r="Q995" s="20" t="str" cm="1">
        <f t="array" ref="Q995">_xlfn.IFS(P995&lt;=3,"Q1",P995&lt;=6,"Q2",P995&lt;=9,"Q3",P995&lt;=12,"Q4")</f>
        <v>Q4</v>
      </c>
    </row>
    <row r="996" spans="1:17" x14ac:dyDescent="0.25">
      <c r="A996" s="8">
        <v>45937</v>
      </c>
      <c r="B996" s="9" t="s">
        <v>76</v>
      </c>
      <c r="C996" s="9" t="s">
        <v>77</v>
      </c>
      <c r="D996" s="9" t="s">
        <v>75</v>
      </c>
      <c r="E996" s="10">
        <v>143.41</v>
      </c>
      <c r="F996" s="10">
        <v>144.21</v>
      </c>
      <c r="G996" s="10">
        <v>141.72</v>
      </c>
      <c r="H996" s="10">
        <v>142.33000000000001</v>
      </c>
      <c r="I996" s="11">
        <v>4811973</v>
      </c>
      <c r="J996" s="10">
        <v>28466000000</v>
      </c>
      <c r="K996" s="30">
        <f t="shared" si="90"/>
        <v>-0.75308555888709583</v>
      </c>
      <c r="L996" s="31">
        <f t="shared" si="91"/>
        <v>2.4900000000000091</v>
      </c>
      <c r="M996" s="30">
        <f t="shared" si="92"/>
        <v>1.736280594100836E-2</v>
      </c>
      <c r="N996" s="20" t="str">
        <f t="shared" si="95"/>
        <v>High volume</v>
      </c>
      <c r="O996" s="32">
        <f t="shared" si="93"/>
        <v>28.466000000000001</v>
      </c>
      <c r="P996" s="20">
        <f t="shared" si="94"/>
        <v>10</v>
      </c>
      <c r="Q996" s="20" t="str" cm="1">
        <f t="array" ref="Q996">_xlfn.IFS(P996&lt;=3,"Q1",P996&lt;=6,"Q2",P996&lt;=9,"Q3",P996&lt;=12,"Q4")</f>
        <v>Q4</v>
      </c>
    </row>
    <row r="997" spans="1:17" x14ac:dyDescent="0.25">
      <c r="A997" s="14">
        <v>45938</v>
      </c>
      <c r="B997" s="15" t="s">
        <v>60</v>
      </c>
      <c r="C997" s="15" t="s">
        <v>61</v>
      </c>
      <c r="D997" s="15" t="s">
        <v>62</v>
      </c>
      <c r="E997" s="16">
        <v>2035.58</v>
      </c>
      <c r="F997" s="16">
        <v>2056.62</v>
      </c>
      <c r="G997" s="16">
        <v>2019.39</v>
      </c>
      <c r="H997" s="16">
        <v>2040.15</v>
      </c>
      <c r="I997" s="17">
        <v>4629584</v>
      </c>
      <c r="J997" s="16">
        <v>2856210000000</v>
      </c>
      <c r="K997" s="30">
        <f t="shared" si="90"/>
        <v>0.22450603759125967</v>
      </c>
      <c r="L997" s="31">
        <f t="shared" si="91"/>
        <v>37.229999999999791</v>
      </c>
      <c r="M997" s="30">
        <f t="shared" si="92"/>
        <v>1.8289627526306897E-2</v>
      </c>
      <c r="N997" s="20" t="str">
        <f t="shared" si="95"/>
        <v>High volume</v>
      </c>
      <c r="O997" s="32">
        <f t="shared" si="93"/>
        <v>2856.21</v>
      </c>
      <c r="P997" s="20">
        <f t="shared" si="94"/>
        <v>10</v>
      </c>
      <c r="Q997" s="20" t="str" cm="1">
        <f t="array" ref="Q997">_xlfn.IFS(P997&lt;=3,"Q1",P997&lt;=6,"Q2",P997&lt;=9,"Q3",P997&lt;=12,"Q4")</f>
        <v>Q4</v>
      </c>
    </row>
    <row r="998" spans="1:17" x14ac:dyDescent="0.25">
      <c r="A998" s="8">
        <v>45938</v>
      </c>
      <c r="B998" s="9" t="s">
        <v>65</v>
      </c>
      <c r="C998" s="9" t="s">
        <v>66</v>
      </c>
      <c r="D998" s="9" t="s">
        <v>67</v>
      </c>
      <c r="E998" s="10">
        <v>218.23</v>
      </c>
      <c r="F998" s="10">
        <v>222.69</v>
      </c>
      <c r="G998" s="10">
        <v>217.54</v>
      </c>
      <c r="H998" s="10">
        <v>222.09</v>
      </c>
      <c r="I998" s="11">
        <v>2698425</v>
      </c>
      <c r="J998" s="10">
        <v>55522500000</v>
      </c>
      <c r="K998" s="30">
        <f t="shared" si="90"/>
        <v>1.7687760619529918</v>
      </c>
      <c r="L998" s="31">
        <f t="shared" si="91"/>
        <v>5.1500000000000057</v>
      </c>
      <c r="M998" s="30">
        <f t="shared" si="92"/>
        <v>2.359895523071991E-2</v>
      </c>
      <c r="N998" s="20" t="str">
        <f t="shared" si="95"/>
        <v>High volume</v>
      </c>
      <c r="O998" s="32">
        <f t="shared" si="93"/>
        <v>55.522500000000001</v>
      </c>
      <c r="P998" s="20">
        <f t="shared" si="94"/>
        <v>10</v>
      </c>
      <c r="Q998" s="20" t="str" cm="1">
        <f t="array" ref="Q998">_xlfn.IFS(P998&lt;=3,"Q1",P998&lt;=6,"Q2",P998&lt;=9,"Q3",P998&lt;=12,"Q4")</f>
        <v>Q4</v>
      </c>
    </row>
    <row r="999" spans="1:17" x14ac:dyDescent="0.25">
      <c r="A999" s="14">
        <v>45938</v>
      </c>
      <c r="B999" s="15" t="s">
        <v>69</v>
      </c>
      <c r="C999" s="15" t="s">
        <v>70</v>
      </c>
      <c r="D999" s="15" t="s">
        <v>71</v>
      </c>
      <c r="E999" s="16">
        <v>623.53</v>
      </c>
      <c r="F999" s="16">
        <v>628.6</v>
      </c>
      <c r="G999" s="16">
        <v>622.27</v>
      </c>
      <c r="H999" s="16">
        <v>626.15</v>
      </c>
      <c r="I999" s="17">
        <v>757570</v>
      </c>
      <c r="J999" s="16">
        <v>500920000000</v>
      </c>
      <c r="K999" s="30">
        <f t="shared" si="90"/>
        <v>0.42018828284124338</v>
      </c>
      <c r="L999" s="31">
        <f t="shared" si="91"/>
        <v>6.3300000000000409</v>
      </c>
      <c r="M999" s="30">
        <f t="shared" si="92"/>
        <v>1.015187721521024E-2</v>
      </c>
      <c r="N999" s="20" t="str">
        <f t="shared" si="95"/>
        <v>Normal</v>
      </c>
      <c r="O999" s="32">
        <f t="shared" si="93"/>
        <v>500.92</v>
      </c>
      <c r="P999" s="20">
        <f t="shared" si="94"/>
        <v>10</v>
      </c>
      <c r="Q999" s="20" t="str" cm="1">
        <f t="array" ref="Q999">_xlfn.IFS(P999&lt;=3,"Q1",P999&lt;=6,"Q2",P999&lt;=9,"Q3",P999&lt;=12,"Q4")</f>
        <v>Q4</v>
      </c>
    </row>
    <row r="1000" spans="1:17" x14ac:dyDescent="0.25">
      <c r="A1000" s="8">
        <v>45938</v>
      </c>
      <c r="B1000" s="9" t="s">
        <v>73</v>
      </c>
      <c r="C1000" s="9" t="s">
        <v>74</v>
      </c>
      <c r="D1000" s="9" t="s">
        <v>75</v>
      </c>
      <c r="E1000" s="10">
        <v>76.84</v>
      </c>
      <c r="F1000" s="10">
        <v>78.08</v>
      </c>
      <c r="G1000" s="10">
        <v>75.98</v>
      </c>
      <c r="H1000" s="10">
        <v>76.17</v>
      </c>
      <c r="I1000" s="11">
        <v>4499821</v>
      </c>
      <c r="J1000" s="10">
        <v>16757400000</v>
      </c>
      <c r="K1000" s="30">
        <f t="shared" si="90"/>
        <v>-0.87194169703279767</v>
      </c>
      <c r="L1000" s="31">
        <f t="shared" si="91"/>
        <v>2.0999999999999943</v>
      </c>
      <c r="M1000" s="30">
        <f t="shared" si="92"/>
        <v>2.7329515877147242E-2</v>
      </c>
      <c r="N1000" s="20" t="str">
        <f t="shared" si="95"/>
        <v>High volume</v>
      </c>
      <c r="O1000" s="32">
        <f t="shared" si="93"/>
        <v>16.757400000000001</v>
      </c>
      <c r="P1000" s="20">
        <f t="shared" si="94"/>
        <v>10</v>
      </c>
      <c r="Q1000" s="20" t="str" cm="1">
        <f t="array" ref="Q1000">_xlfn.IFS(P1000&lt;=3,"Q1",P1000&lt;=6,"Q2",P1000&lt;=9,"Q3",P1000&lt;=12,"Q4")</f>
        <v>Q4</v>
      </c>
    </row>
    <row r="1001" spans="1:17" x14ac:dyDescent="0.25">
      <c r="A1001" s="14">
        <v>45938</v>
      </c>
      <c r="B1001" s="15" t="s">
        <v>76</v>
      </c>
      <c r="C1001" s="15" t="s">
        <v>77</v>
      </c>
      <c r="D1001" s="15" t="s">
        <v>75</v>
      </c>
      <c r="E1001" s="16">
        <v>143.06</v>
      </c>
      <c r="F1001" s="16">
        <v>144.57</v>
      </c>
      <c r="G1001" s="16">
        <v>141.76</v>
      </c>
      <c r="H1001" s="16">
        <v>144.4</v>
      </c>
      <c r="I1001" s="17">
        <v>4883595</v>
      </c>
      <c r="J1001" s="16">
        <v>28880000000</v>
      </c>
      <c r="K1001" s="30">
        <f t="shared" si="90"/>
        <v>0.93666992870124666</v>
      </c>
      <c r="L1001" s="31">
        <f t="shared" si="91"/>
        <v>2.8100000000000023</v>
      </c>
      <c r="M1001" s="30">
        <f t="shared" si="92"/>
        <v>1.9642108206347004E-2</v>
      </c>
      <c r="N1001" s="20" t="str">
        <f t="shared" si="95"/>
        <v>High volume</v>
      </c>
      <c r="O1001" s="32">
        <f t="shared" si="93"/>
        <v>28.88</v>
      </c>
      <c r="P1001" s="20">
        <f t="shared" si="94"/>
        <v>10</v>
      </c>
      <c r="Q1001" s="20" t="str" cm="1">
        <f t="array" ref="Q1001">_xlfn.IFS(P1001&lt;=3,"Q1",P1001&lt;=6,"Q2",P1001&lt;=9,"Q3",P1001&lt;=12,"Q4")</f>
        <v>Q4</v>
      </c>
    </row>
    <row r="1002" spans="1:17" x14ac:dyDescent="0.25">
      <c r="A1002" s="8">
        <v>45939</v>
      </c>
      <c r="B1002" s="9" t="s">
        <v>60</v>
      </c>
      <c r="C1002" s="9" t="s">
        <v>61</v>
      </c>
      <c r="D1002" s="9" t="s">
        <v>62</v>
      </c>
      <c r="E1002" s="10">
        <v>2061.42</v>
      </c>
      <c r="F1002" s="10">
        <v>2074.2199999999998</v>
      </c>
      <c r="G1002" s="10">
        <v>2051.56</v>
      </c>
      <c r="H1002" s="10">
        <v>2064.94</v>
      </c>
      <c r="I1002" s="11">
        <v>1993928</v>
      </c>
      <c r="J1002" s="10">
        <v>2890916000000</v>
      </c>
      <c r="K1002" s="30">
        <f t="shared" si="90"/>
        <v>0.17075608075986368</v>
      </c>
      <c r="L1002" s="31">
        <f t="shared" si="91"/>
        <v>22.659999999999854</v>
      </c>
      <c r="M1002" s="30">
        <f t="shared" si="92"/>
        <v>1.099242269891621E-2</v>
      </c>
      <c r="N1002" s="20" t="str">
        <f t="shared" si="95"/>
        <v>Normal</v>
      </c>
      <c r="O1002" s="32">
        <f t="shared" si="93"/>
        <v>2890.9160000000002</v>
      </c>
      <c r="P1002" s="20">
        <f t="shared" si="94"/>
        <v>10</v>
      </c>
      <c r="Q1002" s="20" t="str" cm="1">
        <f t="array" ref="Q1002">_xlfn.IFS(P1002&lt;=3,"Q1",P1002&lt;=6,"Q2",P1002&lt;=9,"Q3",P1002&lt;=12,"Q4")</f>
        <v>Q4</v>
      </c>
    </row>
    <row r="1003" spans="1:17" x14ac:dyDescent="0.25">
      <c r="A1003" s="14">
        <v>45939</v>
      </c>
      <c r="B1003" s="15" t="s">
        <v>65</v>
      </c>
      <c r="C1003" s="15" t="s">
        <v>66</v>
      </c>
      <c r="D1003" s="15" t="s">
        <v>67</v>
      </c>
      <c r="E1003" s="16">
        <v>222.77</v>
      </c>
      <c r="F1003" s="16">
        <v>223.34</v>
      </c>
      <c r="G1003" s="16">
        <v>222.25</v>
      </c>
      <c r="H1003" s="16">
        <v>222.6</v>
      </c>
      <c r="I1003" s="17">
        <v>1675681</v>
      </c>
      <c r="J1003" s="16">
        <v>55650000000</v>
      </c>
      <c r="K1003" s="30">
        <f t="shared" si="90"/>
        <v>-7.6311891188228176E-2</v>
      </c>
      <c r="L1003" s="31">
        <f t="shared" si="91"/>
        <v>1.0900000000000034</v>
      </c>
      <c r="M1003" s="30">
        <f t="shared" si="92"/>
        <v>4.8929389055977169E-3</v>
      </c>
      <c r="N1003" s="20" t="str">
        <f t="shared" si="95"/>
        <v>Normal</v>
      </c>
      <c r="O1003" s="32">
        <f t="shared" si="93"/>
        <v>55.65</v>
      </c>
      <c r="P1003" s="20">
        <f t="shared" si="94"/>
        <v>10</v>
      </c>
      <c r="Q1003" s="20" t="str" cm="1">
        <f t="array" ref="Q1003">_xlfn.IFS(P1003&lt;=3,"Q1",P1003&lt;=6,"Q2",P1003&lt;=9,"Q3",P1003&lt;=12,"Q4")</f>
        <v>Q4</v>
      </c>
    </row>
    <row r="1004" spans="1:17" x14ac:dyDescent="0.25">
      <c r="A1004" s="8">
        <v>45939</v>
      </c>
      <c r="B1004" s="9" t="s">
        <v>69</v>
      </c>
      <c r="C1004" s="9" t="s">
        <v>70</v>
      </c>
      <c r="D1004" s="9" t="s">
        <v>71</v>
      </c>
      <c r="E1004" s="10">
        <v>625.32000000000005</v>
      </c>
      <c r="F1004" s="10">
        <v>627.84</v>
      </c>
      <c r="G1004" s="10">
        <v>621.20000000000005</v>
      </c>
      <c r="H1004" s="10">
        <v>623.61</v>
      </c>
      <c r="I1004" s="11">
        <v>4694098</v>
      </c>
      <c r="J1004" s="10">
        <v>498888000000</v>
      </c>
      <c r="K1004" s="30">
        <f t="shared" si="90"/>
        <v>-0.27345998848590103</v>
      </c>
      <c r="L1004" s="31">
        <f t="shared" si="91"/>
        <v>6.6399999999999864</v>
      </c>
      <c r="M1004" s="30">
        <f t="shared" si="92"/>
        <v>1.0618563295592635E-2</v>
      </c>
      <c r="N1004" s="20" t="str">
        <f t="shared" si="95"/>
        <v>High volume</v>
      </c>
      <c r="O1004" s="32">
        <f t="shared" si="93"/>
        <v>498.88799999999998</v>
      </c>
      <c r="P1004" s="20">
        <f t="shared" si="94"/>
        <v>10</v>
      </c>
      <c r="Q1004" s="20" t="str" cm="1">
        <f t="array" ref="Q1004">_xlfn.IFS(P1004&lt;=3,"Q1",P1004&lt;=6,"Q2",P1004&lt;=9,"Q3",P1004&lt;=12,"Q4")</f>
        <v>Q4</v>
      </c>
    </row>
    <row r="1005" spans="1:17" x14ac:dyDescent="0.25">
      <c r="A1005" s="14">
        <v>45939</v>
      </c>
      <c r="B1005" s="15" t="s">
        <v>73</v>
      </c>
      <c r="C1005" s="15" t="s">
        <v>74</v>
      </c>
      <c r="D1005" s="15" t="s">
        <v>75</v>
      </c>
      <c r="E1005" s="16">
        <v>77.010000000000005</v>
      </c>
      <c r="F1005" s="16">
        <v>77.27</v>
      </c>
      <c r="G1005" s="16">
        <v>76.05</v>
      </c>
      <c r="H1005" s="16">
        <v>77.239999999999995</v>
      </c>
      <c r="I1005" s="17">
        <v>1641335</v>
      </c>
      <c r="J1005" s="16">
        <v>16992800000</v>
      </c>
      <c r="K1005" s="30">
        <f t="shared" si="90"/>
        <v>0.29866251136214744</v>
      </c>
      <c r="L1005" s="31">
        <f t="shared" si="91"/>
        <v>1.2199999999999989</v>
      </c>
      <c r="M1005" s="30">
        <f t="shared" si="92"/>
        <v>1.5842098428775469E-2</v>
      </c>
      <c r="N1005" s="20" t="str">
        <f t="shared" si="95"/>
        <v>Normal</v>
      </c>
      <c r="O1005" s="32">
        <f t="shared" si="93"/>
        <v>16.992799999999999</v>
      </c>
      <c r="P1005" s="20">
        <f t="shared" si="94"/>
        <v>10</v>
      </c>
      <c r="Q1005" s="20" t="str" cm="1">
        <f t="array" ref="Q1005">_xlfn.IFS(P1005&lt;=3,"Q1",P1005&lt;=6,"Q2",P1005&lt;=9,"Q3",P1005&lt;=12,"Q4")</f>
        <v>Q4</v>
      </c>
    </row>
    <row r="1006" spans="1:17" x14ac:dyDescent="0.25">
      <c r="A1006" s="8">
        <v>45939</v>
      </c>
      <c r="B1006" s="9" t="s">
        <v>76</v>
      </c>
      <c r="C1006" s="9" t="s">
        <v>77</v>
      </c>
      <c r="D1006" s="9" t="s">
        <v>75</v>
      </c>
      <c r="E1006" s="10">
        <v>142.9</v>
      </c>
      <c r="F1006" s="10">
        <v>143.66999999999999</v>
      </c>
      <c r="G1006" s="10">
        <v>142.61000000000001</v>
      </c>
      <c r="H1006" s="10">
        <v>143.21</v>
      </c>
      <c r="I1006" s="11">
        <v>1559043</v>
      </c>
      <c r="J1006" s="10">
        <v>28642000000</v>
      </c>
      <c r="K1006" s="30">
        <f t="shared" si="90"/>
        <v>0.21693491952414434</v>
      </c>
      <c r="L1006" s="31">
        <f t="shared" si="91"/>
        <v>1.0599999999999739</v>
      </c>
      <c r="M1006" s="30">
        <f t="shared" si="92"/>
        <v>7.4177746675995367E-3</v>
      </c>
      <c r="N1006" s="20" t="str">
        <f t="shared" si="95"/>
        <v>Normal</v>
      </c>
      <c r="O1006" s="32">
        <f t="shared" si="93"/>
        <v>28.641999999999999</v>
      </c>
      <c r="P1006" s="20">
        <f t="shared" si="94"/>
        <v>10</v>
      </c>
      <c r="Q1006" s="20" t="str" cm="1">
        <f t="array" ref="Q1006">_xlfn.IFS(P1006&lt;=3,"Q1",P1006&lt;=6,"Q2",P1006&lt;=9,"Q3",P1006&lt;=12,"Q4")</f>
        <v>Q4</v>
      </c>
    </row>
    <row r="1007" spans="1:17" x14ac:dyDescent="0.25">
      <c r="A1007" s="14">
        <v>45940</v>
      </c>
      <c r="B1007" s="15" t="s">
        <v>60</v>
      </c>
      <c r="C1007" s="15" t="s">
        <v>61</v>
      </c>
      <c r="D1007" s="15" t="s">
        <v>62</v>
      </c>
      <c r="E1007" s="16">
        <v>1997.47</v>
      </c>
      <c r="F1007" s="16">
        <v>2002.15</v>
      </c>
      <c r="G1007" s="16">
        <v>1989.87</v>
      </c>
      <c r="H1007" s="16">
        <v>1999.32</v>
      </c>
      <c r="I1007" s="17">
        <v>730423</v>
      </c>
      <c r="J1007" s="16">
        <v>2799048000000</v>
      </c>
      <c r="K1007" s="30">
        <f t="shared" si="90"/>
        <v>9.2617160708291443E-2</v>
      </c>
      <c r="L1007" s="31">
        <f t="shared" si="91"/>
        <v>12.2800000000002</v>
      </c>
      <c r="M1007" s="30">
        <f t="shared" si="92"/>
        <v>6.1477769378264508E-3</v>
      </c>
      <c r="N1007" s="20" t="str">
        <f t="shared" si="95"/>
        <v>Normal</v>
      </c>
      <c r="O1007" s="32">
        <f t="shared" si="93"/>
        <v>2799.0479999999998</v>
      </c>
      <c r="P1007" s="20">
        <f t="shared" si="94"/>
        <v>10</v>
      </c>
      <c r="Q1007" s="20" t="str" cm="1">
        <f t="array" ref="Q1007">_xlfn.IFS(P1007&lt;=3,"Q1",P1007&lt;=6,"Q2",P1007&lt;=9,"Q3",P1007&lt;=12,"Q4")</f>
        <v>Q4</v>
      </c>
    </row>
    <row r="1008" spans="1:17" x14ac:dyDescent="0.25">
      <c r="A1008" s="8">
        <v>45940</v>
      </c>
      <c r="B1008" s="9" t="s">
        <v>65</v>
      </c>
      <c r="C1008" s="9" t="s">
        <v>66</v>
      </c>
      <c r="D1008" s="9" t="s">
        <v>67</v>
      </c>
      <c r="E1008" s="10">
        <v>220.13</v>
      </c>
      <c r="F1008" s="10">
        <v>220.86</v>
      </c>
      <c r="G1008" s="10">
        <v>219.91</v>
      </c>
      <c r="H1008" s="10">
        <v>220.51</v>
      </c>
      <c r="I1008" s="11">
        <v>1286114</v>
      </c>
      <c r="J1008" s="10">
        <v>55127500000</v>
      </c>
      <c r="K1008" s="30">
        <f t="shared" si="90"/>
        <v>0.1726252668877461</v>
      </c>
      <c r="L1008" s="31">
        <f t="shared" si="91"/>
        <v>0.95000000000001705</v>
      </c>
      <c r="M1008" s="30">
        <f t="shared" si="92"/>
        <v>4.315631672193781E-3</v>
      </c>
      <c r="N1008" s="20" t="str">
        <f t="shared" si="95"/>
        <v>Normal</v>
      </c>
      <c r="O1008" s="32">
        <f t="shared" si="93"/>
        <v>55.127499999999998</v>
      </c>
      <c r="P1008" s="20">
        <f t="shared" si="94"/>
        <v>10</v>
      </c>
      <c r="Q1008" s="20" t="str" cm="1">
        <f t="array" ref="Q1008">_xlfn.IFS(P1008&lt;=3,"Q1",P1008&lt;=6,"Q2",P1008&lt;=9,"Q3",P1008&lt;=12,"Q4")</f>
        <v>Q4</v>
      </c>
    </row>
    <row r="1009" spans="1:17" x14ac:dyDescent="0.25">
      <c r="A1009" s="14">
        <v>45940</v>
      </c>
      <c r="B1009" s="15" t="s">
        <v>69</v>
      </c>
      <c r="C1009" s="15" t="s">
        <v>70</v>
      </c>
      <c r="D1009" s="15" t="s">
        <v>71</v>
      </c>
      <c r="E1009" s="16">
        <v>613.63</v>
      </c>
      <c r="F1009" s="16">
        <v>623.66</v>
      </c>
      <c r="G1009" s="16">
        <v>606.20000000000005</v>
      </c>
      <c r="H1009" s="16">
        <v>606.26</v>
      </c>
      <c r="I1009" s="17">
        <v>2423248</v>
      </c>
      <c r="J1009" s="16">
        <v>485008000000</v>
      </c>
      <c r="K1009" s="30">
        <f t="shared" si="90"/>
        <v>-1.2010494923651067</v>
      </c>
      <c r="L1009" s="31">
        <f t="shared" si="91"/>
        <v>17.459999999999923</v>
      </c>
      <c r="M1009" s="30">
        <f t="shared" si="92"/>
        <v>2.8453628407998179E-2</v>
      </c>
      <c r="N1009" s="20" t="str">
        <f t="shared" si="95"/>
        <v>High volume</v>
      </c>
      <c r="O1009" s="32">
        <f t="shared" si="93"/>
        <v>485.00799999999998</v>
      </c>
      <c r="P1009" s="20">
        <f t="shared" si="94"/>
        <v>10</v>
      </c>
      <c r="Q1009" s="20" t="str" cm="1">
        <f t="array" ref="Q1009">_xlfn.IFS(P1009&lt;=3,"Q1",P1009&lt;=6,"Q2",P1009&lt;=9,"Q3",P1009&lt;=12,"Q4")</f>
        <v>Q4</v>
      </c>
    </row>
    <row r="1010" spans="1:17" x14ac:dyDescent="0.25">
      <c r="A1010" s="8">
        <v>45940</v>
      </c>
      <c r="B1010" s="9" t="s">
        <v>73</v>
      </c>
      <c r="C1010" s="9" t="s">
        <v>74</v>
      </c>
      <c r="D1010" s="9" t="s">
        <v>75</v>
      </c>
      <c r="E1010" s="10">
        <v>78.61</v>
      </c>
      <c r="F1010" s="10">
        <v>78.67</v>
      </c>
      <c r="G1010" s="10">
        <v>77.47</v>
      </c>
      <c r="H1010" s="10">
        <v>78.2</v>
      </c>
      <c r="I1010" s="11">
        <v>4439499</v>
      </c>
      <c r="J1010" s="10">
        <v>17204000000</v>
      </c>
      <c r="K1010" s="30">
        <f t="shared" si="90"/>
        <v>-0.5215621422210871</v>
      </c>
      <c r="L1010" s="31">
        <f t="shared" si="91"/>
        <v>1.2000000000000028</v>
      </c>
      <c r="M1010" s="30">
        <f t="shared" si="92"/>
        <v>1.5265233430861249E-2</v>
      </c>
      <c r="N1010" s="20" t="str">
        <f t="shared" si="95"/>
        <v>High volume</v>
      </c>
      <c r="O1010" s="32">
        <f t="shared" si="93"/>
        <v>17.204000000000001</v>
      </c>
      <c r="P1010" s="20">
        <f t="shared" si="94"/>
        <v>10</v>
      </c>
      <c r="Q1010" s="20" t="str" cm="1">
        <f t="array" ref="Q1010">_xlfn.IFS(P1010&lt;=3,"Q1",P1010&lt;=6,"Q2",P1010&lt;=9,"Q3",P1010&lt;=12,"Q4")</f>
        <v>Q4</v>
      </c>
    </row>
    <row r="1011" spans="1:17" x14ac:dyDescent="0.25">
      <c r="A1011" s="14">
        <v>45940</v>
      </c>
      <c r="B1011" s="15" t="s">
        <v>76</v>
      </c>
      <c r="C1011" s="15" t="s">
        <v>77</v>
      </c>
      <c r="D1011" s="15" t="s">
        <v>75</v>
      </c>
      <c r="E1011" s="16">
        <v>143.27000000000001</v>
      </c>
      <c r="F1011" s="16">
        <v>143.38999999999999</v>
      </c>
      <c r="G1011" s="16">
        <v>141.75</v>
      </c>
      <c r="H1011" s="16">
        <v>142.53</v>
      </c>
      <c r="I1011" s="17">
        <v>3740599</v>
      </c>
      <c r="J1011" s="16">
        <v>28506000000</v>
      </c>
      <c r="K1011" s="30">
        <f t="shared" si="90"/>
        <v>-0.51650729392057593</v>
      </c>
      <c r="L1011" s="31">
        <f t="shared" si="91"/>
        <v>1.6399999999999864</v>
      </c>
      <c r="M1011" s="30">
        <f t="shared" si="92"/>
        <v>1.1446918405807121E-2</v>
      </c>
      <c r="N1011" s="20" t="str">
        <f t="shared" si="95"/>
        <v>High volume</v>
      </c>
      <c r="O1011" s="32">
        <f t="shared" si="93"/>
        <v>28.506</v>
      </c>
      <c r="P1011" s="20">
        <f t="shared" si="94"/>
        <v>10</v>
      </c>
      <c r="Q1011" s="20" t="str" cm="1">
        <f t="array" ref="Q1011">_xlfn.IFS(P1011&lt;=3,"Q1",P1011&lt;=6,"Q2",P1011&lt;=9,"Q3",P1011&lt;=12,"Q4")</f>
        <v>Q4</v>
      </c>
    </row>
    <row r="1012" spans="1:17" x14ac:dyDescent="0.25">
      <c r="A1012" s="8">
        <v>45943</v>
      </c>
      <c r="B1012" s="9" t="s">
        <v>60</v>
      </c>
      <c r="C1012" s="9" t="s">
        <v>61</v>
      </c>
      <c r="D1012" s="9" t="s">
        <v>62</v>
      </c>
      <c r="E1012" s="10">
        <v>1961.74</v>
      </c>
      <c r="F1012" s="10">
        <v>1969.34</v>
      </c>
      <c r="G1012" s="10">
        <v>1929.31</v>
      </c>
      <c r="H1012" s="10">
        <v>1940.44</v>
      </c>
      <c r="I1012" s="11">
        <v>4977057</v>
      </c>
      <c r="J1012" s="10">
        <v>2716616000000</v>
      </c>
      <c r="K1012" s="30">
        <f t="shared" si="90"/>
        <v>-1.0857707953143614</v>
      </c>
      <c r="L1012" s="31">
        <f t="shared" si="91"/>
        <v>40.029999999999973</v>
      </c>
      <c r="M1012" s="30">
        <f t="shared" si="92"/>
        <v>2.0405354430250683E-2</v>
      </c>
      <c r="N1012" s="20" t="str">
        <f t="shared" si="95"/>
        <v>High volume</v>
      </c>
      <c r="O1012" s="32">
        <f t="shared" si="93"/>
        <v>2716.616</v>
      </c>
      <c r="P1012" s="20">
        <f t="shared" si="94"/>
        <v>10</v>
      </c>
      <c r="Q1012" s="20" t="str" cm="1">
        <f t="array" ref="Q1012">_xlfn.IFS(P1012&lt;=3,"Q1",P1012&lt;=6,"Q2",P1012&lt;=9,"Q3",P1012&lt;=12,"Q4")</f>
        <v>Q4</v>
      </c>
    </row>
    <row r="1013" spans="1:17" x14ac:dyDescent="0.25">
      <c r="A1013" s="14">
        <v>45943</v>
      </c>
      <c r="B1013" s="15" t="s">
        <v>65</v>
      </c>
      <c r="C1013" s="15" t="s">
        <v>66</v>
      </c>
      <c r="D1013" s="15" t="s">
        <v>67</v>
      </c>
      <c r="E1013" s="16">
        <v>220.84</v>
      </c>
      <c r="F1013" s="16">
        <v>221.35</v>
      </c>
      <c r="G1013" s="16">
        <v>219.75</v>
      </c>
      <c r="H1013" s="16">
        <v>220.05</v>
      </c>
      <c r="I1013" s="17">
        <v>761909</v>
      </c>
      <c r="J1013" s="16">
        <v>55012500000</v>
      </c>
      <c r="K1013" s="30">
        <f t="shared" si="90"/>
        <v>-0.35772504980981346</v>
      </c>
      <c r="L1013" s="31">
        <f t="shared" si="91"/>
        <v>1.5999999999999943</v>
      </c>
      <c r="M1013" s="30">
        <f t="shared" si="92"/>
        <v>7.2450642999456359E-3</v>
      </c>
      <c r="N1013" s="20" t="str">
        <f t="shared" si="95"/>
        <v>Normal</v>
      </c>
      <c r="O1013" s="32">
        <f t="shared" si="93"/>
        <v>55.012500000000003</v>
      </c>
      <c r="P1013" s="20">
        <f t="shared" si="94"/>
        <v>10</v>
      </c>
      <c r="Q1013" s="20" t="str" cm="1">
        <f t="array" ref="Q1013">_xlfn.IFS(P1013&lt;=3,"Q1",P1013&lt;=6,"Q2",P1013&lt;=9,"Q3",P1013&lt;=12,"Q4")</f>
        <v>Q4</v>
      </c>
    </row>
    <row r="1014" spans="1:17" x14ac:dyDescent="0.25">
      <c r="A1014" s="8">
        <v>45943</v>
      </c>
      <c r="B1014" s="9" t="s">
        <v>69</v>
      </c>
      <c r="C1014" s="9" t="s">
        <v>70</v>
      </c>
      <c r="D1014" s="9" t="s">
        <v>71</v>
      </c>
      <c r="E1014" s="10">
        <v>604.96</v>
      </c>
      <c r="F1014" s="10">
        <v>606.04999999999995</v>
      </c>
      <c r="G1014" s="10">
        <v>600.6</v>
      </c>
      <c r="H1014" s="10">
        <v>605.16999999999996</v>
      </c>
      <c r="I1014" s="11">
        <v>2803509</v>
      </c>
      <c r="J1014" s="10">
        <v>484136000000</v>
      </c>
      <c r="K1014" s="30">
        <f t="shared" si="90"/>
        <v>3.4713038878590764E-2</v>
      </c>
      <c r="L1014" s="31">
        <f t="shared" si="91"/>
        <v>5.4499999999999318</v>
      </c>
      <c r="M1014" s="30">
        <f t="shared" si="92"/>
        <v>9.0088600899231874E-3</v>
      </c>
      <c r="N1014" s="20" t="str">
        <f t="shared" si="95"/>
        <v>High volume</v>
      </c>
      <c r="O1014" s="32">
        <f t="shared" si="93"/>
        <v>484.13600000000002</v>
      </c>
      <c r="P1014" s="20">
        <f t="shared" si="94"/>
        <v>10</v>
      </c>
      <c r="Q1014" s="20" t="str" cm="1">
        <f t="array" ref="Q1014">_xlfn.IFS(P1014&lt;=3,"Q1",P1014&lt;=6,"Q2",P1014&lt;=9,"Q3",P1014&lt;=12,"Q4")</f>
        <v>Q4</v>
      </c>
    </row>
    <row r="1015" spans="1:17" x14ac:dyDescent="0.25">
      <c r="A1015" s="14">
        <v>45943</v>
      </c>
      <c r="B1015" s="15" t="s">
        <v>73</v>
      </c>
      <c r="C1015" s="15" t="s">
        <v>74</v>
      </c>
      <c r="D1015" s="15" t="s">
        <v>75</v>
      </c>
      <c r="E1015" s="16">
        <v>76.83</v>
      </c>
      <c r="F1015" s="16">
        <v>76.959999999999994</v>
      </c>
      <c r="G1015" s="16">
        <v>76.599999999999994</v>
      </c>
      <c r="H1015" s="16">
        <v>76.64</v>
      </c>
      <c r="I1015" s="17">
        <v>1795255</v>
      </c>
      <c r="J1015" s="16">
        <v>16860800000</v>
      </c>
      <c r="K1015" s="30">
        <f t="shared" si="90"/>
        <v>-0.24729923207080273</v>
      </c>
      <c r="L1015" s="31">
        <f t="shared" si="91"/>
        <v>0.35999999999999943</v>
      </c>
      <c r="M1015" s="30">
        <f t="shared" si="92"/>
        <v>4.6856696602889424E-3</v>
      </c>
      <c r="N1015" s="20" t="str">
        <f t="shared" si="95"/>
        <v>Normal</v>
      </c>
      <c r="O1015" s="32">
        <f t="shared" si="93"/>
        <v>16.860800000000001</v>
      </c>
      <c r="P1015" s="20">
        <f t="shared" si="94"/>
        <v>10</v>
      </c>
      <c r="Q1015" s="20" t="str" cm="1">
        <f t="array" ref="Q1015">_xlfn.IFS(P1015&lt;=3,"Q1",P1015&lt;=6,"Q2",P1015&lt;=9,"Q3",P1015&lt;=12,"Q4")</f>
        <v>Q4</v>
      </c>
    </row>
    <row r="1016" spans="1:17" x14ac:dyDescent="0.25">
      <c r="A1016" s="8">
        <v>45943</v>
      </c>
      <c r="B1016" s="9" t="s">
        <v>76</v>
      </c>
      <c r="C1016" s="9" t="s">
        <v>77</v>
      </c>
      <c r="D1016" s="9" t="s">
        <v>75</v>
      </c>
      <c r="E1016" s="10">
        <v>143.47999999999999</v>
      </c>
      <c r="F1016" s="10">
        <v>144.28</v>
      </c>
      <c r="G1016" s="10">
        <v>142.53</v>
      </c>
      <c r="H1016" s="10">
        <v>143.53</v>
      </c>
      <c r="I1016" s="11">
        <v>1788300</v>
      </c>
      <c r="J1016" s="10">
        <v>28706000000</v>
      </c>
      <c r="K1016" s="30">
        <f t="shared" si="90"/>
        <v>3.4848062447735834E-2</v>
      </c>
      <c r="L1016" s="31">
        <f t="shared" si="91"/>
        <v>1.75</v>
      </c>
      <c r="M1016" s="30">
        <f t="shared" si="92"/>
        <v>1.2196821856704768E-2</v>
      </c>
      <c r="N1016" s="20" t="str">
        <f t="shared" si="95"/>
        <v>Normal</v>
      </c>
      <c r="O1016" s="32">
        <f t="shared" si="93"/>
        <v>28.706</v>
      </c>
      <c r="P1016" s="20">
        <f t="shared" si="94"/>
        <v>10</v>
      </c>
      <c r="Q1016" s="20" t="str" cm="1">
        <f t="array" ref="Q1016">_xlfn.IFS(P1016&lt;=3,"Q1",P1016&lt;=6,"Q2",P1016&lt;=9,"Q3",P1016&lt;=12,"Q4")</f>
        <v>Q4</v>
      </c>
    </row>
    <row r="1017" spans="1:17" x14ac:dyDescent="0.25">
      <c r="A1017" s="14">
        <v>45944</v>
      </c>
      <c r="B1017" s="15" t="s">
        <v>60</v>
      </c>
      <c r="C1017" s="15" t="s">
        <v>61</v>
      </c>
      <c r="D1017" s="15" t="s">
        <v>62</v>
      </c>
      <c r="E1017" s="16">
        <v>1902.56</v>
      </c>
      <c r="F1017" s="16">
        <v>1927.31</v>
      </c>
      <c r="G1017" s="16">
        <v>1897.24</v>
      </c>
      <c r="H1017" s="16">
        <v>1908.07</v>
      </c>
      <c r="I1017" s="17">
        <v>600648</v>
      </c>
      <c r="J1017" s="16">
        <v>2671298000000</v>
      </c>
      <c r="K1017" s="30">
        <f t="shared" si="90"/>
        <v>0.28960978891598643</v>
      </c>
      <c r="L1017" s="31">
        <f t="shared" si="91"/>
        <v>30.069999999999936</v>
      </c>
      <c r="M1017" s="30">
        <f t="shared" si="92"/>
        <v>1.5805020603817981E-2</v>
      </c>
      <c r="N1017" s="20" t="str">
        <f t="shared" si="95"/>
        <v>Normal</v>
      </c>
      <c r="O1017" s="32">
        <f t="shared" si="93"/>
        <v>2671.2979999999998</v>
      </c>
      <c r="P1017" s="20">
        <f t="shared" si="94"/>
        <v>10</v>
      </c>
      <c r="Q1017" s="20" t="str" cm="1">
        <f t="array" ref="Q1017">_xlfn.IFS(P1017&lt;=3,"Q1",P1017&lt;=6,"Q2",P1017&lt;=9,"Q3",P1017&lt;=12,"Q4")</f>
        <v>Q4</v>
      </c>
    </row>
    <row r="1018" spans="1:17" x14ac:dyDescent="0.25">
      <c r="A1018" s="8">
        <v>45944</v>
      </c>
      <c r="B1018" s="9" t="s">
        <v>65</v>
      </c>
      <c r="C1018" s="9" t="s">
        <v>66</v>
      </c>
      <c r="D1018" s="9" t="s">
        <v>67</v>
      </c>
      <c r="E1018" s="10">
        <v>222.41</v>
      </c>
      <c r="F1018" s="10">
        <v>223.24</v>
      </c>
      <c r="G1018" s="10">
        <v>221.23</v>
      </c>
      <c r="H1018" s="10">
        <v>221.37</v>
      </c>
      <c r="I1018" s="11">
        <v>3884652</v>
      </c>
      <c r="J1018" s="10">
        <v>55342500000</v>
      </c>
      <c r="K1018" s="30">
        <f t="shared" si="90"/>
        <v>-0.46760487388156652</v>
      </c>
      <c r="L1018" s="31">
        <f t="shared" si="91"/>
        <v>2.0100000000000193</v>
      </c>
      <c r="M1018" s="30">
        <f t="shared" si="92"/>
        <v>9.0373634279035091E-3</v>
      </c>
      <c r="N1018" s="20" t="str">
        <f t="shared" si="95"/>
        <v>High volume</v>
      </c>
      <c r="O1018" s="32">
        <f t="shared" si="93"/>
        <v>55.342500000000001</v>
      </c>
      <c r="P1018" s="20">
        <f t="shared" si="94"/>
        <v>10</v>
      </c>
      <c r="Q1018" s="20" t="str" cm="1">
        <f t="array" ref="Q1018">_xlfn.IFS(P1018&lt;=3,"Q1",P1018&lt;=6,"Q2",P1018&lt;=9,"Q3",P1018&lt;=12,"Q4")</f>
        <v>Q4</v>
      </c>
    </row>
    <row r="1019" spans="1:17" x14ac:dyDescent="0.25">
      <c r="A1019" s="14">
        <v>45944</v>
      </c>
      <c r="B1019" s="15" t="s">
        <v>69</v>
      </c>
      <c r="C1019" s="15" t="s">
        <v>70</v>
      </c>
      <c r="D1019" s="15" t="s">
        <v>71</v>
      </c>
      <c r="E1019" s="16">
        <v>611.79999999999995</v>
      </c>
      <c r="F1019" s="16">
        <v>612.79</v>
      </c>
      <c r="G1019" s="16">
        <v>610.30999999999995</v>
      </c>
      <c r="H1019" s="16">
        <v>611.48</v>
      </c>
      <c r="I1019" s="17">
        <v>1323605</v>
      </c>
      <c r="J1019" s="16">
        <v>489184000000</v>
      </c>
      <c r="K1019" s="30">
        <f t="shared" si="90"/>
        <v>-5.230467473029362E-2</v>
      </c>
      <c r="L1019" s="31">
        <f t="shared" si="91"/>
        <v>2.4800000000000182</v>
      </c>
      <c r="M1019" s="30">
        <f t="shared" si="92"/>
        <v>4.0536122915985915E-3</v>
      </c>
      <c r="N1019" s="20" t="str">
        <f t="shared" si="95"/>
        <v>Normal</v>
      </c>
      <c r="O1019" s="32">
        <f t="shared" si="93"/>
        <v>489.18400000000003</v>
      </c>
      <c r="P1019" s="20">
        <f t="shared" si="94"/>
        <v>10</v>
      </c>
      <c r="Q1019" s="20" t="str" cm="1">
        <f t="array" ref="Q1019">_xlfn.IFS(P1019&lt;=3,"Q1",P1019&lt;=6,"Q2",P1019&lt;=9,"Q3",P1019&lt;=12,"Q4")</f>
        <v>Q4</v>
      </c>
    </row>
    <row r="1020" spans="1:17" x14ac:dyDescent="0.25">
      <c r="A1020" s="8">
        <v>45944</v>
      </c>
      <c r="B1020" s="9" t="s">
        <v>73</v>
      </c>
      <c r="C1020" s="9" t="s">
        <v>74</v>
      </c>
      <c r="D1020" s="9" t="s">
        <v>75</v>
      </c>
      <c r="E1020" s="10">
        <v>76.34</v>
      </c>
      <c r="F1020" s="10">
        <v>76.8</v>
      </c>
      <c r="G1020" s="10">
        <v>75.61</v>
      </c>
      <c r="H1020" s="10">
        <v>76.44</v>
      </c>
      <c r="I1020" s="11">
        <v>788087</v>
      </c>
      <c r="J1020" s="10">
        <v>16816800000</v>
      </c>
      <c r="K1020" s="30">
        <f t="shared" si="90"/>
        <v>0.13099292638196791</v>
      </c>
      <c r="L1020" s="31">
        <f t="shared" si="91"/>
        <v>1.1899999999999977</v>
      </c>
      <c r="M1020" s="30">
        <f t="shared" si="92"/>
        <v>1.5588158239455039E-2</v>
      </c>
      <c r="N1020" s="20" t="str">
        <f t="shared" si="95"/>
        <v>Normal</v>
      </c>
      <c r="O1020" s="32">
        <f t="shared" si="93"/>
        <v>16.816800000000001</v>
      </c>
      <c r="P1020" s="20">
        <f t="shared" si="94"/>
        <v>10</v>
      </c>
      <c r="Q1020" s="20" t="str" cm="1">
        <f t="array" ref="Q1020">_xlfn.IFS(P1020&lt;=3,"Q1",P1020&lt;=6,"Q2",P1020&lt;=9,"Q3",P1020&lt;=12,"Q4")</f>
        <v>Q4</v>
      </c>
    </row>
    <row r="1021" spans="1:17" x14ac:dyDescent="0.25">
      <c r="A1021" s="14">
        <v>45944</v>
      </c>
      <c r="B1021" s="15" t="s">
        <v>76</v>
      </c>
      <c r="C1021" s="15" t="s">
        <v>77</v>
      </c>
      <c r="D1021" s="15" t="s">
        <v>75</v>
      </c>
      <c r="E1021" s="16">
        <v>143.11000000000001</v>
      </c>
      <c r="F1021" s="16">
        <v>144.54</v>
      </c>
      <c r="G1021" s="16">
        <v>141.94</v>
      </c>
      <c r="H1021" s="16">
        <v>143.58000000000001</v>
      </c>
      <c r="I1021" s="17">
        <v>1035427</v>
      </c>
      <c r="J1021" s="16">
        <v>28716000000</v>
      </c>
      <c r="K1021" s="30">
        <f t="shared" si="90"/>
        <v>0.32841869890294095</v>
      </c>
      <c r="L1021" s="31">
        <f t="shared" si="91"/>
        <v>2.5999999999999943</v>
      </c>
      <c r="M1021" s="30">
        <f t="shared" si="92"/>
        <v>1.8167842918035037E-2</v>
      </c>
      <c r="N1021" s="20" t="str">
        <f t="shared" si="95"/>
        <v>Normal</v>
      </c>
      <c r="O1021" s="32">
        <f t="shared" si="93"/>
        <v>28.716000000000001</v>
      </c>
      <c r="P1021" s="20">
        <f t="shared" si="94"/>
        <v>10</v>
      </c>
      <c r="Q1021" s="20" t="str" cm="1">
        <f t="array" ref="Q1021">_xlfn.IFS(P1021&lt;=3,"Q1",P1021&lt;=6,"Q2",P1021&lt;=9,"Q3",P1021&lt;=12,"Q4")</f>
        <v>Q4</v>
      </c>
    </row>
    <row r="1022" spans="1:17" x14ac:dyDescent="0.25">
      <c r="A1022" s="8">
        <v>45945</v>
      </c>
      <c r="B1022" s="9" t="s">
        <v>60</v>
      </c>
      <c r="C1022" s="9" t="s">
        <v>61</v>
      </c>
      <c r="D1022" s="9" t="s">
        <v>62</v>
      </c>
      <c r="E1022" s="10">
        <v>1864.96</v>
      </c>
      <c r="F1022" s="10">
        <v>1867.3</v>
      </c>
      <c r="G1022" s="10">
        <v>1824.98</v>
      </c>
      <c r="H1022" s="10">
        <v>1837.13</v>
      </c>
      <c r="I1022" s="11">
        <v>2954898</v>
      </c>
      <c r="J1022" s="10">
        <v>2571982000000</v>
      </c>
      <c r="K1022" s="30">
        <f t="shared" si="90"/>
        <v>-1.4922572065888773</v>
      </c>
      <c r="L1022" s="31">
        <f t="shared" si="91"/>
        <v>42.319999999999936</v>
      </c>
      <c r="M1022" s="30">
        <f t="shared" si="92"/>
        <v>2.2692175703500309E-2</v>
      </c>
      <c r="N1022" s="20" t="str">
        <f t="shared" si="95"/>
        <v>High volume</v>
      </c>
      <c r="O1022" s="32">
        <f t="shared" si="93"/>
        <v>2571.982</v>
      </c>
      <c r="P1022" s="20">
        <f t="shared" si="94"/>
        <v>10</v>
      </c>
      <c r="Q1022" s="20" t="str" cm="1">
        <f t="array" ref="Q1022">_xlfn.IFS(P1022&lt;=3,"Q1",P1022&lt;=6,"Q2",P1022&lt;=9,"Q3",P1022&lt;=12,"Q4")</f>
        <v>Q4</v>
      </c>
    </row>
    <row r="1023" spans="1:17" x14ac:dyDescent="0.25">
      <c r="A1023" s="14">
        <v>45945</v>
      </c>
      <c r="B1023" s="15" t="s">
        <v>65</v>
      </c>
      <c r="C1023" s="15" t="s">
        <v>66</v>
      </c>
      <c r="D1023" s="15" t="s">
        <v>67</v>
      </c>
      <c r="E1023" s="16">
        <v>217.49</v>
      </c>
      <c r="F1023" s="16">
        <v>217.63</v>
      </c>
      <c r="G1023" s="16">
        <v>215.22</v>
      </c>
      <c r="H1023" s="16">
        <v>216.72</v>
      </c>
      <c r="I1023" s="17">
        <v>1388112</v>
      </c>
      <c r="J1023" s="16">
        <v>54180000000</v>
      </c>
      <c r="K1023" s="30">
        <f t="shared" si="90"/>
        <v>-0.35403926617316206</v>
      </c>
      <c r="L1023" s="31">
        <f t="shared" si="91"/>
        <v>2.4099999999999966</v>
      </c>
      <c r="M1023" s="30">
        <f t="shared" si="92"/>
        <v>1.108096923996504E-2</v>
      </c>
      <c r="N1023" s="20" t="str">
        <f t="shared" si="95"/>
        <v>Normal</v>
      </c>
      <c r="O1023" s="32">
        <f t="shared" si="93"/>
        <v>54.18</v>
      </c>
      <c r="P1023" s="20">
        <f t="shared" si="94"/>
        <v>10</v>
      </c>
      <c r="Q1023" s="20" t="str" cm="1">
        <f t="array" ref="Q1023">_xlfn.IFS(P1023&lt;=3,"Q1",P1023&lt;=6,"Q2",P1023&lt;=9,"Q3",P1023&lt;=12,"Q4")</f>
        <v>Q4</v>
      </c>
    </row>
    <row r="1024" spans="1:17" x14ac:dyDescent="0.25">
      <c r="A1024" s="8">
        <v>45945</v>
      </c>
      <c r="B1024" s="9" t="s">
        <v>69</v>
      </c>
      <c r="C1024" s="9" t="s">
        <v>70</v>
      </c>
      <c r="D1024" s="9" t="s">
        <v>71</v>
      </c>
      <c r="E1024" s="10">
        <v>603.51</v>
      </c>
      <c r="F1024" s="10">
        <v>607.23</v>
      </c>
      <c r="G1024" s="10">
        <v>602.77</v>
      </c>
      <c r="H1024" s="10">
        <v>606.37</v>
      </c>
      <c r="I1024" s="11">
        <v>2252210</v>
      </c>
      <c r="J1024" s="10">
        <v>485096000000</v>
      </c>
      <c r="K1024" s="30">
        <f t="shared" si="90"/>
        <v>0.47389438451724308</v>
      </c>
      <c r="L1024" s="31">
        <f t="shared" si="91"/>
        <v>4.4600000000000364</v>
      </c>
      <c r="M1024" s="30">
        <f t="shared" si="92"/>
        <v>7.3901012410731159E-3</v>
      </c>
      <c r="N1024" s="20" t="str">
        <f t="shared" si="95"/>
        <v>High volume</v>
      </c>
      <c r="O1024" s="32">
        <f t="shared" si="93"/>
        <v>485.096</v>
      </c>
      <c r="P1024" s="20">
        <f t="shared" si="94"/>
        <v>10</v>
      </c>
      <c r="Q1024" s="20" t="str" cm="1">
        <f t="array" ref="Q1024">_xlfn.IFS(P1024&lt;=3,"Q1",P1024&lt;=6,"Q2",P1024&lt;=9,"Q3",P1024&lt;=12,"Q4")</f>
        <v>Q4</v>
      </c>
    </row>
    <row r="1025" spans="1:17" x14ac:dyDescent="0.25">
      <c r="A1025" s="14">
        <v>45945</v>
      </c>
      <c r="B1025" s="15" t="s">
        <v>73</v>
      </c>
      <c r="C1025" s="15" t="s">
        <v>74</v>
      </c>
      <c r="D1025" s="15" t="s">
        <v>75</v>
      </c>
      <c r="E1025" s="16">
        <v>75.12</v>
      </c>
      <c r="F1025" s="16">
        <v>75.55</v>
      </c>
      <c r="G1025" s="16">
        <v>73.5</v>
      </c>
      <c r="H1025" s="16">
        <v>73.5</v>
      </c>
      <c r="I1025" s="17">
        <v>501215</v>
      </c>
      <c r="J1025" s="16">
        <v>16170000000</v>
      </c>
      <c r="K1025" s="30">
        <f t="shared" si="90"/>
        <v>-2.1565495207667791</v>
      </c>
      <c r="L1025" s="31">
        <f t="shared" si="91"/>
        <v>2.0499999999999972</v>
      </c>
      <c r="M1025" s="30">
        <f t="shared" si="92"/>
        <v>2.7289669861554806E-2</v>
      </c>
      <c r="N1025" s="20" t="str">
        <f t="shared" si="95"/>
        <v>Normal</v>
      </c>
      <c r="O1025" s="32">
        <f t="shared" si="93"/>
        <v>16.170000000000002</v>
      </c>
      <c r="P1025" s="20">
        <f t="shared" si="94"/>
        <v>10</v>
      </c>
      <c r="Q1025" s="20" t="str" cm="1">
        <f t="array" ref="Q1025">_xlfn.IFS(P1025&lt;=3,"Q1",P1025&lt;=6,"Q2",P1025&lt;=9,"Q3",P1025&lt;=12,"Q4")</f>
        <v>Q4</v>
      </c>
    </row>
    <row r="1026" spans="1:17" x14ac:dyDescent="0.25">
      <c r="A1026" s="8">
        <v>45945</v>
      </c>
      <c r="B1026" s="9" t="s">
        <v>76</v>
      </c>
      <c r="C1026" s="9" t="s">
        <v>77</v>
      </c>
      <c r="D1026" s="9" t="s">
        <v>75</v>
      </c>
      <c r="E1026" s="10">
        <v>139.86000000000001</v>
      </c>
      <c r="F1026" s="10">
        <v>140.30000000000001</v>
      </c>
      <c r="G1026" s="10">
        <v>139.80000000000001</v>
      </c>
      <c r="H1026" s="10">
        <v>140.11000000000001</v>
      </c>
      <c r="I1026" s="11">
        <v>3778186</v>
      </c>
      <c r="J1026" s="10">
        <v>28022000000</v>
      </c>
      <c r="K1026" s="30">
        <f t="shared" si="90"/>
        <v>0.17875017875017873</v>
      </c>
      <c r="L1026" s="31">
        <f t="shared" si="91"/>
        <v>0.5</v>
      </c>
      <c r="M1026" s="30">
        <f t="shared" si="92"/>
        <v>3.5750035750035745E-3</v>
      </c>
      <c r="N1026" s="20" t="str">
        <f t="shared" si="95"/>
        <v>High volume</v>
      </c>
      <c r="O1026" s="32">
        <f t="shared" si="93"/>
        <v>28.021999999999998</v>
      </c>
      <c r="P1026" s="20">
        <f t="shared" si="94"/>
        <v>10</v>
      </c>
      <c r="Q1026" s="20" t="str" cm="1">
        <f t="array" ref="Q1026">_xlfn.IFS(P1026&lt;=3,"Q1",P1026&lt;=6,"Q2",P1026&lt;=9,"Q3",P1026&lt;=12,"Q4")</f>
        <v>Q4</v>
      </c>
    </row>
    <row r="1027" spans="1:17" x14ac:dyDescent="0.25">
      <c r="A1027" s="14">
        <v>45946</v>
      </c>
      <c r="B1027" s="15" t="s">
        <v>60</v>
      </c>
      <c r="C1027" s="15" t="s">
        <v>61</v>
      </c>
      <c r="D1027" s="15" t="s">
        <v>62</v>
      </c>
      <c r="E1027" s="16">
        <v>1818.77</v>
      </c>
      <c r="F1027" s="16">
        <v>1830.02</v>
      </c>
      <c r="G1027" s="16">
        <v>1812.03</v>
      </c>
      <c r="H1027" s="16">
        <v>1822.11</v>
      </c>
      <c r="I1027" s="17">
        <v>2081219</v>
      </c>
      <c r="J1027" s="16">
        <v>2550954000000</v>
      </c>
      <c r="K1027" s="30">
        <f t="shared" ref="K1027:K1090" si="96">((H1027-E1027)/E1027)*100</f>
        <v>0.18364059226839669</v>
      </c>
      <c r="L1027" s="31">
        <f t="shared" ref="L1027:L1090" si="97">F1027-G1027</f>
        <v>17.990000000000009</v>
      </c>
      <c r="M1027" s="30">
        <f t="shared" ref="M1027:M1090" si="98">L1027/E1027</f>
        <v>9.891300164396823E-3</v>
      </c>
      <c r="N1027" s="20" t="str">
        <f t="shared" si="95"/>
        <v>High volume</v>
      </c>
      <c r="O1027" s="32">
        <f t="shared" ref="O1027:O1090" si="99">J1027/1000000000</f>
        <v>2550.9540000000002</v>
      </c>
      <c r="P1027" s="20">
        <f t="shared" ref="P1027:P1090" si="100">MONTH(A1027)</f>
        <v>10</v>
      </c>
      <c r="Q1027" s="20" t="str" cm="1">
        <f t="array" ref="Q1027">_xlfn.IFS(P1027&lt;=3,"Q1",P1027&lt;=6,"Q2",P1027&lt;=9,"Q3",P1027&lt;=12,"Q4")</f>
        <v>Q4</v>
      </c>
    </row>
    <row r="1028" spans="1:17" x14ac:dyDescent="0.25">
      <c r="A1028" s="8">
        <v>45946</v>
      </c>
      <c r="B1028" s="9" t="s">
        <v>65</v>
      </c>
      <c r="C1028" s="9" t="s">
        <v>66</v>
      </c>
      <c r="D1028" s="9" t="s">
        <v>67</v>
      </c>
      <c r="E1028" s="10">
        <v>218.94</v>
      </c>
      <c r="F1028" s="10">
        <v>219.02</v>
      </c>
      <c r="G1028" s="10">
        <v>218.33</v>
      </c>
      <c r="H1028" s="10">
        <v>218.54</v>
      </c>
      <c r="I1028" s="11">
        <v>4550420</v>
      </c>
      <c r="J1028" s="10">
        <v>54635000000</v>
      </c>
      <c r="K1028" s="30">
        <f t="shared" si="96"/>
        <v>-0.18269845619804773</v>
      </c>
      <c r="L1028" s="31">
        <f t="shared" si="97"/>
        <v>0.68999999999999773</v>
      </c>
      <c r="M1028" s="30">
        <f t="shared" si="98"/>
        <v>3.1515483694162681E-3</v>
      </c>
      <c r="N1028" s="20" t="str">
        <f t="shared" ref="N1028:N1091" si="101">IF(I1028&gt;2000000,"High volume","Normal")</f>
        <v>High volume</v>
      </c>
      <c r="O1028" s="32">
        <f t="shared" si="99"/>
        <v>54.634999999999998</v>
      </c>
      <c r="P1028" s="20">
        <f t="shared" si="100"/>
        <v>10</v>
      </c>
      <c r="Q1028" s="20" t="str" cm="1">
        <f t="array" ref="Q1028">_xlfn.IFS(P1028&lt;=3,"Q1",P1028&lt;=6,"Q2",P1028&lt;=9,"Q3",P1028&lt;=12,"Q4")</f>
        <v>Q4</v>
      </c>
    </row>
    <row r="1029" spans="1:17" x14ac:dyDescent="0.25">
      <c r="A1029" s="14">
        <v>45946</v>
      </c>
      <c r="B1029" s="15" t="s">
        <v>69</v>
      </c>
      <c r="C1029" s="15" t="s">
        <v>70</v>
      </c>
      <c r="D1029" s="15" t="s">
        <v>71</v>
      </c>
      <c r="E1029" s="16">
        <v>622.25</v>
      </c>
      <c r="F1029" s="16">
        <v>630.33000000000004</v>
      </c>
      <c r="G1029" s="16">
        <v>619.62</v>
      </c>
      <c r="H1029" s="16">
        <v>620.84</v>
      </c>
      <c r="I1029" s="17">
        <v>3095779</v>
      </c>
      <c r="J1029" s="16">
        <v>496672000000</v>
      </c>
      <c r="K1029" s="30">
        <f t="shared" si="96"/>
        <v>-0.226597026918436</v>
      </c>
      <c r="L1029" s="31">
        <f t="shared" si="97"/>
        <v>10.710000000000036</v>
      </c>
      <c r="M1029" s="30">
        <f t="shared" si="98"/>
        <v>1.7211731619124204E-2</v>
      </c>
      <c r="N1029" s="20" t="str">
        <f t="shared" si="101"/>
        <v>High volume</v>
      </c>
      <c r="O1029" s="32">
        <f t="shared" si="99"/>
        <v>496.67200000000003</v>
      </c>
      <c r="P1029" s="20">
        <f t="shared" si="100"/>
        <v>10</v>
      </c>
      <c r="Q1029" s="20" t="str" cm="1">
        <f t="array" ref="Q1029">_xlfn.IFS(P1029&lt;=3,"Q1",P1029&lt;=6,"Q2",P1029&lt;=9,"Q3",P1029&lt;=12,"Q4")</f>
        <v>Q4</v>
      </c>
    </row>
    <row r="1030" spans="1:17" x14ac:dyDescent="0.25">
      <c r="A1030" s="8">
        <v>45946</v>
      </c>
      <c r="B1030" s="9" t="s">
        <v>73</v>
      </c>
      <c r="C1030" s="9" t="s">
        <v>74</v>
      </c>
      <c r="D1030" s="9" t="s">
        <v>75</v>
      </c>
      <c r="E1030" s="10">
        <v>72.55</v>
      </c>
      <c r="F1030" s="10">
        <v>73.33</v>
      </c>
      <c r="G1030" s="10">
        <v>72.44</v>
      </c>
      <c r="H1030" s="10">
        <v>72.599999999999994</v>
      </c>
      <c r="I1030" s="11">
        <v>3072559</v>
      </c>
      <c r="J1030" s="10">
        <v>15972000000</v>
      </c>
      <c r="K1030" s="30">
        <f t="shared" si="96"/>
        <v>6.8917987594758312E-2</v>
      </c>
      <c r="L1030" s="31">
        <f t="shared" si="97"/>
        <v>0.89000000000000057</v>
      </c>
      <c r="M1030" s="30">
        <f t="shared" si="98"/>
        <v>1.2267401791867685E-2</v>
      </c>
      <c r="N1030" s="20" t="str">
        <f t="shared" si="101"/>
        <v>High volume</v>
      </c>
      <c r="O1030" s="32">
        <f t="shared" si="99"/>
        <v>15.972</v>
      </c>
      <c r="P1030" s="20">
        <f t="shared" si="100"/>
        <v>10</v>
      </c>
      <c r="Q1030" s="20" t="str" cm="1">
        <f t="array" ref="Q1030">_xlfn.IFS(P1030&lt;=3,"Q1",P1030&lt;=6,"Q2",P1030&lt;=9,"Q3",P1030&lt;=12,"Q4")</f>
        <v>Q4</v>
      </c>
    </row>
    <row r="1031" spans="1:17" x14ac:dyDescent="0.25">
      <c r="A1031" s="14">
        <v>45946</v>
      </c>
      <c r="B1031" s="15" t="s">
        <v>76</v>
      </c>
      <c r="C1031" s="15" t="s">
        <v>77</v>
      </c>
      <c r="D1031" s="15" t="s">
        <v>75</v>
      </c>
      <c r="E1031" s="16">
        <v>139.80000000000001</v>
      </c>
      <c r="F1031" s="16">
        <v>141.07</v>
      </c>
      <c r="G1031" s="16">
        <v>137.61000000000001</v>
      </c>
      <c r="H1031" s="16">
        <v>139.27000000000001</v>
      </c>
      <c r="I1031" s="17">
        <v>4280398</v>
      </c>
      <c r="J1031" s="16">
        <v>27854000000</v>
      </c>
      <c r="K1031" s="30">
        <f t="shared" si="96"/>
        <v>-0.3791130185979979</v>
      </c>
      <c r="L1031" s="31">
        <f t="shared" si="97"/>
        <v>3.4599999999999795</v>
      </c>
      <c r="M1031" s="30">
        <f t="shared" si="98"/>
        <v>2.474964234620872E-2</v>
      </c>
      <c r="N1031" s="20" t="str">
        <f t="shared" si="101"/>
        <v>High volume</v>
      </c>
      <c r="O1031" s="32">
        <f t="shared" si="99"/>
        <v>27.853999999999999</v>
      </c>
      <c r="P1031" s="20">
        <f t="shared" si="100"/>
        <v>10</v>
      </c>
      <c r="Q1031" s="20" t="str" cm="1">
        <f t="array" ref="Q1031">_xlfn.IFS(P1031&lt;=3,"Q1",P1031&lt;=6,"Q2",P1031&lt;=9,"Q3",P1031&lt;=12,"Q4")</f>
        <v>Q4</v>
      </c>
    </row>
    <row r="1032" spans="1:17" x14ac:dyDescent="0.25">
      <c r="A1032" s="8">
        <v>45947</v>
      </c>
      <c r="B1032" s="9" t="s">
        <v>60</v>
      </c>
      <c r="C1032" s="9" t="s">
        <v>61</v>
      </c>
      <c r="D1032" s="9" t="s">
        <v>62</v>
      </c>
      <c r="E1032" s="10">
        <v>1833.99</v>
      </c>
      <c r="F1032" s="10">
        <v>1854.2</v>
      </c>
      <c r="G1032" s="10">
        <v>1813.52</v>
      </c>
      <c r="H1032" s="10">
        <v>1849.81</v>
      </c>
      <c r="I1032" s="11">
        <v>4804410</v>
      </c>
      <c r="J1032" s="10">
        <v>2589734000000</v>
      </c>
      <c r="K1032" s="30">
        <f t="shared" si="96"/>
        <v>0.86260012322858548</v>
      </c>
      <c r="L1032" s="31">
        <f t="shared" si="97"/>
        <v>40.680000000000064</v>
      </c>
      <c r="M1032" s="30">
        <f t="shared" si="98"/>
        <v>2.2181146025878038E-2</v>
      </c>
      <c r="N1032" s="20" t="str">
        <f t="shared" si="101"/>
        <v>High volume</v>
      </c>
      <c r="O1032" s="32">
        <f t="shared" si="99"/>
        <v>2589.7339999999999</v>
      </c>
      <c r="P1032" s="20">
        <f t="shared" si="100"/>
        <v>10</v>
      </c>
      <c r="Q1032" s="20" t="str" cm="1">
        <f t="array" ref="Q1032">_xlfn.IFS(P1032&lt;=3,"Q1",P1032&lt;=6,"Q2",P1032&lt;=9,"Q3",P1032&lt;=12,"Q4")</f>
        <v>Q4</v>
      </c>
    </row>
    <row r="1033" spans="1:17" x14ac:dyDescent="0.25">
      <c r="A1033" s="14">
        <v>45947</v>
      </c>
      <c r="B1033" s="15" t="s">
        <v>65</v>
      </c>
      <c r="C1033" s="15" t="s">
        <v>66</v>
      </c>
      <c r="D1033" s="15" t="s">
        <v>67</v>
      </c>
      <c r="E1033" s="16">
        <v>219.12</v>
      </c>
      <c r="F1033" s="16">
        <v>220.67</v>
      </c>
      <c r="G1033" s="16">
        <v>217.93</v>
      </c>
      <c r="H1033" s="16">
        <v>220.16</v>
      </c>
      <c r="I1033" s="17">
        <v>769948</v>
      </c>
      <c r="J1033" s="16">
        <v>55040000000</v>
      </c>
      <c r="K1033" s="30">
        <f t="shared" si="96"/>
        <v>0.47462577583059151</v>
      </c>
      <c r="L1033" s="31">
        <f t="shared" si="97"/>
        <v>2.7399999999999807</v>
      </c>
      <c r="M1033" s="30">
        <f t="shared" si="98"/>
        <v>1.2504563709382898E-2</v>
      </c>
      <c r="N1033" s="20" t="str">
        <f t="shared" si="101"/>
        <v>Normal</v>
      </c>
      <c r="O1033" s="32">
        <f t="shared" si="99"/>
        <v>55.04</v>
      </c>
      <c r="P1033" s="20">
        <f t="shared" si="100"/>
        <v>10</v>
      </c>
      <c r="Q1033" s="20" t="str" cm="1">
        <f t="array" ref="Q1033">_xlfn.IFS(P1033&lt;=3,"Q1",P1033&lt;=6,"Q2",P1033&lt;=9,"Q3",P1033&lt;=12,"Q4")</f>
        <v>Q4</v>
      </c>
    </row>
    <row r="1034" spans="1:17" x14ac:dyDescent="0.25">
      <c r="A1034" s="8">
        <v>45947</v>
      </c>
      <c r="B1034" s="9" t="s">
        <v>69</v>
      </c>
      <c r="C1034" s="9" t="s">
        <v>70</v>
      </c>
      <c r="D1034" s="9" t="s">
        <v>71</v>
      </c>
      <c r="E1034" s="10">
        <v>624.97</v>
      </c>
      <c r="F1034" s="10">
        <v>628.6</v>
      </c>
      <c r="G1034" s="10">
        <v>624.29</v>
      </c>
      <c r="H1034" s="10">
        <v>626.6</v>
      </c>
      <c r="I1034" s="11">
        <v>2047032</v>
      </c>
      <c r="J1034" s="10">
        <v>501280000000</v>
      </c>
      <c r="K1034" s="30">
        <f t="shared" si="96"/>
        <v>0.26081251900091135</v>
      </c>
      <c r="L1034" s="31">
        <f t="shared" si="97"/>
        <v>4.3100000000000591</v>
      </c>
      <c r="M1034" s="30">
        <f t="shared" si="98"/>
        <v>6.8963310238892407E-3</v>
      </c>
      <c r="N1034" s="20" t="str">
        <f t="shared" si="101"/>
        <v>High volume</v>
      </c>
      <c r="O1034" s="32">
        <f t="shared" si="99"/>
        <v>501.28</v>
      </c>
      <c r="P1034" s="20">
        <f t="shared" si="100"/>
        <v>10</v>
      </c>
      <c r="Q1034" s="20" t="str" cm="1">
        <f t="array" ref="Q1034">_xlfn.IFS(P1034&lt;=3,"Q1",P1034&lt;=6,"Q2",P1034&lt;=9,"Q3",P1034&lt;=12,"Q4")</f>
        <v>Q4</v>
      </c>
    </row>
    <row r="1035" spans="1:17" x14ac:dyDescent="0.25">
      <c r="A1035" s="14">
        <v>45947</v>
      </c>
      <c r="B1035" s="15" t="s">
        <v>73</v>
      </c>
      <c r="C1035" s="15" t="s">
        <v>74</v>
      </c>
      <c r="D1035" s="15" t="s">
        <v>75</v>
      </c>
      <c r="E1035" s="16">
        <v>71.680000000000007</v>
      </c>
      <c r="F1035" s="16">
        <v>72.14</v>
      </c>
      <c r="G1035" s="16">
        <v>71.44</v>
      </c>
      <c r="H1035" s="16">
        <v>72.08</v>
      </c>
      <c r="I1035" s="17">
        <v>3266174</v>
      </c>
      <c r="J1035" s="16">
        <v>15857600000</v>
      </c>
      <c r="K1035" s="30">
        <f t="shared" si="96"/>
        <v>0.55803571428570231</v>
      </c>
      <c r="L1035" s="31">
        <f t="shared" si="97"/>
        <v>0.70000000000000284</v>
      </c>
      <c r="M1035" s="30">
        <f t="shared" si="98"/>
        <v>9.7656250000000382E-3</v>
      </c>
      <c r="N1035" s="20" t="str">
        <f t="shared" si="101"/>
        <v>High volume</v>
      </c>
      <c r="O1035" s="32">
        <f t="shared" si="99"/>
        <v>15.8576</v>
      </c>
      <c r="P1035" s="20">
        <f t="shared" si="100"/>
        <v>10</v>
      </c>
      <c r="Q1035" s="20" t="str" cm="1">
        <f t="array" ref="Q1035">_xlfn.IFS(P1035&lt;=3,"Q1",P1035&lt;=6,"Q2",P1035&lt;=9,"Q3",P1035&lt;=12,"Q4")</f>
        <v>Q4</v>
      </c>
    </row>
    <row r="1036" spans="1:17" x14ac:dyDescent="0.25">
      <c r="A1036" s="8">
        <v>45947</v>
      </c>
      <c r="B1036" s="9" t="s">
        <v>76</v>
      </c>
      <c r="C1036" s="9" t="s">
        <v>77</v>
      </c>
      <c r="D1036" s="9" t="s">
        <v>75</v>
      </c>
      <c r="E1036" s="10">
        <v>140.38</v>
      </c>
      <c r="F1036" s="10">
        <v>140.63999999999999</v>
      </c>
      <c r="G1036" s="10">
        <v>139.83000000000001</v>
      </c>
      <c r="H1036" s="10">
        <v>140.13</v>
      </c>
      <c r="I1036" s="11">
        <v>4781808</v>
      </c>
      <c r="J1036" s="10">
        <v>28026000000</v>
      </c>
      <c r="K1036" s="30">
        <f t="shared" si="96"/>
        <v>-0.17808804673030346</v>
      </c>
      <c r="L1036" s="31">
        <f t="shared" si="97"/>
        <v>0.80999999999997385</v>
      </c>
      <c r="M1036" s="30">
        <f t="shared" si="98"/>
        <v>5.7700527140616461E-3</v>
      </c>
      <c r="N1036" s="20" t="str">
        <f t="shared" si="101"/>
        <v>High volume</v>
      </c>
      <c r="O1036" s="32">
        <f t="shared" si="99"/>
        <v>28.026</v>
      </c>
      <c r="P1036" s="20">
        <f t="shared" si="100"/>
        <v>10</v>
      </c>
      <c r="Q1036" s="20" t="str" cm="1">
        <f t="array" ref="Q1036">_xlfn.IFS(P1036&lt;=3,"Q1",P1036&lt;=6,"Q2",P1036&lt;=9,"Q3",P1036&lt;=12,"Q4")</f>
        <v>Q4</v>
      </c>
    </row>
    <row r="1037" spans="1:17" x14ac:dyDescent="0.25">
      <c r="A1037" s="14">
        <v>45950</v>
      </c>
      <c r="B1037" s="15" t="s">
        <v>60</v>
      </c>
      <c r="C1037" s="15" t="s">
        <v>61</v>
      </c>
      <c r="D1037" s="15" t="s">
        <v>62</v>
      </c>
      <c r="E1037" s="16">
        <v>1828.92</v>
      </c>
      <c r="F1037" s="16">
        <v>1839.36</v>
      </c>
      <c r="G1037" s="16">
        <v>1813</v>
      </c>
      <c r="H1037" s="16">
        <v>1823.27</v>
      </c>
      <c r="I1037" s="17">
        <v>1280163</v>
      </c>
      <c r="J1037" s="16">
        <v>2552578000000</v>
      </c>
      <c r="K1037" s="30">
        <f t="shared" si="96"/>
        <v>-0.3089254860792211</v>
      </c>
      <c r="L1037" s="31">
        <f t="shared" si="97"/>
        <v>26.3599999999999</v>
      </c>
      <c r="M1037" s="30">
        <f t="shared" si="98"/>
        <v>1.4412877545217887E-2</v>
      </c>
      <c r="N1037" s="20" t="str">
        <f t="shared" si="101"/>
        <v>Normal</v>
      </c>
      <c r="O1037" s="32">
        <f t="shared" si="99"/>
        <v>2552.578</v>
      </c>
      <c r="P1037" s="20">
        <f t="shared" si="100"/>
        <v>10</v>
      </c>
      <c r="Q1037" s="20" t="str" cm="1">
        <f t="array" ref="Q1037">_xlfn.IFS(P1037&lt;=3,"Q1",P1037&lt;=6,"Q2",P1037&lt;=9,"Q3",P1037&lt;=12,"Q4")</f>
        <v>Q4</v>
      </c>
    </row>
    <row r="1038" spans="1:17" x14ac:dyDescent="0.25">
      <c r="A1038" s="8">
        <v>45950</v>
      </c>
      <c r="B1038" s="9" t="s">
        <v>65</v>
      </c>
      <c r="C1038" s="9" t="s">
        <v>66</v>
      </c>
      <c r="D1038" s="9" t="s">
        <v>67</v>
      </c>
      <c r="E1038" s="10">
        <v>223.84</v>
      </c>
      <c r="F1038" s="10">
        <v>226.09</v>
      </c>
      <c r="G1038" s="10">
        <v>223.41</v>
      </c>
      <c r="H1038" s="10">
        <v>223.49</v>
      </c>
      <c r="I1038" s="11">
        <v>3771789</v>
      </c>
      <c r="J1038" s="10">
        <v>55872500000</v>
      </c>
      <c r="K1038" s="30">
        <f t="shared" si="96"/>
        <v>-0.15636168691922547</v>
      </c>
      <c r="L1038" s="31">
        <f t="shared" si="97"/>
        <v>2.6800000000000068</v>
      </c>
      <c r="M1038" s="30">
        <f t="shared" si="98"/>
        <v>1.1972837741243776E-2</v>
      </c>
      <c r="N1038" s="20" t="str">
        <f t="shared" si="101"/>
        <v>High volume</v>
      </c>
      <c r="O1038" s="32">
        <f t="shared" si="99"/>
        <v>55.872500000000002</v>
      </c>
      <c r="P1038" s="20">
        <f t="shared" si="100"/>
        <v>10</v>
      </c>
      <c r="Q1038" s="20" t="str" cm="1">
        <f t="array" ref="Q1038">_xlfn.IFS(P1038&lt;=3,"Q1",P1038&lt;=6,"Q2",P1038&lt;=9,"Q3",P1038&lt;=12,"Q4")</f>
        <v>Q4</v>
      </c>
    </row>
    <row r="1039" spans="1:17" x14ac:dyDescent="0.25">
      <c r="A1039" s="14">
        <v>45950</v>
      </c>
      <c r="B1039" s="15" t="s">
        <v>69</v>
      </c>
      <c r="C1039" s="15" t="s">
        <v>70</v>
      </c>
      <c r="D1039" s="15" t="s">
        <v>71</v>
      </c>
      <c r="E1039" s="16">
        <v>618.88</v>
      </c>
      <c r="F1039" s="16">
        <v>627.54999999999995</v>
      </c>
      <c r="G1039" s="16">
        <v>613.62</v>
      </c>
      <c r="H1039" s="16">
        <v>618.79999999999995</v>
      </c>
      <c r="I1039" s="17">
        <v>2838633</v>
      </c>
      <c r="J1039" s="16">
        <v>495040000000</v>
      </c>
      <c r="K1039" s="30">
        <f t="shared" si="96"/>
        <v>-1.2926577042405785E-2</v>
      </c>
      <c r="L1039" s="31">
        <f t="shared" si="97"/>
        <v>13.92999999999995</v>
      </c>
      <c r="M1039" s="30">
        <f t="shared" si="98"/>
        <v>2.2508402275077478E-2</v>
      </c>
      <c r="N1039" s="20" t="str">
        <f t="shared" si="101"/>
        <v>High volume</v>
      </c>
      <c r="O1039" s="32">
        <f t="shared" si="99"/>
        <v>495.04</v>
      </c>
      <c r="P1039" s="20">
        <f t="shared" si="100"/>
        <v>10</v>
      </c>
      <c r="Q1039" s="20" t="str" cm="1">
        <f t="array" ref="Q1039">_xlfn.IFS(P1039&lt;=3,"Q1",P1039&lt;=6,"Q2",P1039&lt;=9,"Q3",P1039&lt;=12,"Q4")</f>
        <v>Q4</v>
      </c>
    </row>
    <row r="1040" spans="1:17" x14ac:dyDescent="0.25">
      <c r="A1040" s="8">
        <v>45950</v>
      </c>
      <c r="B1040" s="9" t="s">
        <v>73</v>
      </c>
      <c r="C1040" s="9" t="s">
        <v>74</v>
      </c>
      <c r="D1040" s="9" t="s">
        <v>75</v>
      </c>
      <c r="E1040" s="10">
        <v>72.290000000000006</v>
      </c>
      <c r="F1040" s="10">
        <v>72.77</v>
      </c>
      <c r="G1040" s="10">
        <v>71.52</v>
      </c>
      <c r="H1040" s="10">
        <v>72.489999999999995</v>
      </c>
      <c r="I1040" s="11">
        <v>1076819</v>
      </c>
      <c r="J1040" s="10">
        <v>15947800000</v>
      </c>
      <c r="K1040" s="30">
        <f t="shared" si="96"/>
        <v>0.27666343892653011</v>
      </c>
      <c r="L1040" s="31">
        <f t="shared" si="97"/>
        <v>1.25</v>
      </c>
      <c r="M1040" s="30">
        <f t="shared" si="98"/>
        <v>1.7291464932909114E-2</v>
      </c>
      <c r="N1040" s="20" t="str">
        <f t="shared" si="101"/>
        <v>Normal</v>
      </c>
      <c r="O1040" s="32">
        <f t="shared" si="99"/>
        <v>15.947800000000001</v>
      </c>
      <c r="P1040" s="20">
        <f t="shared" si="100"/>
        <v>10</v>
      </c>
      <c r="Q1040" s="20" t="str" cm="1">
        <f t="array" ref="Q1040">_xlfn.IFS(P1040&lt;=3,"Q1",P1040&lt;=6,"Q2",P1040&lt;=9,"Q3",P1040&lt;=12,"Q4")</f>
        <v>Q4</v>
      </c>
    </row>
    <row r="1041" spans="1:17" x14ac:dyDescent="0.25">
      <c r="A1041" s="14">
        <v>45950</v>
      </c>
      <c r="B1041" s="15" t="s">
        <v>76</v>
      </c>
      <c r="C1041" s="15" t="s">
        <v>77</v>
      </c>
      <c r="D1041" s="15" t="s">
        <v>75</v>
      </c>
      <c r="E1041" s="16">
        <v>142.55000000000001</v>
      </c>
      <c r="F1041" s="16">
        <v>142.79</v>
      </c>
      <c r="G1041" s="16">
        <v>142.46</v>
      </c>
      <c r="H1041" s="16">
        <v>142.62</v>
      </c>
      <c r="I1041" s="17">
        <v>4494759</v>
      </c>
      <c r="J1041" s="16">
        <v>28524000000</v>
      </c>
      <c r="K1041" s="30">
        <f t="shared" si="96"/>
        <v>4.9105576990524848E-2</v>
      </c>
      <c r="L1041" s="31">
        <f t="shared" si="97"/>
        <v>0.32999999999998408</v>
      </c>
      <c r="M1041" s="30">
        <f t="shared" si="98"/>
        <v>2.3149772009819999E-3</v>
      </c>
      <c r="N1041" s="20" t="str">
        <f t="shared" si="101"/>
        <v>High volume</v>
      </c>
      <c r="O1041" s="32">
        <f t="shared" si="99"/>
        <v>28.524000000000001</v>
      </c>
      <c r="P1041" s="20">
        <f t="shared" si="100"/>
        <v>10</v>
      </c>
      <c r="Q1041" s="20" t="str" cm="1">
        <f t="array" ref="Q1041">_xlfn.IFS(P1041&lt;=3,"Q1",P1041&lt;=6,"Q2",P1041&lt;=9,"Q3",P1041&lt;=12,"Q4")</f>
        <v>Q4</v>
      </c>
    </row>
    <row r="1042" spans="1:17" x14ac:dyDescent="0.25">
      <c r="A1042" s="8">
        <v>45951</v>
      </c>
      <c r="B1042" s="9" t="s">
        <v>60</v>
      </c>
      <c r="C1042" s="9" t="s">
        <v>61</v>
      </c>
      <c r="D1042" s="9" t="s">
        <v>62</v>
      </c>
      <c r="E1042" s="10">
        <v>1837.77</v>
      </c>
      <c r="F1042" s="10">
        <v>1848.81</v>
      </c>
      <c r="G1042" s="10">
        <v>1808.01</v>
      </c>
      <c r="H1042" s="10">
        <v>1820.67</v>
      </c>
      <c r="I1042" s="11">
        <v>3045909</v>
      </c>
      <c r="J1042" s="10">
        <v>2548938000000</v>
      </c>
      <c r="K1042" s="30">
        <f t="shared" si="96"/>
        <v>-0.93047552196411465</v>
      </c>
      <c r="L1042" s="31">
        <f t="shared" si="97"/>
        <v>40.799999999999955</v>
      </c>
      <c r="M1042" s="30">
        <f t="shared" si="98"/>
        <v>2.2200819471424584E-2</v>
      </c>
      <c r="N1042" s="20" t="str">
        <f t="shared" si="101"/>
        <v>High volume</v>
      </c>
      <c r="O1042" s="32">
        <f t="shared" si="99"/>
        <v>2548.9380000000001</v>
      </c>
      <c r="P1042" s="20">
        <f t="shared" si="100"/>
        <v>10</v>
      </c>
      <c r="Q1042" s="20" t="str" cm="1">
        <f t="array" ref="Q1042">_xlfn.IFS(P1042&lt;=3,"Q1",P1042&lt;=6,"Q2",P1042&lt;=9,"Q3",P1042&lt;=12,"Q4")</f>
        <v>Q4</v>
      </c>
    </row>
    <row r="1043" spans="1:17" x14ac:dyDescent="0.25">
      <c r="A1043" s="14">
        <v>45951</v>
      </c>
      <c r="B1043" s="15" t="s">
        <v>65</v>
      </c>
      <c r="C1043" s="15" t="s">
        <v>66</v>
      </c>
      <c r="D1043" s="15" t="s">
        <v>67</v>
      </c>
      <c r="E1043" s="16">
        <v>224.24</v>
      </c>
      <c r="F1043" s="16">
        <v>226.5</v>
      </c>
      <c r="G1043" s="16">
        <v>221.39</v>
      </c>
      <c r="H1043" s="16">
        <v>225.59</v>
      </c>
      <c r="I1043" s="17">
        <v>4629751</v>
      </c>
      <c r="J1043" s="16">
        <v>56397500000</v>
      </c>
      <c r="K1043" s="30">
        <f t="shared" si="96"/>
        <v>0.60203353549767846</v>
      </c>
      <c r="L1043" s="31">
        <f t="shared" si="97"/>
        <v>5.1100000000000136</v>
      </c>
      <c r="M1043" s="30">
        <f t="shared" si="98"/>
        <v>2.2788084195504876E-2</v>
      </c>
      <c r="N1043" s="20" t="str">
        <f t="shared" si="101"/>
        <v>High volume</v>
      </c>
      <c r="O1043" s="32">
        <f t="shared" si="99"/>
        <v>56.397500000000001</v>
      </c>
      <c r="P1043" s="20">
        <f t="shared" si="100"/>
        <v>10</v>
      </c>
      <c r="Q1043" s="20" t="str" cm="1">
        <f t="array" ref="Q1043">_xlfn.IFS(P1043&lt;=3,"Q1",P1043&lt;=6,"Q2",P1043&lt;=9,"Q3",P1043&lt;=12,"Q4")</f>
        <v>Q4</v>
      </c>
    </row>
    <row r="1044" spans="1:17" x14ac:dyDescent="0.25">
      <c r="A1044" s="8">
        <v>45951</v>
      </c>
      <c r="B1044" s="9" t="s">
        <v>69</v>
      </c>
      <c r="C1044" s="9" t="s">
        <v>70</v>
      </c>
      <c r="D1044" s="9" t="s">
        <v>71</v>
      </c>
      <c r="E1044" s="10">
        <v>616.72</v>
      </c>
      <c r="F1044" s="10">
        <v>619.08000000000004</v>
      </c>
      <c r="G1044" s="10">
        <v>615.85</v>
      </c>
      <c r="H1044" s="10">
        <v>618.16</v>
      </c>
      <c r="I1044" s="11">
        <v>4681746</v>
      </c>
      <c r="J1044" s="10">
        <v>494528000000</v>
      </c>
      <c r="K1044" s="30">
        <f t="shared" si="96"/>
        <v>0.23349331949668256</v>
      </c>
      <c r="L1044" s="31">
        <f t="shared" si="97"/>
        <v>3.2300000000000182</v>
      </c>
      <c r="M1044" s="30">
        <f t="shared" si="98"/>
        <v>5.2373848748216659E-3</v>
      </c>
      <c r="N1044" s="20" t="str">
        <f t="shared" si="101"/>
        <v>High volume</v>
      </c>
      <c r="O1044" s="32">
        <f t="shared" si="99"/>
        <v>494.52800000000002</v>
      </c>
      <c r="P1044" s="20">
        <f t="shared" si="100"/>
        <v>10</v>
      </c>
      <c r="Q1044" s="20" t="str" cm="1">
        <f t="array" ref="Q1044">_xlfn.IFS(P1044&lt;=3,"Q1",P1044&lt;=6,"Q2",P1044&lt;=9,"Q3",P1044&lt;=12,"Q4")</f>
        <v>Q4</v>
      </c>
    </row>
    <row r="1045" spans="1:17" x14ac:dyDescent="0.25">
      <c r="A1045" s="14">
        <v>45951</v>
      </c>
      <c r="B1045" s="15" t="s">
        <v>73</v>
      </c>
      <c r="C1045" s="15" t="s">
        <v>74</v>
      </c>
      <c r="D1045" s="15" t="s">
        <v>75</v>
      </c>
      <c r="E1045" s="16">
        <v>71.31</v>
      </c>
      <c r="F1045" s="16">
        <v>71.680000000000007</v>
      </c>
      <c r="G1045" s="16">
        <v>70.98</v>
      </c>
      <c r="H1045" s="16">
        <v>71.010000000000005</v>
      </c>
      <c r="I1045" s="17">
        <v>1030445</v>
      </c>
      <c r="J1045" s="16">
        <v>15622200000</v>
      </c>
      <c r="K1045" s="30">
        <f t="shared" si="96"/>
        <v>-0.42069835927639482</v>
      </c>
      <c r="L1045" s="31">
        <f t="shared" si="97"/>
        <v>0.70000000000000284</v>
      </c>
      <c r="M1045" s="30">
        <f t="shared" si="98"/>
        <v>9.8162950497826789E-3</v>
      </c>
      <c r="N1045" s="20" t="str">
        <f t="shared" si="101"/>
        <v>Normal</v>
      </c>
      <c r="O1045" s="32">
        <f t="shared" si="99"/>
        <v>15.622199999999999</v>
      </c>
      <c r="P1045" s="20">
        <f t="shared" si="100"/>
        <v>10</v>
      </c>
      <c r="Q1045" s="20" t="str" cm="1">
        <f t="array" ref="Q1045">_xlfn.IFS(P1045&lt;=3,"Q1",P1045&lt;=6,"Q2",P1045&lt;=9,"Q3",P1045&lt;=12,"Q4")</f>
        <v>Q4</v>
      </c>
    </row>
    <row r="1046" spans="1:17" x14ac:dyDescent="0.25">
      <c r="A1046" s="8">
        <v>45951</v>
      </c>
      <c r="B1046" s="9" t="s">
        <v>76</v>
      </c>
      <c r="C1046" s="9" t="s">
        <v>77</v>
      </c>
      <c r="D1046" s="9" t="s">
        <v>75</v>
      </c>
      <c r="E1046" s="10">
        <v>140.41</v>
      </c>
      <c r="F1046" s="10">
        <v>142.44999999999999</v>
      </c>
      <c r="G1046" s="10">
        <v>138.88</v>
      </c>
      <c r="H1046" s="10">
        <v>141.54</v>
      </c>
      <c r="I1046" s="11">
        <v>488578</v>
      </c>
      <c r="J1046" s="10">
        <v>28308000000</v>
      </c>
      <c r="K1046" s="30">
        <f t="shared" si="96"/>
        <v>0.80478598390427702</v>
      </c>
      <c r="L1046" s="31">
        <f t="shared" si="97"/>
        <v>3.5699999999999932</v>
      </c>
      <c r="M1046" s="30">
        <f t="shared" si="98"/>
        <v>2.5425539491489162E-2</v>
      </c>
      <c r="N1046" s="20" t="str">
        <f t="shared" si="101"/>
        <v>Normal</v>
      </c>
      <c r="O1046" s="32">
        <f t="shared" si="99"/>
        <v>28.308</v>
      </c>
      <c r="P1046" s="20">
        <f t="shared" si="100"/>
        <v>10</v>
      </c>
      <c r="Q1046" s="20" t="str" cm="1">
        <f t="array" ref="Q1046">_xlfn.IFS(P1046&lt;=3,"Q1",P1046&lt;=6,"Q2",P1046&lt;=9,"Q3",P1046&lt;=12,"Q4")</f>
        <v>Q4</v>
      </c>
    </row>
    <row r="1047" spans="1:17" x14ac:dyDescent="0.25">
      <c r="A1047" s="14">
        <v>45952</v>
      </c>
      <c r="B1047" s="15" t="s">
        <v>60</v>
      </c>
      <c r="C1047" s="15" t="s">
        <v>61</v>
      </c>
      <c r="D1047" s="15" t="s">
        <v>62</v>
      </c>
      <c r="E1047" s="16">
        <v>1849.13</v>
      </c>
      <c r="F1047" s="16">
        <v>1860.44</v>
      </c>
      <c r="G1047" s="16">
        <v>1843.14</v>
      </c>
      <c r="H1047" s="16">
        <v>1858.57</v>
      </c>
      <c r="I1047" s="17">
        <v>2991739</v>
      </c>
      <c r="J1047" s="16">
        <v>2601998000000</v>
      </c>
      <c r="K1047" s="30">
        <f t="shared" si="96"/>
        <v>0.51051034810964224</v>
      </c>
      <c r="L1047" s="31">
        <f t="shared" si="97"/>
        <v>17.299999999999955</v>
      </c>
      <c r="M1047" s="30">
        <f t="shared" si="98"/>
        <v>9.355751082941682E-3</v>
      </c>
      <c r="N1047" s="20" t="str">
        <f t="shared" si="101"/>
        <v>High volume</v>
      </c>
      <c r="O1047" s="32">
        <f t="shared" si="99"/>
        <v>2601.998</v>
      </c>
      <c r="P1047" s="20">
        <f t="shared" si="100"/>
        <v>10</v>
      </c>
      <c r="Q1047" s="20" t="str" cm="1">
        <f t="array" ref="Q1047">_xlfn.IFS(P1047&lt;=3,"Q1",P1047&lt;=6,"Q2",P1047&lt;=9,"Q3",P1047&lt;=12,"Q4")</f>
        <v>Q4</v>
      </c>
    </row>
    <row r="1048" spans="1:17" x14ac:dyDescent="0.25">
      <c r="A1048" s="8">
        <v>45952</v>
      </c>
      <c r="B1048" s="9" t="s">
        <v>65</v>
      </c>
      <c r="C1048" s="9" t="s">
        <v>66</v>
      </c>
      <c r="D1048" s="9" t="s">
        <v>67</v>
      </c>
      <c r="E1048" s="10">
        <v>226.49</v>
      </c>
      <c r="F1048" s="10">
        <v>227.91</v>
      </c>
      <c r="G1048" s="10">
        <v>223.43</v>
      </c>
      <c r="H1048" s="10">
        <v>226.44</v>
      </c>
      <c r="I1048" s="11">
        <v>2587189</v>
      </c>
      <c r="J1048" s="10">
        <v>56610000000</v>
      </c>
      <c r="K1048" s="30">
        <f t="shared" si="96"/>
        <v>-2.2076029846797372E-2</v>
      </c>
      <c r="L1048" s="31">
        <f t="shared" si="97"/>
        <v>4.4799999999999898</v>
      </c>
      <c r="M1048" s="30">
        <f t="shared" si="98"/>
        <v>1.9780122742725902E-2</v>
      </c>
      <c r="N1048" s="20" t="str">
        <f t="shared" si="101"/>
        <v>High volume</v>
      </c>
      <c r="O1048" s="32">
        <f t="shared" si="99"/>
        <v>56.61</v>
      </c>
      <c r="P1048" s="20">
        <f t="shared" si="100"/>
        <v>10</v>
      </c>
      <c r="Q1048" s="20" t="str" cm="1">
        <f t="array" ref="Q1048">_xlfn.IFS(P1048&lt;=3,"Q1",P1048&lt;=6,"Q2",P1048&lt;=9,"Q3",P1048&lt;=12,"Q4")</f>
        <v>Q4</v>
      </c>
    </row>
    <row r="1049" spans="1:17" x14ac:dyDescent="0.25">
      <c r="A1049" s="14">
        <v>45952</v>
      </c>
      <c r="B1049" s="15" t="s">
        <v>69</v>
      </c>
      <c r="C1049" s="15" t="s">
        <v>70</v>
      </c>
      <c r="D1049" s="15" t="s">
        <v>71</v>
      </c>
      <c r="E1049" s="16">
        <v>615.07000000000005</v>
      </c>
      <c r="F1049" s="16">
        <v>617.4</v>
      </c>
      <c r="G1049" s="16">
        <v>611.9</v>
      </c>
      <c r="H1049" s="16">
        <v>611.98</v>
      </c>
      <c r="I1049" s="17">
        <v>4994481</v>
      </c>
      <c r="J1049" s="16">
        <v>489584000000</v>
      </c>
      <c r="K1049" s="30">
        <f t="shared" si="96"/>
        <v>-0.50238184271709418</v>
      </c>
      <c r="L1049" s="31">
        <f t="shared" si="97"/>
        <v>5.5</v>
      </c>
      <c r="M1049" s="30">
        <f t="shared" si="98"/>
        <v>8.9420716341229445E-3</v>
      </c>
      <c r="N1049" s="20" t="str">
        <f t="shared" si="101"/>
        <v>High volume</v>
      </c>
      <c r="O1049" s="32">
        <f t="shared" si="99"/>
        <v>489.584</v>
      </c>
      <c r="P1049" s="20">
        <f t="shared" si="100"/>
        <v>10</v>
      </c>
      <c r="Q1049" s="20" t="str" cm="1">
        <f t="array" ref="Q1049">_xlfn.IFS(P1049&lt;=3,"Q1",P1049&lt;=6,"Q2",P1049&lt;=9,"Q3",P1049&lt;=12,"Q4")</f>
        <v>Q4</v>
      </c>
    </row>
    <row r="1050" spans="1:17" x14ac:dyDescent="0.25">
      <c r="A1050" s="8">
        <v>45952</v>
      </c>
      <c r="B1050" s="9" t="s">
        <v>73</v>
      </c>
      <c r="C1050" s="9" t="s">
        <v>74</v>
      </c>
      <c r="D1050" s="9" t="s">
        <v>75</v>
      </c>
      <c r="E1050" s="10">
        <v>70.3</v>
      </c>
      <c r="F1050" s="10">
        <v>70.33</v>
      </c>
      <c r="G1050" s="10">
        <v>70.010000000000005</v>
      </c>
      <c r="H1050" s="10">
        <v>70.06</v>
      </c>
      <c r="I1050" s="11">
        <v>2676221</v>
      </c>
      <c r="J1050" s="10">
        <v>15413200000</v>
      </c>
      <c r="K1050" s="30">
        <f t="shared" si="96"/>
        <v>-0.34139402560454463</v>
      </c>
      <c r="L1050" s="31">
        <f t="shared" si="97"/>
        <v>0.31999999999999318</v>
      </c>
      <c r="M1050" s="30">
        <f t="shared" si="98"/>
        <v>4.5519203413939288E-3</v>
      </c>
      <c r="N1050" s="20" t="str">
        <f t="shared" si="101"/>
        <v>High volume</v>
      </c>
      <c r="O1050" s="32">
        <f t="shared" si="99"/>
        <v>15.4132</v>
      </c>
      <c r="P1050" s="20">
        <f t="shared" si="100"/>
        <v>10</v>
      </c>
      <c r="Q1050" s="20" t="str" cm="1">
        <f t="array" ref="Q1050">_xlfn.IFS(P1050&lt;=3,"Q1",P1050&lt;=6,"Q2",P1050&lt;=9,"Q3",P1050&lt;=12,"Q4")</f>
        <v>Q4</v>
      </c>
    </row>
    <row r="1051" spans="1:17" x14ac:dyDescent="0.25">
      <c r="A1051" s="14">
        <v>45952</v>
      </c>
      <c r="B1051" s="15" t="s">
        <v>76</v>
      </c>
      <c r="C1051" s="15" t="s">
        <v>77</v>
      </c>
      <c r="D1051" s="15" t="s">
        <v>75</v>
      </c>
      <c r="E1051" s="16">
        <v>143.07</v>
      </c>
      <c r="F1051" s="16">
        <v>143.69999999999999</v>
      </c>
      <c r="G1051" s="16">
        <v>142.76</v>
      </c>
      <c r="H1051" s="16">
        <v>143.05000000000001</v>
      </c>
      <c r="I1051" s="17">
        <v>3141547</v>
      </c>
      <c r="J1051" s="16">
        <v>28610000000</v>
      </c>
      <c r="K1051" s="30">
        <f t="shared" si="96"/>
        <v>-1.3979171035144903E-2</v>
      </c>
      <c r="L1051" s="31">
        <f t="shared" si="97"/>
        <v>0.93999999999999773</v>
      </c>
      <c r="M1051" s="30">
        <f t="shared" si="98"/>
        <v>6.5702103865240636E-3</v>
      </c>
      <c r="N1051" s="20" t="str">
        <f t="shared" si="101"/>
        <v>High volume</v>
      </c>
      <c r="O1051" s="32">
        <f t="shared" si="99"/>
        <v>28.61</v>
      </c>
      <c r="P1051" s="20">
        <f t="shared" si="100"/>
        <v>10</v>
      </c>
      <c r="Q1051" s="20" t="str" cm="1">
        <f t="array" ref="Q1051">_xlfn.IFS(P1051&lt;=3,"Q1",P1051&lt;=6,"Q2",P1051&lt;=9,"Q3",P1051&lt;=12,"Q4")</f>
        <v>Q4</v>
      </c>
    </row>
    <row r="1052" spans="1:17" x14ac:dyDescent="0.25">
      <c r="A1052" s="8">
        <v>45953</v>
      </c>
      <c r="B1052" s="9" t="s">
        <v>60</v>
      </c>
      <c r="C1052" s="9" t="s">
        <v>61</v>
      </c>
      <c r="D1052" s="9" t="s">
        <v>62</v>
      </c>
      <c r="E1052" s="10">
        <v>1850.24</v>
      </c>
      <c r="F1052" s="10">
        <v>1851.44</v>
      </c>
      <c r="G1052" s="10">
        <v>1818.77</v>
      </c>
      <c r="H1052" s="10">
        <v>1820.42</v>
      </c>
      <c r="I1052" s="11">
        <v>3517867</v>
      </c>
      <c r="J1052" s="10">
        <v>2548588000000</v>
      </c>
      <c r="K1052" s="30">
        <f t="shared" si="96"/>
        <v>-1.6116828087167037</v>
      </c>
      <c r="L1052" s="31">
        <f t="shared" si="97"/>
        <v>32.670000000000073</v>
      </c>
      <c r="M1052" s="30">
        <f t="shared" si="98"/>
        <v>1.765716879972332E-2</v>
      </c>
      <c r="N1052" s="20" t="str">
        <f t="shared" si="101"/>
        <v>High volume</v>
      </c>
      <c r="O1052" s="32">
        <f t="shared" si="99"/>
        <v>2548.5880000000002</v>
      </c>
      <c r="P1052" s="20">
        <f t="shared" si="100"/>
        <v>10</v>
      </c>
      <c r="Q1052" s="20" t="str" cm="1">
        <f t="array" ref="Q1052">_xlfn.IFS(P1052&lt;=3,"Q1",P1052&lt;=6,"Q2",P1052&lt;=9,"Q3",P1052&lt;=12,"Q4")</f>
        <v>Q4</v>
      </c>
    </row>
    <row r="1053" spans="1:17" x14ac:dyDescent="0.25">
      <c r="A1053" s="14">
        <v>45953</v>
      </c>
      <c r="B1053" s="15" t="s">
        <v>65</v>
      </c>
      <c r="C1053" s="15" t="s">
        <v>66</v>
      </c>
      <c r="D1053" s="15" t="s">
        <v>67</v>
      </c>
      <c r="E1053" s="16">
        <v>227.82</v>
      </c>
      <c r="F1053" s="16">
        <v>229.63</v>
      </c>
      <c r="G1053" s="16">
        <v>227.18</v>
      </c>
      <c r="H1053" s="16">
        <v>227.62</v>
      </c>
      <c r="I1053" s="17">
        <v>4039945</v>
      </c>
      <c r="J1053" s="16">
        <v>56905000000</v>
      </c>
      <c r="K1053" s="30">
        <f t="shared" si="96"/>
        <v>-8.7788605039060941E-2</v>
      </c>
      <c r="L1053" s="31">
        <f t="shared" si="97"/>
        <v>2.4499999999999886</v>
      </c>
      <c r="M1053" s="30">
        <f t="shared" si="98"/>
        <v>1.0754104117285527E-2</v>
      </c>
      <c r="N1053" s="20" t="str">
        <f t="shared" si="101"/>
        <v>High volume</v>
      </c>
      <c r="O1053" s="32">
        <f t="shared" si="99"/>
        <v>56.905000000000001</v>
      </c>
      <c r="P1053" s="20">
        <f t="shared" si="100"/>
        <v>10</v>
      </c>
      <c r="Q1053" s="20" t="str" cm="1">
        <f t="array" ref="Q1053">_xlfn.IFS(P1053&lt;=3,"Q1",P1053&lt;=6,"Q2",P1053&lt;=9,"Q3",P1053&lt;=12,"Q4")</f>
        <v>Q4</v>
      </c>
    </row>
    <row r="1054" spans="1:17" x14ac:dyDescent="0.25">
      <c r="A1054" s="8">
        <v>45953</v>
      </c>
      <c r="B1054" s="9" t="s">
        <v>69</v>
      </c>
      <c r="C1054" s="9" t="s">
        <v>70</v>
      </c>
      <c r="D1054" s="9" t="s">
        <v>71</v>
      </c>
      <c r="E1054" s="10">
        <v>606.19000000000005</v>
      </c>
      <c r="F1054" s="10">
        <v>608.99</v>
      </c>
      <c r="G1054" s="10">
        <v>603.04</v>
      </c>
      <c r="H1054" s="10">
        <v>607.03</v>
      </c>
      <c r="I1054" s="11">
        <v>4775195</v>
      </c>
      <c r="J1054" s="10">
        <v>485624000000</v>
      </c>
      <c r="K1054" s="30">
        <f t="shared" si="96"/>
        <v>0.13857041521633781</v>
      </c>
      <c r="L1054" s="31">
        <f t="shared" si="97"/>
        <v>5.9500000000000455</v>
      </c>
      <c r="M1054" s="30">
        <f t="shared" si="98"/>
        <v>9.8154044111582912E-3</v>
      </c>
      <c r="N1054" s="20" t="str">
        <f t="shared" si="101"/>
        <v>High volume</v>
      </c>
      <c r="O1054" s="32">
        <f t="shared" si="99"/>
        <v>485.62400000000002</v>
      </c>
      <c r="P1054" s="20">
        <f t="shared" si="100"/>
        <v>10</v>
      </c>
      <c r="Q1054" s="20" t="str" cm="1">
        <f t="array" ref="Q1054">_xlfn.IFS(P1054&lt;=3,"Q1",P1054&lt;=6,"Q2",P1054&lt;=9,"Q3",P1054&lt;=12,"Q4")</f>
        <v>Q4</v>
      </c>
    </row>
    <row r="1055" spans="1:17" x14ac:dyDescent="0.25">
      <c r="A1055" s="14">
        <v>45953</v>
      </c>
      <c r="B1055" s="15" t="s">
        <v>73</v>
      </c>
      <c r="C1055" s="15" t="s">
        <v>74</v>
      </c>
      <c r="D1055" s="15" t="s">
        <v>75</v>
      </c>
      <c r="E1055" s="16">
        <v>68.56</v>
      </c>
      <c r="F1055" s="16">
        <v>69.650000000000006</v>
      </c>
      <c r="G1055" s="16">
        <v>67.97</v>
      </c>
      <c r="H1055" s="16">
        <v>69.25</v>
      </c>
      <c r="I1055" s="17">
        <v>1405578</v>
      </c>
      <c r="J1055" s="16">
        <v>15235000000</v>
      </c>
      <c r="K1055" s="30">
        <f t="shared" si="96"/>
        <v>1.0064177362893783</v>
      </c>
      <c r="L1055" s="31">
        <f t="shared" si="97"/>
        <v>1.6800000000000068</v>
      </c>
      <c r="M1055" s="30">
        <f t="shared" si="98"/>
        <v>2.4504084014002434E-2</v>
      </c>
      <c r="N1055" s="20" t="str">
        <f t="shared" si="101"/>
        <v>Normal</v>
      </c>
      <c r="O1055" s="32">
        <f t="shared" si="99"/>
        <v>15.234999999999999</v>
      </c>
      <c r="P1055" s="20">
        <f t="shared" si="100"/>
        <v>10</v>
      </c>
      <c r="Q1055" s="20" t="str" cm="1">
        <f t="array" ref="Q1055">_xlfn.IFS(P1055&lt;=3,"Q1",P1055&lt;=6,"Q2",P1055&lt;=9,"Q3",P1055&lt;=12,"Q4")</f>
        <v>Q4</v>
      </c>
    </row>
    <row r="1056" spans="1:17" x14ac:dyDescent="0.25">
      <c r="A1056" s="8">
        <v>45953</v>
      </c>
      <c r="B1056" s="9" t="s">
        <v>76</v>
      </c>
      <c r="C1056" s="9" t="s">
        <v>77</v>
      </c>
      <c r="D1056" s="9" t="s">
        <v>75</v>
      </c>
      <c r="E1056" s="10">
        <v>146.30000000000001</v>
      </c>
      <c r="F1056" s="10">
        <v>147.46</v>
      </c>
      <c r="G1056" s="10">
        <v>146.13</v>
      </c>
      <c r="H1056" s="10">
        <v>146.54</v>
      </c>
      <c r="I1056" s="11">
        <v>4204029</v>
      </c>
      <c r="J1056" s="10">
        <v>29308000000</v>
      </c>
      <c r="K1056" s="30">
        <f t="shared" si="96"/>
        <v>0.16404647983594031</v>
      </c>
      <c r="L1056" s="31">
        <f t="shared" si="97"/>
        <v>1.3300000000000125</v>
      </c>
      <c r="M1056" s="30">
        <f t="shared" si="98"/>
        <v>9.0909090909091755E-3</v>
      </c>
      <c r="N1056" s="20" t="str">
        <f t="shared" si="101"/>
        <v>High volume</v>
      </c>
      <c r="O1056" s="32">
        <f t="shared" si="99"/>
        <v>29.308</v>
      </c>
      <c r="P1056" s="20">
        <f t="shared" si="100"/>
        <v>10</v>
      </c>
      <c r="Q1056" s="20" t="str" cm="1">
        <f t="array" ref="Q1056">_xlfn.IFS(P1056&lt;=3,"Q1",P1056&lt;=6,"Q2",P1056&lt;=9,"Q3",P1056&lt;=12,"Q4")</f>
        <v>Q4</v>
      </c>
    </row>
    <row r="1057" spans="1:17" x14ac:dyDescent="0.25">
      <c r="A1057" s="14">
        <v>45954</v>
      </c>
      <c r="B1057" s="15" t="s">
        <v>60</v>
      </c>
      <c r="C1057" s="15" t="s">
        <v>61</v>
      </c>
      <c r="D1057" s="15" t="s">
        <v>62</v>
      </c>
      <c r="E1057" s="16">
        <v>1809.07</v>
      </c>
      <c r="F1057" s="16">
        <v>1843.6</v>
      </c>
      <c r="G1057" s="16">
        <v>1802.61</v>
      </c>
      <c r="H1057" s="16">
        <v>1808.5</v>
      </c>
      <c r="I1057" s="17">
        <v>2464703</v>
      </c>
      <c r="J1057" s="16">
        <v>2531900000000</v>
      </c>
      <c r="K1057" s="30">
        <f t="shared" si="96"/>
        <v>-3.1507901850118369E-2</v>
      </c>
      <c r="L1057" s="31">
        <f t="shared" si="97"/>
        <v>40.990000000000009</v>
      </c>
      <c r="M1057" s="30">
        <f t="shared" si="98"/>
        <v>2.2658050821692921E-2</v>
      </c>
      <c r="N1057" s="20" t="str">
        <f t="shared" si="101"/>
        <v>High volume</v>
      </c>
      <c r="O1057" s="32">
        <f t="shared" si="99"/>
        <v>2531.9</v>
      </c>
      <c r="P1057" s="20">
        <f t="shared" si="100"/>
        <v>10</v>
      </c>
      <c r="Q1057" s="20" t="str" cm="1">
        <f t="array" ref="Q1057">_xlfn.IFS(P1057&lt;=3,"Q1",P1057&lt;=6,"Q2",P1057&lt;=9,"Q3",P1057&lt;=12,"Q4")</f>
        <v>Q4</v>
      </c>
    </row>
    <row r="1058" spans="1:17" x14ac:dyDescent="0.25">
      <c r="A1058" s="8">
        <v>45954</v>
      </c>
      <c r="B1058" s="9" t="s">
        <v>65</v>
      </c>
      <c r="C1058" s="9" t="s">
        <v>66</v>
      </c>
      <c r="D1058" s="9" t="s">
        <v>67</v>
      </c>
      <c r="E1058" s="10">
        <v>230.57</v>
      </c>
      <c r="F1058" s="10">
        <v>231.53</v>
      </c>
      <c r="G1058" s="10">
        <v>229.72</v>
      </c>
      <c r="H1058" s="10">
        <v>231.15</v>
      </c>
      <c r="I1058" s="11">
        <v>3024293</v>
      </c>
      <c r="J1058" s="10">
        <v>57787500000</v>
      </c>
      <c r="K1058" s="30">
        <f t="shared" si="96"/>
        <v>0.2515505052695548</v>
      </c>
      <c r="L1058" s="31">
        <f t="shared" si="97"/>
        <v>1.8100000000000023</v>
      </c>
      <c r="M1058" s="30">
        <f t="shared" si="98"/>
        <v>7.8501105954807745E-3</v>
      </c>
      <c r="N1058" s="20" t="str">
        <f t="shared" si="101"/>
        <v>High volume</v>
      </c>
      <c r="O1058" s="32">
        <f t="shared" si="99"/>
        <v>57.787500000000001</v>
      </c>
      <c r="P1058" s="20">
        <f t="shared" si="100"/>
        <v>10</v>
      </c>
      <c r="Q1058" s="20" t="str" cm="1">
        <f t="array" ref="Q1058">_xlfn.IFS(P1058&lt;=3,"Q1",P1058&lt;=6,"Q2",P1058&lt;=9,"Q3",P1058&lt;=12,"Q4")</f>
        <v>Q4</v>
      </c>
    </row>
    <row r="1059" spans="1:17" x14ac:dyDescent="0.25">
      <c r="A1059" s="14">
        <v>45954</v>
      </c>
      <c r="B1059" s="15" t="s">
        <v>69</v>
      </c>
      <c r="C1059" s="15" t="s">
        <v>70</v>
      </c>
      <c r="D1059" s="15" t="s">
        <v>71</v>
      </c>
      <c r="E1059" s="16">
        <v>594.35</v>
      </c>
      <c r="F1059" s="16">
        <v>595.48</v>
      </c>
      <c r="G1059" s="16">
        <v>594.01</v>
      </c>
      <c r="H1059" s="16">
        <v>594.71</v>
      </c>
      <c r="I1059" s="17">
        <v>3248099</v>
      </c>
      <c r="J1059" s="16">
        <v>475768000000</v>
      </c>
      <c r="K1059" s="30">
        <f t="shared" si="96"/>
        <v>6.0570370993524629E-2</v>
      </c>
      <c r="L1059" s="31">
        <f t="shared" si="97"/>
        <v>1.4700000000000273</v>
      </c>
      <c r="M1059" s="30">
        <f t="shared" si="98"/>
        <v>2.4732901489022078E-3</v>
      </c>
      <c r="N1059" s="20" t="str">
        <f t="shared" si="101"/>
        <v>High volume</v>
      </c>
      <c r="O1059" s="32">
        <f t="shared" si="99"/>
        <v>475.76799999999997</v>
      </c>
      <c r="P1059" s="20">
        <f t="shared" si="100"/>
        <v>10</v>
      </c>
      <c r="Q1059" s="20" t="str" cm="1">
        <f t="array" ref="Q1059">_xlfn.IFS(P1059&lt;=3,"Q1",P1059&lt;=6,"Q2",P1059&lt;=9,"Q3",P1059&lt;=12,"Q4")</f>
        <v>Q4</v>
      </c>
    </row>
    <row r="1060" spans="1:17" x14ac:dyDescent="0.25">
      <c r="A1060" s="8">
        <v>45954</v>
      </c>
      <c r="B1060" s="9" t="s">
        <v>73</v>
      </c>
      <c r="C1060" s="9" t="s">
        <v>74</v>
      </c>
      <c r="D1060" s="9" t="s">
        <v>75</v>
      </c>
      <c r="E1060" s="10">
        <v>67.27</v>
      </c>
      <c r="F1060" s="10">
        <v>67.41</v>
      </c>
      <c r="G1060" s="10">
        <v>67.17</v>
      </c>
      <c r="H1060" s="10">
        <v>67.31</v>
      </c>
      <c r="I1060" s="11">
        <v>4560990</v>
      </c>
      <c r="J1060" s="10">
        <v>14808200000</v>
      </c>
      <c r="K1060" s="30">
        <f t="shared" si="96"/>
        <v>5.9461870075823181E-2</v>
      </c>
      <c r="L1060" s="31">
        <f t="shared" si="97"/>
        <v>0.23999999999999488</v>
      </c>
      <c r="M1060" s="30">
        <f t="shared" si="98"/>
        <v>3.5677122045487571E-3</v>
      </c>
      <c r="N1060" s="20" t="str">
        <f t="shared" si="101"/>
        <v>High volume</v>
      </c>
      <c r="O1060" s="32">
        <f t="shared" si="99"/>
        <v>14.808199999999999</v>
      </c>
      <c r="P1060" s="20">
        <f t="shared" si="100"/>
        <v>10</v>
      </c>
      <c r="Q1060" s="20" t="str" cm="1">
        <f t="array" ref="Q1060">_xlfn.IFS(P1060&lt;=3,"Q1",P1060&lt;=6,"Q2",P1060&lt;=9,"Q3",P1060&lt;=12,"Q4")</f>
        <v>Q4</v>
      </c>
    </row>
    <row r="1061" spans="1:17" x14ac:dyDescent="0.25">
      <c r="A1061" s="14">
        <v>45954</v>
      </c>
      <c r="B1061" s="15" t="s">
        <v>76</v>
      </c>
      <c r="C1061" s="15" t="s">
        <v>77</v>
      </c>
      <c r="D1061" s="15" t="s">
        <v>75</v>
      </c>
      <c r="E1061" s="16">
        <v>148.56</v>
      </c>
      <c r="F1061" s="16">
        <v>150.31</v>
      </c>
      <c r="G1061" s="16">
        <v>147.24</v>
      </c>
      <c r="H1061" s="16">
        <v>149.69</v>
      </c>
      <c r="I1061" s="17">
        <v>3033593</v>
      </c>
      <c r="J1061" s="16">
        <v>29938000000</v>
      </c>
      <c r="K1061" s="30">
        <f t="shared" si="96"/>
        <v>0.76063543349488116</v>
      </c>
      <c r="L1061" s="31">
        <f t="shared" si="97"/>
        <v>3.0699999999999932</v>
      </c>
      <c r="M1061" s="30">
        <f t="shared" si="98"/>
        <v>2.0665051157781323E-2</v>
      </c>
      <c r="N1061" s="20" t="str">
        <f t="shared" si="101"/>
        <v>High volume</v>
      </c>
      <c r="O1061" s="32">
        <f t="shared" si="99"/>
        <v>29.937999999999999</v>
      </c>
      <c r="P1061" s="20">
        <f t="shared" si="100"/>
        <v>10</v>
      </c>
      <c r="Q1061" s="20" t="str" cm="1">
        <f t="array" ref="Q1061">_xlfn.IFS(P1061&lt;=3,"Q1",P1061&lt;=6,"Q2",P1061&lt;=9,"Q3",P1061&lt;=12,"Q4")</f>
        <v>Q4</v>
      </c>
    </row>
    <row r="1062" spans="1:17" x14ac:dyDescent="0.25">
      <c r="A1062" s="8">
        <v>45957</v>
      </c>
      <c r="B1062" s="9" t="s">
        <v>60</v>
      </c>
      <c r="C1062" s="9" t="s">
        <v>61</v>
      </c>
      <c r="D1062" s="9" t="s">
        <v>62</v>
      </c>
      <c r="E1062" s="10">
        <v>1799.1</v>
      </c>
      <c r="F1062" s="10">
        <v>1801.01</v>
      </c>
      <c r="G1062" s="10">
        <v>1793.95</v>
      </c>
      <c r="H1062" s="10">
        <v>1798.12</v>
      </c>
      <c r="I1062" s="11">
        <v>2301314</v>
      </c>
      <c r="J1062" s="10">
        <v>2517368000000</v>
      </c>
      <c r="K1062" s="30">
        <f t="shared" si="96"/>
        <v>-5.4471680284587758E-2</v>
      </c>
      <c r="L1062" s="31">
        <f t="shared" si="97"/>
        <v>7.0599999999999454</v>
      </c>
      <c r="M1062" s="30">
        <f t="shared" si="98"/>
        <v>3.9241843143793817E-3</v>
      </c>
      <c r="N1062" s="20" t="str">
        <f t="shared" si="101"/>
        <v>High volume</v>
      </c>
      <c r="O1062" s="32">
        <f t="shared" si="99"/>
        <v>2517.3679999999999</v>
      </c>
      <c r="P1062" s="20">
        <f t="shared" si="100"/>
        <v>10</v>
      </c>
      <c r="Q1062" s="20" t="str" cm="1">
        <f t="array" ref="Q1062">_xlfn.IFS(P1062&lt;=3,"Q1",P1062&lt;=6,"Q2",P1062&lt;=9,"Q3",P1062&lt;=12,"Q4")</f>
        <v>Q4</v>
      </c>
    </row>
    <row r="1063" spans="1:17" x14ac:dyDescent="0.25">
      <c r="A1063" s="14">
        <v>45957</v>
      </c>
      <c r="B1063" s="15" t="s">
        <v>65</v>
      </c>
      <c r="C1063" s="15" t="s">
        <v>66</v>
      </c>
      <c r="D1063" s="15" t="s">
        <v>67</v>
      </c>
      <c r="E1063" s="16">
        <v>234.85</v>
      </c>
      <c r="F1063" s="16">
        <v>236.57</v>
      </c>
      <c r="G1063" s="16">
        <v>233.22</v>
      </c>
      <c r="H1063" s="16">
        <v>236.48</v>
      </c>
      <c r="I1063" s="17">
        <v>3519685</v>
      </c>
      <c r="J1063" s="16">
        <v>59120000000</v>
      </c>
      <c r="K1063" s="30">
        <f t="shared" si="96"/>
        <v>0.69406003832233154</v>
      </c>
      <c r="L1063" s="31">
        <f t="shared" si="97"/>
        <v>3.3499999999999943</v>
      </c>
      <c r="M1063" s="30">
        <f t="shared" si="98"/>
        <v>1.4264424100489651E-2</v>
      </c>
      <c r="N1063" s="20" t="str">
        <f t="shared" si="101"/>
        <v>High volume</v>
      </c>
      <c r="O1063" s="32">
        <f t="shared" si="99"/>
        <v>59.12</v>
      </c>
      <c r="P1063" s="20">
        <f t="shared" si="100"/>
        <v>10</v>
      </c>
      <c r="Q1063" s="20" t="str" cm="1">
        <f t="array" ref="Q1063">_xlfn.IFS(P1063&lt;=3,"Q1",P1063&lt;=6,"Q2",P1063&lt;=9,"Q3",P1063&lt;=12,"Q4")</f>
        <v>Q4</v>
      </c>
    </row>
    <row r="1064" spans="1:17" x14ac:dyDescent="0.25">
      <c r="A1064" s="8">
        <v>45957</v>
      </c>
      <c r="B1064" s="9" t="s">
        <v>69</v>
      </c>
      <c r="C1064" s="9" t="s">
        <v>70</v>
      </c>
      <c r="D1064" s="9" t="s">
        <v>71</v>
      </c>
      <c r="E1064" s="10">
        <v>600.41</v>
      </c>
      <c r="F1064" s="10">
        <v>601.73</v>
      </c>
      <c r="G1064" s="10">
        <v>598.65</v>
      </c>
      <c r="H1064" s="10">
        <v>601.66999999999996</v>
      </c>
      <c r="I1064" s="11">
        <v>3170588</v>
      </c>
      <c r="J1064" s="10">
        <v>481336000000</v>
      </c>
      <c r="K1064" s="30">
        <f t="shared" si="96"/>
        <v>0.20985659799137107</v>
      </c>
      <c r="L1064" s="31">
        <f t="shared" si="97"/>
        <v>3.0800000000000409</v>
      </c>
      <c r="M1064" s="30">
        <f t="shared" si="98"/>
        <v>5.1298279509002865E-3</v>
      </c>
      <c r="N1064" s="20" t="str">
        <f t="shared" si="101"/>
        <v>High volume</v>
      </c>
      <c r="O1064" s="32">
        <f t="shared" si="99"/>
        <v>481.33600000000001</v>
      </c>
      <c r="P1064" s="20">
        <f t="shared" si="100"/>
        <v>10</v>
      </c>
      <c r="Q1064" s="20" t="str" cm="1">
        <f t="array" ref="Q1064">_xlfn.IFS(P1064&lt;=3,"Q1",P1064&lt;=6,"Q2",P1064&lt;=9,"Q3",P1064&lt;=12,"Q4")</f>
        <v>Q4</v>
      </c>
    </row>
    <row r="1065" spans="1:17" x14ac:dyDescent="0.25">
      <c r="A1065" s="14">
        <v>45957</v>
      </c>
      <c r="B1065" s="15" t="s">
        <v>73</v>
      </c>
      <c r="C1065" s="15" t="s">
        <v>74</v>
      </c>
      <c r="D1065" s="15" t="s">
        <v>75</v>
      </c>
      <c r="E1065" s="16">
        <v>66.319999999999993</v>
      </c>
      <c r="F1065" s="16">
        <v>66.69</v>
      </c>
      <c r="G1065" s="16">
        <v>66.209999999999994</v>
      </c>
      <c r="H1065" s="16">
        <v>66.53</v>
      </c>
      <c r="I1065" s="17">
        <v>953425</v>
      </c>
      <c r="J1065" s="16">
        <v>14636600000</v>
      </c>
      <c r="K1065" s="30">
        <f t="shared" si="96"/>
        <v>0.31664656212305181</v>
      </c>
      <c r="L1065" s="31">
        <f t="shared" si="97"/>
        <v>0.48000000000000398</v>
      </c>
      <c r="M1065" s="30">
        <f t="shared" si="98"/>
        <v>7.237635705669542E-3</v>
      </c>
      <c r="N1065" s="20" t="str">
        <f t="shared" si="101"/>
        <v>Normal</v>
      </c>
      <c r="O1065" s="32">
        <f t="shared" si="99"/>
        <v>14.6366</v>
      </c>
      <c r="P1065" s="20">
        <f t="shared" si="100"/>
        <v>10</v>
      </c>
      <c r="Q1065" s="20" t="str" cm="1">
        <f t="array" ref="Q1065">_xlfn.IFS(P1065&lt;=3,"Q1",P1065&lt;=6,"Q2",P1065&lt;=9,"Q3",P1065&lt;=12,"Q4")</f>
        <v>Q4</v>
      </c>
    </row>
    <row r="1066" spans="1:17" x14ac:dyDescent="0.25">
      <c r="A1066" s="8">
        <v>45957</v>
      </c>
      <c r="B1066" s="9" t="s">
        <v>76</v>
      </c>
      <c r="C1066" s="9" t="s">
        <v>77</v>
      </c>
      <c r="D1066" s="9" t="s">
        <v>75</v>
      </c>
      <c r="E1066" s="10">
        <v>149.47999999999999</v>
      </c>
      <c r="F1066" s="10">
        <v>151.36000000000001</v>
      </c>
      <c r="G1066" s="10">
        <v>149.16999999999999</v>
      </c>
      <c r="H1066" s="10">
        <v>150.47999999999999</v>
      </c>
      <c r="I1066" s="11">
        <v>3029469</v>
      </c>
      <c r="J1066" s="10">
        <v>30096000000</v>
      </c>
      <c r="K1066" s="30">
        <f t="shared" si="96"/>
        <v>0.6689858175006691</v>
      </c>
      <c r="L1066" s="31">
        <f t="shared" si="97"/>
        <v>2.1900000000000261</v>
      </c>
      <c r="M1066" s="30">
        <f t="shared" si="98"/>
        <v>1.4650789403264827E-2</v>
      </c>
      <c r="N1066" s="20" t="str">
        <f t="shared" si="101"/>
        <v>High volume</v>
      </c>
      <c r="O1066" s="32">
        <f t="shared" si="99"/>
        <v>30.096</v>
      </c>
      <c r="P1066" s="20">
        <f t="shared" si="100"/>
        <v>10</v>
      </c>
      <c r="Q1066" s="20" t="str" cm="1">
        <f t="array" ref="Q1066">_xlfn.IFS(P1066&lt;=3,"Q1",P1066&lt;=6,"Q2",P1066&lt;=9,"Q3",P1066&lt;=12,"Q4")</f>
        <v>Q4</v>
      </c>
    </row>
    <row r="1067" spans="1:17" x14ac:dyDescent="0.25">
      <c r="A1067" s="14">
        <v>45958</v>
      </c>
      <c r="B1067" s="15" t="s">
        <v>60</v>
      </c>
      <c r="C1067" s="15" t="s">
        <v>61</v>
      </c>
      <c r="D1067" s="15" t="s">
        <v>62</v>
      </c>
      <c r="E1067" s="16">
        <v>1787.11</v>
      </c>
      <c r="F1067" s="16">
        <v>1812.1</v>
      </c>
      <c r="G1067" s="16">
        <v>1778.1</v>
      </c>
      <c r="H1067" s="16">
        <v>1784.09</v>
      </c>
      <c r="I1067" s="17">
        <v>3704044</v>
      </c>
      <c r="J1067" s="16">
        <v>2497726000000</v>
      </c>
      <c r="K1067" s="30">
        <f t="shared" si="96"/>
        <v>-0.1689879190424754</v>
      </c>
      <c r="L1067" s="31">
        <f t="shared" si="97"/>
        <v>34</v>
      </c>
      <c r="M1067" s="30">
        <f t="shared" si="98"/>
        <v>1.9025129958424498E-2</v>
      </c>
      <c r="N1067" s="20" t="str">
        <f t="shared" si="101"/>
        <v>High volume</v>
      </c>
      <c r="O1067" s="32">
        <f t="shared" si="99"/>
        <v>2497.7260000000001</v>
      </c>
      <c r="P1067" s="20">
        <f t="shared" si="100"/>
        <v>10</v>
      </c>
      <c r="Q1067" s="20" t="str" cm="1">
        <f t="array" ref="Q1067">_xlfn.IFS(P1067&lt;=3,"Q1",P1067&lt;=6,"Q2",P1067&lt;=9,"Q3",P1067&lt;=12,"Q4")</f>
        <v>Q4</v>
      </c>
    </row>
    <row r="1068" spans="1:17" x14ac:dyDescent="0.25">
      <c r="A1068" s="8">
        <v>45958</v>
      </c>
      <c r="B1068" s="9" t="s">
        <v>65</v>
      </c>
      <c r="C1068" s="9" t="s">
        <v>66</v>
      </c>
      <c r="D1068" s="9" t="s">
        <v>67</v>
      </c>
      <c r="E1068" s="10">
        <v>238.07</v>
      </c>
      <c r="F1068" s="10">
        <v>238.46</v>
      </c>
      <c r="G1068" s="10">
        <v>236.79</v>
      </c>
      <c r="H1068" s="10">
        <v>237.42</v>
      </c>
      <c r="I1068" s="11">
        <v>4446448</v>
      </c>
      <c r="J1068" s="10">
        <v>59355000000</v>
      </c>
      <c r="K1068" s="30">
        <f t="shared" si="96"/>
        <v>-0.27302894106775555</v>
      </c>
      <c r="L1068" s="31">
        <f t="shared" si="97"/>
        <v>1.6700000000000159</v>
      </c>
      <c r="M1068" s="30">
        <f t="shared" si="98"/>
        <v>7.014743562817726E-3</v>
      </c>
      <c r="N1068" s="20" t="str">
        <f t="shared" si="101"/>
        <v>High volume</v>
      </c>
      <c r="O1068" s="32">
        <f t="shared" si="99"/>
        <v>59.354999999999997</v>
      </c>
      <c r="P1068" s="20">
        <f t="shared" si="100"/>
        <v>10</v>
      </c>
      <c r="Q1068" s="20" t="str" cm="1">
        <f t="array" ref="Q1068">_xlfn.IFS(P1068&lt;=3,"Q1",P1068&lt;=6,"Q2",P1068&lt;=9,"Q3",P1068&lt;=12,"Q4")</f>
        <v>Q4</v>
      </c>
    </row>
    <row r="1069" spans="1:17" x14ac:dyDescent="0.25">
      <c r="A1069" s="14">
        <v>45958</v>
      </c>
      <c r="B1069" s="15" t="s">
        <v>69</v>
      </c>
      <c r="C1069" s="15" t="s">
        <v>70</v>
      </c>
      <c r="D1069" s="15" t="s">
        <v>71</v>
      </c>
      <c r="E1069" s="16">
        <v>587.53</v>
      </c>
      <c r="F1069" s="16">
        <v>588.55999999999995</v>
      </c>
      <c r="G1069" s="16">
        <v>586.21</v>
      </c>
      <c r="H1069" s="16">
        <v>586.72</v>
      </c>
      <c r="I1069" s="17">
        <v>1465318</v>
      </c>
      <c r="J1069" s="16">
        <v>469376000000</v>
      </c>
      <c r="K1069" s="30">
        <f t="shared" si="96"/>
        <v>-0.13786530049528456</v>
      </c>
      <c r="L1069" s="31">
        <f t="shared" si="97"/>
        <v>2.3499999999999091</v>
      </c>
      <c r="M1069" s="30">
        <f t="shared" si="98"/>
        <v>3.999795755110223E-3</v>
      </c>
      <c r="N1069" s="20" t="str">
        <f t="shared" si="101"/>
        <v>Normal</v>
      </c>
      <c r="O1069" s="32">
        <f t="shared" si="99"/>
        <v>469.37599999999998</v>
      </c>
      <c r="P1069" s="20">
        <f t="shared" si="100"/>
        <v>10</v>
      </c>
      <c r="Q1069" s="20" t="str" cm="1">
        <f t="array" ref="Q1069">_xlfn.IFS(P1069&lt;=3,"Q1",P1069&lt;=6,"Q2",P1069&lt;=9,"Q3",P1069&lt;=12,"Q4")</f>
        <v>Q4</v>
      </c>
    </row>
    <row r="1070" spans="1:17" x14ac:dyDescent="0.25">
      <c r="A1070" s="8">
        <v>45958</v>
      </c>
      <c r="B1070" s="9" t="s">
        <v>73</v>
      </c>
      <c r="C1070" s="9" t="s">
        <v>74</v>
      </c>
      <c r="D1070" s="9" t="s">
        <v>75</v>
      </c>
      <c r="E1070" s="10">
        <v>68.180000000000007</v>
      </c>
      <c r="F1070" s="10">
        <v>68.95</v>
      </c>
      <c r="G1070" s="10">
        <v>68.17</v>
      </c>
      <c r="H1070" s="10">
        <v>68.28</v>
      </c>
      <c r="I1070" s="11">
        <v>1551718</v>
      </c>
      <c r="J1070" s="10">
        <v>15021600000</v>
      </c>
      <c r="K1070" s="30">
        <f t="shared" si="96"/>
        <v>0.1466705778820685</v>
      </c>
      <c r="L1070" s="31">
        <f t="shared" si="97"/>
        <v>0.78000000000000114</v>
      </c>
      <c r="M1070" s="30">
        <f t="shared" si="98"/>
        <v>1.144030507480201E-2</v>
      </c>
      <c r="N1070" s="20" t="str">
        <f t="shared" si="101"/>
        <v>Normal</v>
      </c>
      <c r="O1070" s="32">
        <f t="shared" si="99"/>
        <v>15.021599999999999</v>
      </c>
      <c r="P1070" s="20">
        <f t="shared" si="100"/>
        <v>10</v>
      </c>
      <c r="Q1070" s="20" t="str" cm="1">
        <f t="array" ref="Q1070">_xlfn.IFS(P1070&lt;=3,"Q1",P1070&lt;=6,"Q2",P1070&lt;=9,"Q3",P1070&lt;=12,"Q4")</f>
        <v>Q4</v>
      </c>
    </row>
    <row r="1071" spans="1:17" x14ac:dyDescent="0.25">
      <c r="A1071" s="14">
        <v>45958</v>
      </c>
      <c r="B1071" s="15" t="s">
        <v>76</v>
      </c>
      <c r="C1071" s="15" t="s">
        <v>77</v>
      </c>
      <c r="D1071" s="15" t="s">
        <v>75</v>
      </c>
      <c r="E1071" s="16">
        <v>150.47999999999999</v>
      </c>
      <c r="F1071" s="16">
        <v>151.44</v>
      </c>
      <c r="G1071" s="16">
        <v>150.19</v>
      </c>
      <c r="H1071" s="16">
        <v>150.96</v>
      </c>
      <c r="I1071" s="17">
        <v>4051048</v>
      </c>
      <c r="J1071" s="16">
        <v>30192000000</v>
      </c>
      <c r="K1071" s="30">
        <f t="shared" si="96"/>
        <v>0.31897926634769952</v>
      </c>
      <c r="L1071" s="31">
        <f t="shared" si="97"/>
        <v>1.25</v>
      </c>
      <c r="M1071" s="30">
        <f t="shared" si="98"/>
        <v>8.3067517278043596E-3</v>
      </c>
      <c r="N1071" s="20" t="str">
        <f t="shared" si="101"/>
        <v>High volume</v>
      </c>
      <c r="O1071" s="32">
        <f t="shared" si="99"/>
        <v>30.192</v>
      </c>
      <c r="P1071" s="20">
        <f t="shared" si="100"/>
        <v>10</v>
      </c>
      <c r="Q1071" s="20" t="str" cm="1">
        <f t="array" ref="Q1071">_xlfn.IFS(P1071&lt;=3,"Q1",P1071&lt;=6,"Q2",P1071&lt;=9,"Q3",P1071&lt;=12,"Q4")</f>
        <v>Q4</v>
      </c>
    </row>
    <row r="1072" spans="1:17" x14ac:dyDescent="0.25">
      <c r="A1072" s="8">
        <v>45959</v>
      </c>
      <c r="B1072" s="9" t="s">
        <v>60</v>
      </c>
      <c r="C1072" s="9" t="s">
        <v>61</v>
      </c>
      <c r="D1072" s="9" t="s">
        <v>62</v>
      </c>
      <c r="E1072" s="10">
        <v>1798</v>
      </c>
      <c r="F1072" s="10">
        <v>1818.5</v>
      </c>
      <c r="G1072" s="10">
        <v>1790.4</v>
      </c>
      <c r="H1072" s="10">
        <v>1816.06</v>
      </c>
      <c r="I1072" s="11">
        <v>2854751</v>
      </c>
      <c r="J1072" s="10">
        <v>2542484000000</v>
      </c>
      <c r="K1072" s="30">
        <f t="shared" si="96"/>
        <v>1.0044493882091183</v>
      </c>
      <c r="L1072" s="31">
        <f t="shared" si="97"/>
        <v>28.099999999999909</v>
      </c>
      <c r="M1072" s="30">
        <f t="shared" si="98"/>
        <v>1.5628476084538327E-2</v>
      </c>
      <c r="N1072" s="20" t="str">
        <f t="shared" si="101"/>
        <v>High volume</v>
      </c>
      <c r="O1072" s="32">
        <f t="shared" si="99"/>
        <v>2542.4839999999999</v>
      </c>
      <c r="P1072" s="20">
        <f t="shared" si="100"/>
        <v>10</v>
      </c>
      <c r="Q1072" s="20" t="str" cm="1">
        <f t="array" ref="Q1072">_xlfn.IFS(P1072&lt;=3,"Q1",P1072&lt;=6,"Q2",P1072&lt;=9,"Q3",P1072&lt;=12,"Q4")</f>
        <v>Q4</v>
      </c>
    </row>
    <row r="1073" spans="1:17" x14ac:dyDescent="0.25">
      <c r="A1073" s="14">
        <v>45959</v>
      </c>
      <c r="B1073" s="15" t="s">
        <v>65</v>
      </c>
      <c r="C1073" s="15" t="s">
        <v>66</v>
      </c>
      <c r="D1073" s="15" t="s">
        <v>67</v>
      </c>
      <c r="E1073" s="16">
        <v>241.7</v>
      </c>
      <c r="F1073" s="16">
        <v>245.66</v>
      </c>
      <c r="G1073" s="16">
        <v>239.47</v>
      </c>
      <c r="H1073" s="16">
        <v>243.91</v>
      </c>
      <c r="I1073" s="17">
        <v>3187900</v>
      </c>
      <c r="J1073" s="16">
        <v>60977500000</v>
      </c>
      <c r="K1073" s="30">
        <f t="shared" si="96"/>
        <v>0.91435664046338772</v>
      </c>
      <c r="L1073" s="31">
        <f t="shared" si="97"/>
        <v>6.1899999999999977</v>
      </c>
      <c r="M1073" s="30">
        <f t="shared" si="98"/>
        <v>2.5610260653702928E-2</v>
      </c>
      <c r="N1073" s="20" t="str">
        <f t="shared" si="101"/>
        <v>High volume</v>
      </c>
      <c r="O1073" s="32">
        <f t="shared" si="99"/>
        <v>60.977499999999999</v>
      </c>
      <c r="P1073" s="20">
        <f t="shared" si="100"/>
        <v>10</v>
      </c>
      <c r="Q1073" s="20" t="str" cm="1">
        <f t="array" ref="Q1073">_xlfn.IFS(P1073&lt;=3,"Q1",P1073&lt;=6,"Q2",P1073&lt;=9,"Q3",P1073&lt;=12,"Q4")</f>
        <v>Q4</v>
      </c>
    </row>
    <row r="1074" spans="1:17" x14ac:dyDescent="0.25">
      <c r="A1074" s="8">
        <v>45959</v>
      </c>
      <c r="B1074" s="9" t="s">
        <v>69</v>
      </c>
      <c r="C1074" s="9" t="s">
        <v>70</v>
      </c>
      <c r="D1074" s="9" t="s">
        <v>71</v>
      </c>
      <c r="E1074" s="10">
        <v>598.45000000000005</v>
      </c>
      <c r="F1074" s="10">
        <v>598.84</v>
      </c>
      <c r="G1074" s="10">
        <v>594.08000000000004</v>
      </c>
      <c r="H1074" s="10">
        <v>598.11</v>
      </c>
      <c r="I1074" s="11">
        <v>2767799</v>
      </c>
      <c r="J1074" s="10">
        <v>478488000000</v>
      </c>
      <c r="K1074" s="30">
        <f t="shared" si="96"/>
        <v>-5.6813434706329984E-2</v>
      </c>
      <c r="L1074" s="31">
        <f t="shared" si="97"/>
        <v>4.7599999999999909</v>
      </c>
      <c r="M1074" s="30">
        <f t="shared" si="98"/>
        <v>7.9538808588854384E-3</v>
      </c>
      <c r="N1074" s="20" t="str">
        <f t="shared" si="101"/>
        <v>High volume</v>
      </c>
      <c r="O1074" s="32">
        <f t="shared" si="99"/>
        <v>478.488</v>
      </c>
      <c r="P1074" s="20">
        <f t="shared" si="100"/>
        <v>10</v>
      </c>
      <c r="Q1074" s="20" t="str" cm="1">
        <f t="array" ref="Q1074">_xlfn.IFS(P1074&lt;=3,"Q1",P1074&lt;=6,"Q2",P1074&lt;=9,"Q3",P1074&lt;=12,"Q4")</f>
        <v>Q4</v>
      </c>
    </row>
    <row r="1075" spans="1:17" x14ac:dyDescent="0.25">
      <c r="A1075" s="14">
        <v>45959</v>
      </c>
      <c r="B1075" s="15" t="s">
        <v>73</v>
      </c>
      <c r="C1075" s="15" t="s">
        <v>74</v>
      </c>
      <c r="D1075" s="15" t="s">
        <v>75</v>
      </c>
      <c r="E1075" s="16">
        <v>67.5</v>
      </c>
      <c r="F1075" s="16">
        <v>68.569999999999993</v>
      </c>
      <c r="G1075" s="16">
        <v>67.06</v>
      </c>
      <c r="H1075" s="16">
        <v>68.52</v>
      </c>
      <c r="I1075" s="17">
        <v>307074</v>
      </c>
      <c r="J1075" s="16">
        <v>15074400000</v>
      </c>
      <c r="K1075" s="30">
        <f t="shared" si="96"/>
        <v>1.5111111111111053</v>
      </c>
      <c r="L1075" s="31">
        <f t="shared" si="97"/>
        <v>1.5099999999999909</v>
      </c>
      <c r="M1075" s="30">
        <f t="shared" si="98"/>
        <v>2.2370370370370235E-2</v>
      </c>
      <c r="N1075" s="20" t="str">
        <f t="shared" si="101"/>
        <v>Normal</v>
      </c>
      <c r="O1075" s="32">
        <f t="shared" si="99"/>
        <v>15.074400000000001</v>
      </c>
      <c r="P1075" s="20">
        <f t="shared" si="100"/>
        <v>10</v>
      </c>
      <c r="Q1075" s="20" t="str" cm="1">
        <f t="array" ref="Q1075">_xlfn.IFS(P1075&lt;=3,"Q1",P1075&lt;=6,"Q2",P1075&lt;=9,"Q3",P1075&lt;=12,"Q4")</f>
        <v>Q4</v>
      </c>
    </row>
    <row r="1076" spans="1:17" x14ac:dyDescent="0.25">
      <c r="A1076" s="8">
        <v>45959</v>
      </c>
      <c r="B1076" s="9" t="s">
        <v>76</v>
      </c>
      <c r="C1076" s="9" t="s">
        <v>77</v>
      </c>
      <c r="D1076" s="9" t="s">
        <v>75</v>
      </c>
      <c r="E1076" s="10">
        <v>149.78</v>
      </c>
      <c r="F1076" s="10">
        <v>151.91</v>
      </c>
      <c r="G1076" s="10">
        <v>148.27000000000001</v>
      </c>
      <c r="H1076" s="10">
        <v>151.41999999999999</v>
      </c>
      <c r="I1076" s="11">
        <v>2273345</v>
      </c>
      <c r="J1076" s="10">
        <v>30284000000</v>
      </c>
      <c r="K1076" s="30">
        <f t="shared" si="96"/>
        <v>1.094939244224854</v>
      </c>
      <c r="L1076" s="31">
        <f t="shared" si="97"/>
        <v>3.6399999999999864</v>
      </c>
      <c r="M1076" s="30">
        <f t="shared" si="98"/>
        <v>2.4302310054746871E-2</v>
      </c>
      <c r="N1076" s="20" t="str">
        <f t="shared" si="101"/>
        <v>High volume</v>
      </c>
      <c r="O1076" s="32">
        <f t="shared" si="99"/>
        <v>30.283999999999999</v>
      </c>
      <c r="P1076" s="20">
        <f t="shared" si="100"/>
        <v>10</v>
      </c>
      <c r="Q1076" s="20" t="str" cm="1">
        <f t="array" ref="Q1076">_xlfn.IFS(P1076&lt;=3,"Q1",P1076&lt;=6,"Q2",P1076&lt;=9,"Q3",P1076&lt;=12,"Q4")</f>
        <v>Q4</v>
      </c>
    </row>
    <row r="1077" spans="1:17" x14ac:dyDescent="0.25">
      <c r="A1077" s="14">
        <v>45960</v>
      </c>
      <c r="B1077" s="15" t="s">
        <v>60</v>
      </c>
      <c r="C1077" s="15" t="s">
        <v>61</v>
      </c>
      <c r="D1077" s="15" t="s">
        <v>62</v>
      </c>
      <c r="E1077" s="16">
        <v>1858.3</v>
      </c>
      <c r="F1077" s="16">
        <v>1876.36</v>
      </c>
      <c r="G1077" s="16">
        <v>1850.04</v>
      </c>
      <c r="H1077" s="16">
        <v>1866.5</v>
      </c>
      <c r="I1077" s="17">
        <v>3511072</v>
      </c>
      <c r="J1077" s="16">
        <v>2613100000000</v>
      </c>
      <c r="K1077" s="30">
        <f t="shared" si="96"/>
        <v>0.44126352042189343</v>
      </c>
      <c r="L1077" s="31">
        <f t="shared" si="97"/>
        <v>26.319999999999936</v>
      </c>
      <c r="M1077" s="30">
        <f t="shared" si="98"/>
        <v>1.4163482753053833E-2</v>
      </c>
      <c r="N1077" s="20" t="str">
        <f t="shared" si="101"/>
        <v>High volume</v>
      </c>
      <c r="O1077" s="32">
        <f t="shared" si="99"/>
        <v>2613.1</v>
      </c>
      <c r="P1077" s="20">
        <f t="shared" si="100"/>
        <v>10</v>
      </c>
      <c r="Q1077" s="20" t="str" cm="1">
        <f t="array" ref="Q1077">_xlfn.IFS(P1077&lt;=3,"Q1",P1077&lt;=6,"Q2",P1077&lt;=9,"Q3",P1077&lt;=12,"Q4")</f>
        <v>Q4</v>
      </c>
    </row>
    <row r="1078" spans="1:17" x14ac:dyDescent="0.25">
      <c r="A1078" s="8">
        <v>45960</v>
      </c>
      <c r="B1078" s="9" t="s">
        <v>65</v>
      </c>
      <c r="C1078" s="9" t="s">
        <v>66</v>
      </c>
      <c r="D1078" s="9" t="s">
        <v>67</v>
      </c>
      <c r="E1078" s="10">
        <v>240.71</v>
      </c>
      <c r="F1078" s="10">
        <v>241.86</v>
      </c>
      <c r="G1078" s="10">
        <v>240.42</v>
      </c>
      <c r="H1078" s="10">
        <v>240.62</v>
      </c>
      <c r="I1078" s="11">
        <v>4959213</v>
      </c>
      <c r="J1078" s="10">
        <v>60155000000</v>
      </c>
      <c r="K1078" s="30">
        <f t="shared" si="96"/>
        <v>-3.7389389722073618E-2</v>
      </c>
      <c r="L1078" s="31">
        <f t="shared" si="97"/>
        <v>1.4400000000000261</v>
      </c>
      <c r="M1078" s="30">
        <f t="shared" si="98"/>
        <v>5.9823023555316606E-3</v>
      </c>
      <c r="N1078" s="20" t="str">
        <f t="shared" si="101"/>
        <v>High volume</v>
      </c>
      <c r="O1078" s="32">
        <f t="shared" si="99"/>
        <v>60.155000000000001</v>
      </c>
      <c r="P1078" s="20">
        <f t="shared" si="100"/>
        <v>10</v>
      </c>
      <c r="Q1078" s="20" t="str" cm="1">
        <f t="array" ref="Q1078">_xlfn.IFS(P1078&lt;=3,"Q1",P1078&lt;=6,"Q2",P1078&lt;=9,"Q3",P1078&lt;=12,"Q4")</f>
        <v>Q4</v>
      </c>
    </row>
    <row r="1079" spans="1:17" x14ac:dyDescent="0.25">
      <c r="A1079" s="14">
        <v>45960</v>
      </c>
      <c r="B1079" s="15" t="s">
        <v>69</v>
      </c>
      <c r="C1079" s="15" t="s">
        <v>70</v>
      </c>
      <c r="D1079" s="15" t="s">
        <v>71</v>
      </c>
      <c r="E1079" s="16">
        <v>603.6</v>
      </c>
      <c r="F1079" s="16">
        <v>611.80999999999995</v>
      </c>
      <c r="G1079" s="16">
        <v>596.32000000000005</v>
      </c>
      <c r="H1079" s="16">
        <v>609.33000000000004</v>
      </c>
      <c r="I1079" s="17">
        <v>1594087</v>
      </c>
      <c r="J1079" s="16">
        <v>487464000000</v>
      </c>
      <c r="K1079" s="30">
        <f t="shared" si="96"/>
        <v>0.94930417495030128</v>
      </c>
      <c r="L1079" s="31">
        <f t="shared" si="97"/>
        <v>15.489999999999895</v>
      </c>
      <c r="M1079" s="30">
        <f t="shared" si="98"/>
        <v>2.566269052352534E-2</v>
      </c>
      <c r="N1079" s="20" t="str">
        <f t="shared" si="101"/>
        <v>Normal</v>
      </c>
      <c r="O1079" s="32">
        <f t="shared" si="99"/>
        <v>487.464</v>
      </c>
      <c r="P1079" s="20">
        <f t="shared" si="100"/>
        <v>10</v>
      </c>
      <c r="Q1079" s="20" t="str" cm="1">
        <f t="array" ref="Q1079">_xlfn.IFS(P1079&lt;=3,"Q1",P1079&lt;=6,"Q2",P1079&lt;=9,"Q3",P1079&lt;=12,"Q4")</f>
        <v>Q4</v>
      </c>
    </row>
    <row r="1080" spans="1:17" x14ac:dyDescent="0.25">
      <c r="A1080" s="8">
        <v>45960</v>
      </c>
      <c r="B1080" s="9" t="s">
        <v>73</v>
      </c>
      <c r="C1080" s="9" t="s">
        <v>74</v>
      </c>
      <c r="D1080" s="9" t="s">
        <v>75</v>
      </c>
      <c r="E1080" s="10">
        <v>68.03</v>
      </c>
      <c r="F1080" s="10">
        <v>69.099999999999994</v>
      </c>
      <c r="G1080" s="10">
        <v>67.97</v>
      </c>
      <c r="H1080" s="10">
        <v>68.7</v>
      </c>
      <c r="I1080" s="11">
        <v>1507925</v>
      </c>
      <c r="J1080" s="10">
        <v>15114000000</v>
      </c>
      <c r="K1080" s="30">
        <f t="shared" si="96"/>
        <v>0.98485962075555156</v>
      </c>
      <c r="L1080" s="31">
        <f t="shared" si="97"/>
        <v>1.1299999999999955</v>
      </c>
      <c r="M1080" s="30">
        <f t="shared" si="98"/>
        <v>1.6610318976921879E-2</v>
      </c>
      <c r="N1080" s="20" t="str">
        <f t="shared" si="101"/>
        <v>Normal</v>
      </c>
      <c r="O1080" s="32">
        <f t="shared" si="99"/>
        <v>15.114000000000001</v>
      </c>
      <c r="P1080" s="20">
        <f t="shared" si="100"/>
        <v>10</v>
      </c>
      <c r="Q1080" s="20" t="str" cm="1">
        <f t="array" ref="Q1080">_xlfn.IFS(P1080&lt;=3,"Q1",P1080&lt;=6,"Q2",P1080&lt;=9,"Q3",P1080&lt;=12,"Q4")</f>
        <v>Q4</v>
      </c>
    </row>
    <row r="1081" spans="1:17" x14ac:dyDescent="0.25">
      <c r="A1081" s="14">
        <v>45960</v>
      </c>
      <c r="B1081" s="15" t="s">
        <v>76</v>
      </c>
      <c r="C1081" s="15" t="s">
        <v>77</v>
      </c>
      <c r="D1081" s="15" t="s">
        <v>75</v>
      </c>
      <c r="E1081" s="16">
        <v>151.69999999999999</v>
      </c>
      <c r="F1081" s="16">
        <v>151.94999999999999</v>
      </c>
      <c r="G1081" s="16">
        <v>150.32</v>
      </c>
      <c r="H1081" s="16">
        <v>151.03</v>
      </c>
      <c r="I1081" s="17">
        <v>1438969</v>
      </c>
      <c r="J1081" s="16">
        <v>30206000000</v>
      </c>
      <c r="K1081" s="30">
        <f t="shared" si="96"/>
        <v>-0.44166117336848221</v>
      </c>
      <c r="L1081" s="31">
        <f t="shared" si="97"/>
        <v>1.6299999999999955</v>
      </c>
      <c r="M1081" s="30">
        <f t="shared" si="98"/>
        <v>1.0744891232696082E-2</v>
      </c>
      <c r="N1081" s="20" t="str">
        <f t="shared" si="101"/>
        <v>Normal</v>
      </c>
      <c r="O1081" s="32">
        <f t="shared" si="99"/>
        <v>30.206</v>
      </c>
      <c r="P1081" s="20">
        <f t="shared" si="100"/>
        <v>10</v>
      </c>
      <c r="Q1081" s="20" t="str" cm="1">
        <f t="array" ref="Q1081">_xlfn.IFS(P1081&lt;=3,"Q1",P1081&lt;=6,"Q2",P1081&lt;=9,"Q3",P1081&lt;=12,"Q4")</f>
        <v>Q4</v>
      </c>
    </row>
    <row r="1082" spans="1:17" x14ac:dyDescent="0.25">
      <c r="A1082" s="8">
        <v>45961</v>
      </c>
      <c r="B1082" s="9" t="s">
        <v>60</v>
      </c>
      <c r="C1082" s="9" t="s">
        <v>61</v>
      </c>
      <c r="D1082" s="9" t="s">
        <v>62</v>
      </c>
      <c r="E1082" s="10">
        <v>1901.47</v>
      </c>
      <c r="F1082" s="10">
        <v>1912.53</v>
      </c>
      <c r="G1082" s="10">
        <v>1886.98</v>
      </c>
      <c r="H1082" s="10">
        <v>1907.14</v>
      </c>
      <c r="I1082" s="11">
        <v>3871065</v>
      </c>
      <c r="J1082" s="10">
        <v>2669996000000</v>
      </c>
      <c r="K1082" s="30">
        <f t="shared" si="96"/>
        <v>0.29819034746801543</v>
      </c>
      <c r="L1082" s="31">
        <f t="shared" si="97"/>
        <v>25.549999999999955</v>
      </c>
      <c r="M1082" s="30">
        <f t="shared" si="98"/>
        <v>1.3436972447632598E-2</v>
      </c>
      <c r="N1082" s="20" t="str">
        <f t="shared" si="101"/>
        <v>High volume</v>
      </c>
      <c r="O1082" s="32">
        <f t="shared" si="99"/>
        <v>2669.9960000000001</v>
      </c>
      <c r="P1082" s="20">
        <f t="shared" si="100"/>
        <v>10</v>
      </c>
      <c r="Q1082" s="20" t="str" cm="1">
        <f t="array" ref="Q1082">_xlfn.IFS(P1082&lt;=3,"Q1",P1082&lt;=6,"Q2",P1082&lt;=9,"Q3",P1082&lt;=12,"Q4")</f>
        <v>Q4</v>
      </c>
    </row>
    <row r="1083" spans="1:17" x14ac:dyDescent="0.25">
      <c r="A1083" s="14">
        <v>45961</v>
      </c>
      <c r="B1083" s="15" t="s">
        <v>65</v>
      </c>
      <c r="C1083" s="15" t="s">
        <v>66</v>
      </c>
      <c r="D1083" s="15" t="s">
        <v>67</v>
      </c>
      <c r="E1083" s="16">
        <v>242.68</v>
      </c>
      <c r="F1083" s="16">
        <v>244.21</v>
      </c>
      <c r="G1083" s="16">
        <v>241.19</v>
      </c>
      <c r="H1083" s="16">
        <v>242.47</v>
      </c>
      <c r="I1083" s="17">
        <v>4075257</v>
      </c>
      <c r="J1083" s="16">
        <v>60617500000</v>
      </c>
      <c r="K1083" s="30">
        <f t="shared" si="96"/>
        <v>-8.6533706939182442E-2</v>
      </c>
      <c r="L1083" s="31">
        <f t="shared" si="97"/>
        <v>3.0200000000000102</v>
      </c>
      <c r="M1083" s="30">
        <f t="shared" si="98"/>
        <v>1.2444371188396284E-2</v>
      </c>
      <c r="N1083" s="20" t="str">
        <f t="shared" si="101"/>
        <v>High volume</v>
      </c>
      <c r="O1083" s="32">
        <f t="shared" si="99"/>
        <v>60.6175</v>
      </c>
      <c r="P1083" s="20">
        <f t="shared" si="100"/>
        <v>10</v>
      </c>
      <c r="Q1083" s="20" t="str" cm="1">
        <f t="array" ref="Q1083">_xlfn.IFS(P1083&lt;=3,"Q1",P1083&lt;=6,"Q2",P1083&lt;=9,"Q3",P1083&lt;=12,"Q4")</f>
        <v>Q4</v>
      </c>
    </row>
    <row r="1084" spans="1:17" x14ac:dyDescent="0.25">
      <c r="A1084" s="8">
        <v>45961</v>
      </c>
      <c r="B1084" s="9" t="s">
        <v>69</v>
      </c>
      <c r="C1084" s="9" t="s">
        <v>70</v>
      </c>
      <c r="D1084" s="9" t="s">
        <v>71</v>
      </c>
      <c r="E1084" s="10">
        <v>604.55999999999995</v>
      </c>
      <c r="F1084" s="10">
        <v>606.85</v>
      </c>
      <c r="G1084" s="10">
        <v>604.03</v>
      </c>
      <c r="H1084" s="10">
        <v>605.42999999999995</v>
      </c>
      <c r="I1084" s="11">
        <v>2286002</v>
      </c>
      <c r="J1084" s="10">
        <v>484344000000</v>
      </c>
      <c r="K1084" s="30">
        <f t="shared" si="96"/>
        <v>0.14390631202858353</v>
      </c>
      <c r="L1084" s="31">
        <f t="shared" si="97"/>
        <v>2.82000000000005</v>
      </c>
      <c r="M1084" s="30">
        <f t="shared" si="98"/>
        <v>4.6645494243748352E-3</v>
      </c>
      <c r="N1084" s="20" t="str">
        <f t="shared" si="101"/>
        <v>High volume</v>
      </c>
      <c r="O1084" s="32">
        <f t="shared" si="99"/>
        <v>484.34399999999999</v>
      </c>
      <c r="P1084" s="20">
        <f t="shared" si="100"/>
        <v>10</v>
      </c>
      <c r="Q1084" s="20" t="str" cm="1">
        <f t="array" ref="Q1084">_xlfn.IFS(P1084&lt;=3,"Q1",P1084&lt;=6,"Q2",P1084&lt;=9,"Q3",P1084&lt;=12,"Q4")</f>
        <v>Q4</v>
      </c>
    </row>
    <row r="1085" spans="1:17" x14ac:dyDescent="0.25">
      <c r="A1085" s="14">
        <v>45961</v>
      </c>
      <c r="B1085" s="15" t="s">
        <v>73</v>
      </c>
      <c r="C1085" s="15" t="s">
        <v>74</v>
      </c>
      <c r="D1085" s="15" t="s">
        <v>75</v>
      </c>
      <c r="E1085" s="16">
        <v>68.77</v>
      </c>
      <c r="F1085" s="16">
        <v>68.87</v>
      </c>
      <c r="G1085" s="16">
        <v>68.349999999999994</v>
      </c>
      <c r="H1085" s="16">
        <v>68.83</v>
      </c>
      <c r="I1085" s="17">
        <v>3378367</v>
      </c>
      <c r="J1085" s="16">
        <v>15142600000</v>
      </c>
      <c r="K1085" s="30">
        <f t="shared" si="96"/>
        <v>8.7247346226555583E-2</v>
      </c>
      <c r="L1085" s="31">
        <f t="shared" si="97"/>
        <v>0.52000000000001023</v>
      </c>
      <c r="M1085" s="30">
        <f t="shared" si="98"/>
        <v>7.5614366729680133E-3</v>
      </c>
      <c r="N1085" s="20" t="str">
        <f t="shared" si="101"/>
        <v>High volume</v>
      </c>
      <c r="O1085" s="32">
        <f t="shared" si="99"/>
        <v>15.1426</v>
      </c>
      <c r="P1085" s="20">
        <f t="shared" si="100"/>
        <v>10</v>
      </c>
      <c r="Q1085" s="20" t="str" cm="1">
        <f t="array" ref="Q1085">_xlfn.IFS(P1085&lt;=3,"Q1",P1085&lt;=6,"Q2",P1085&lt;=9,"Q3",P1085&lt;=12,"Q4")</f>
        <v>Q4</v>
      </c>
    </row>
    <row r="1086" spans="1:17" x14ac:dyDescent="0.25">
      <c r="A1086" s="8">
        <v>45961</v>
      </c>
      <c r="B1086" s="9" t="s">
        <v>76</v>
      </c>
      <c r="C1086" s="9" t="s">
        <v>77</v>
      </c>
      <c r="D1086" s="9" t="s">
        <v>75</v>
      </c>
      <c r="E1086" s="10">
        <v>151.68</v>
      </c>
      <c r="F1086" s="10">
        <v>151.75</v>
      </c>
      <c r="G1086" s="10">
        <v>150.52000000000001</v>
      </c>
      <c r="H1086" s="10">
        <v>151.22999999999999</v>
      </c>
      <c r="I1086" s="11">
        <v>971618</v>
      </c>
      <c r="J1086" s="10">
        <v>30246000000</v>
      </c>
      <c r="K1086" s="30">
        <f t="shared" si="96"/>
        <v>-0.2966772151898846</v>
      </c>
      <c r="L1086" s="31">
        <f t="shared" si="97"/>
        <v>1.2299999999999898</v>
      </c>
      <c r="M1086" s="30">
        <f t="shared" si="98"/>
        <v>8.1091772151898056E-3</v>
      </c>
      <c r="N1086" s="20" t="str">
        <f t="shared" si="101"/>
        <v>Normal</v>
      </c>
      <c r="O1086" s="32">
        <f t="shared" si="99"/>
        <v>30.245999999999999</v>
      </c>
      <c r="P1086" s="20">
        <f t="shared" si="100"/>
        <v>10</v>
      </c>
      <c r="Q1086" s="20" t="str" cm="1">
        <f t="array" ref="Q1086">_xlfn.IFS(P1086&lt;=3,"Q1",P1086&lt;=6,"Q2",P1086&lt;=9,"Q3",P1086&lt;=12,"Q4")</f>
        <v>Q4</v>
      </c>
    </row>
    <row r="1087" spans="1:17" x14ac:dyDescent="0.25">
      <c r="A1087" s="14">
        <v>45964</v>
      </c>
      <c r="B1087" s="15" t="s">
        <v>60</v>
      </c>
      <c r="C1087" s="15" t="s">
        <v>61</v>
      </c>
      <c r="D1087" s="15" t="s">
        <v>62</v>
      </c>
      <c r="E1087" s="16">
        <v>1910.4</v>
      </c>
      <c r="F1087" s="16">
        <v>1925.94</v>
      </c>
      <c r="G1087" s="16">
        <v>1891.1</v>
      </c>
      <c r="H1087" s="16">
        <v>1925.37</v>
      </c>
      <c r="I1087" s="17">
        <v>2643947</v>
      </c>
      <c r="J1087" s="16">
        <v>2695518000000</v>
      </c>
      <c r="K1087" s="30">
        <f t="shared" si="96"/>
        <v>0.78360552763818048</v>
      </c>
      <c r="L1087" s="31">
        <f t="shared" si="97"/>
        <v>34.840000000000146</v>
      </c>
      <c r="M1087" s="30">
        <f t="shared" si="98"/>
        <v>1.8237018425460712E-2</v>
      </c>
      <c r="N1087" s="20" t="str">
        <f t="shared" si="101"/>
        <v>High volume</v>
      </c>
      <c r="O1087" s="32">
        <f t="shared" si="99"/>
        <v>2695.518</v>
      </c>
      <c r="P1087" s="20">
        <f t="shared" si="100"/>
        <v>11</v>
      </c>
      <c r="Q1087" s="20" t="str" cm="1">
        <f t="array" ref="Q1087">_xlfn.IFS(P1087&lt;=3,"Q1",P1087&lt;=6,"Q2",P1087&lt;=9,"Q3",P1087&lt;=12,"Q4")</f>
        <v>Q4</v>
      </c>
    </row>
    <row r="1088" spans="1:17" x14ac:dyDescent="0.25">
      <c r="A1088" s="8">
        <v>45964</v>
      </c>
      <c r="B1088" s="9" t="s">
        <v>65</v>
      </c>
      <c r="C1088" s="9" t="s">
        <v>66</v>
      </c>
      <c r="D1088" s="9" t="s">
        <v>67</v>
      </c>
      <c r="E1088" s="10">
        <v>241.09</v>
      </c>
      <c r="F1088" s="10">
        <v>241.26</v>
      </c>
      <c r="G1088" s="10">
        <v>240.45</v>
      </c>
      <c r="H1088" s="10">
        <v>240.83</v>
      </c>
      <c r="I1088" s="11">
        <v>954998</v>
      </c>
      <c r="J1088" s="10">
        <v>60207500000</v>
      </c>
      <c r="K1088" s="30">
        <f t="shared" si="96"/>
        <v>-0.10784354390476207</v>
      </c>
      <c r="L1088" s="31">
        <f t="shared" si="97"/>
        <v>0.81000000000000227</v>
      </c>
      <c r="M1088" s="30">
        <f t="shared" si="98"/>
        <v>3.3597411754946378E-3</v>
      </c>
      <c r="N1088" s="20" t="str">
        <f t="shared" si="101"/>
        <v>Normal</v>
      </c>
      <c r="O1088" s="32">
        <f t="shared" si="99"/>
        <v>60.207500000000003</v>
      </c>
      <c r="P1088" s="20">
        <f t="shared" si="100"/>
        <v>11</v>
      </c>
      <c r="Q1088" s="20" t="str" cm="1">
        <f t="array" ref="Q1088">_xlfn.IFS(P1088&lt;=3,"Q1",P1088&lt;=6,"Q2",P1088&lt;=9,"Q3",P1088&lt;=12,"Q4")</f>
        <v>Q4</v>
      </c>
    </row>
    <row r="1089" spans="1:17" x14ac:dyDescent="0.25">
      <c r="A1089" s="14">
        <v>45964</v>
      </c>
      <c r="B1089" s="15" t="s">
        <v>69</v>
      </c>
      <c r="C1089" s="15" t="s">
        <v>70</v>
      </c>
      <c r="D1089" s="15" t="s">
        <v>71</v>
      </c>
      <c r="E1089" s="16">
        <v>603.05999999999995</v>
      </c>
      <c r="F1089" s="16">
        <v>605.48</v>
      </c>
      <c r="G1089" s="16">
        <v>597.55999999999995</v>
      </c>
      <c r="H1089" s="16">
        <v>602.15</v>
      </c>
      <c r="I1089" s="17">
        <v>742702</v>
      </c>
      <c r="J1089" s="16">
        <v>481720000000</v>
      </c>
      <c r="K1089" s="30">
        <f t="shared" si="96"/>
        <v>-0.15089709150001132</v>
      </c>
      <c r="L1089" s="31">
        <f t="shared" si="97"/>
        <v>7.9200000000000728</v>
      </c>
      <c r="M1089" s="30">
        <f t="shared" si="98"/>
        <v>1.3133021589891675E-2</v>
      </c>
      <c r="N1089" s="20" t="str">
        <f t="shared" si="101"/>
        <v>Normal</v>
      </c>
      <c r="O1089" s="32">
        <f t="shared" si="99"/>
        <v>481.72</v>
      </c>
      <c r="P1089" s="20">
        <f t="shared" si="100"/>
        <v>11</v>
      </c>
      <c r="Q1089" s="20" t="str" cm="1">
        <f t="array" ref="Q1089">_xlfn.IFS(P1089&lt;=3,"Q1",P1089&lt;=6,"Q2",P1089&lt;=9,"Q3",P1089&lt;=12,"Q4")</f>
        <v>Q4</v>
      </c>
    </row>
    <row r="1090" spans="1:17" x14ac:dyDescent="0.25">
      <c r="A1090" s="8">
        <v>45964</v>
      </c>
      <c r="B1090" s="9" t="s">
        <v>73</v>
      </c>
      <c r="C1090" s="9" t="s">
        <v>74</v>
      </c>
      <c r="D1090" s="9" t="s">
        <v>75</v>
      </c>
      <c r="E1090" s="10">
        <v>69.89</v>
      </c>
      <c r="F1090" s="10">
        <v>70.28</v>
      </c>
      <c r="G1090" s="10">
        <v>69.28</v>
      </c>
      <c r="H1090" s="10">
        <v>70.19</v>
      </c>
      <c r="I1090" s="11">
        <v>3080940</v>
      </c>
      <c r="J1090" s="10">
        <v>15441800000</v>
      </c>
      <c r="K1090" s="30">
        <f t="shared" si="96"/>
        <v>0.42924595793389209</v>
      </c>
      <c r="L1090" s="31">
        <f t="shared" si="97"/>
        <v>1</v>
      </c>
      <c r="M1090" s="30">
        <f t="shared" si="98"/>
        <v>1.4308198597796537E-2</v>
      </c>
      <c r="N1090" s="20" t="str">
        <f t="shared" si="101"/>
        <v>High volume</v>
      </c>
      <c r="O1090" s="32">
        <f t="shared" si="99"/>
        <v>15.441800000000001</v>
      </c>
      <c r="P1090" s="20">
        <f t="shared" si="100"/>
        <v>11</v>
      </c>
      <c r="Q1090" s="20" t="str" cm="1">
        <f t="array" ref="Q1090">_xlfn.IFS(P1090&lt;=3,"Q1",P1090&lt;=6,"Q2",P1090&lt;=9,"Q3",P1090&lt;=12,"Q4")</f>
        <v>Q4</v>
      </c>
    </row>
    <row r="1091" spans="1:17" x14ac:dyDescent="0.25">
      <c r="A1091" s="14">
        <v>45964</v>
      </c>
      <c r="B1091" s="15" t="s">
        <v>76</v>
      </c>
      <c r="C1091" s="15" t="s">
        <v>77</v>
      </c>
      <c r="D1091" s="15" t="s">
        <v>75</v>
      </c>
      <c r="E1091" s="16">
        <v>151.43</v>
      </c>
      <c r="F1091" s="16">
        <v>154.13999999999999</v>
      </c>
      <c r="G1091" s="16">
        <v>149.96</v>
      </c>
      <c r="H1091" s="16">
        <v>153.30000000000001</v>
      </c>
      <c r="I1091" s="17">
        <v>2726056</v>
      </c>
      <c r="J1091" s="16">
        <v>30660000000</v>
      </c>
      <c r="K1091" s="30">
        <f t="shared" ref="K1091:K1154" si="102">((H1091-E1091)/E1091)*100</f>
        <v>1.2348940104338668</v>
      </c>
      <c r="L1091" s="31">
        <f t="shared" ref="L1091:L1154" si="103">F1091-G1091</f>
        <v>4.1799999999999784</v>
      </c>
      <c r="M1091" s="30">
        <f t="shared" ref="M1091:M1154" si="104">L1091/E1091</f>
        <v>2.7603513174403869E-2</v>
      </c>
      <c r="N1091" s="20" t="str">
        <f t="shared" si="101"/>
        <v>High volume</v>
      </c>
      <c r="O1091" s="32">
        <f t="shared" ref="O1091:O1154" si="105">J1091/1000000000</f>
        <v>30.66</v>
      </c>
      <c r="P1091" s="20">
        <f t="shared" ref="P1091:P1154" si="106">MONTH(A1091)</f>
        <v>11</v>
      </c>
      <c r="Q1091" s="20" t="str" cm="1">
        <f t="array" ref="Q1091">_xlfn.IFS(P1091&lt;=3,"Q1",P1091&lt;=6,"Q2",P1091&lt;=9,"Q3",P1091&lt;=12,"Q4")</f>
        <v>Q4</v>
      </c>
    </row>
    <row r="1092" spans="1:17" x14ac:dyDescent="0.25">
      <c r="A1092" s="8">
        <v>45965</v>
      </c>
      <c r="B1092" s="9" t="s">
        <v>60</v>
      </c>
      <c r="C1092" s="9" t="s">
        <v>61</v>
      </c>
      <c r="D1092" s="9" t="s">
        <v>62</v>
      </c>
      <c r="E1092" s="10">
        <v>1947.81</v>
      </c>
      <c r="F1092" s="10">
        <v>1968.67</v>
      </c>
      <c r="G1092" s="10">
        <v>1936.96</v>
      </c>
      <c r="H1092" s="10">
        <v>1961.85</v>
      </c>
      <c r="I1092" s="11">
        <v>2484755</v>
      </c>
      <c r="J1092" s="10">
        <v>2746590000000</v>
      </c>
      <c r="K1092" s="30">
        <f t="shared" si="102"/>
        <v>0.72080952454294633</v>
      </c>
      <c r="L1092" s="31">
        <f t="shared" si="103"/>
        <v>31.710000000000036</v>
      </c>
      <c r="M1092" s="30">
        <f t="shared" si="104"/>
        <v>1.6279821953886692E-2</v>
      </c>
      <c r="N1092" s="20" t="str">
        <f t="shared" ref="N1092:N1155" si="107">IF(I1092&gt;2000000,"High volume","Normal")</f>
        <v>High volume</v>
      </c>
      <c r="O1092" s="32">
        <f t="shared" si="105"/>
        <v>2746.59</v>
      </c>
      <c r="P1092" s="20">
        <f t="shared" si="106"/>
        <v>11</v>
      </c>
      <c r="Q1092" s="20" t="str" cm="1">
        <f t="array" ref="Q1092">_xlfn.IFS(P1092&lt;=3,"Q1",P1092&lt;=6,"Q2",P1092&lt;=9,"Q3",P1092&lt;=12,"Q4")</f>
        <v>Q4</v>
      </c>
    </row>
    <row r="1093" spans="1:17" x14ac:dyDescent="0.25">
      <c r="A1093" s="14">
        <v>45965</v>
      </c>
      <c r="B1093" s="15" t="s">
        <v>65</v>
      </c>
      <c r="C1093" s="15" t="s">
        <v>66</v>
      </c>
      <c r="D1093" s="15" t="s">
        <v>67</v>
      </c>
      <c r="E1093" s="16">
        <v>239.11</v>
      </c>
      <c r="F1093" s="16">
        <v>241.12</v>
      </c>
      <c r="G1093" s="16">
        <v>238.29</v>
      </c>
      <c r="H1093" s="16">
        <v>238.77</v>
      </c>
      <c r="I1093" s="17">
        <v>733018</v>
      </c>
      <c r="J1093" s="16">
        <v>59692500000</v>
      </c>
      <c r="K1093" s="30">
        <f t="shared" si="102"/>
        <v>-0.14219396930283276</v>
      </c>
      <c r="L1093" s="31">
        <f t="shared" si="103"/>
        <v>2.8300000000000125</v>
      </c>
      <c r="M1093" s="30">
        <f t="shared" si="104"/>
        <v>1.1835556856676895E-2</v>
      </c>
      <c r="N1093" s="20" t="str">
        <f t="shared" si="107"/>
        <v>Normal</v>
      </c>
      <c r="O1093" s="32">
        <f t="shared" si="105"/>
        <v>59.692500000000003</v>
      </c>
      <c r="P1093" s="20">
        <f t="shared" si="106"/>
        <v>11</v>
      </c>
      <c r="Q1093" s="20" t="str" cm="1">
        <f t="array" ref="Q1093">_xlfn.IFS(P1093&lt;=3,"Q1",P1093&lt;=6,"Q2",P1093&lt;=9,"Q3",P1093&lt;=12,"Q4")</f>
        <v>Q4</v>
      </c>
    </row>
    <row r="1094" spans="1:17" x14ac:dyDescent="0.25">
      <c r="A1094" s="8">
        <v>45965</v>
      </c>
      <c r="B1094" s="9" t="s">
        <v>69</v>
      </c>
      <c r="C1094" s="9" t="s">
        <v>70</v>
      </c>
      <c r="D1094" s="9" t="s">
        <v>71</v>
      </c>
      <c r="E1094" s="10">
        <v>598.11</v>
      </c>
      <c r="F1094" s="10">
        <v>601.41999999999996</v>
      </c>
      <c r="G1094" s="10">
        <v>598.02</v>
      </c>
      <c r="H1094" s="10">
        <v>599.66999999999996</v>
      </c>
      <c r="I1094" s="11">
        <v>1363854</v>
      </c>
      <c r="J1094" s="10">
        <v>479736000000</v>
      </c>
      <c r="K1094" s="30">
        <f t="shared" si="102"/>
        <v>0.26082158800219779</v>
      </c>
      <c r="L1094" s="31">
        <f t="shared" si="103"/>
        <v>3.3999999999999773</v>
      </c>
      <c r="M1094" s="30">
        <f t="shared" si="104"/>
        <v>5.6845730718429336E-3</v>
      </c>
      <c r="N1094" s="20" t="str">
        <f t="shared" si="107"/>
        <v>Normal</v>
      </c>
      <c r="O1094" s="32">
        <f t="shared" si="105"/>
        <v>479.73599999999999</v>
      </c>
      <c r="P1094" s="20">
        <f t="shared" si="106"/>
        <v>11</v>
      </c>
      <c r="Q1094" s="20" t="str" cm="1">
        <f t="array" ref="Q1094">_xlfn.IFS(P1094&lt;=3,"Q1",P1094&lt;=6,"Q2",P1094&lt;=9,"Q3",P1094&lt;=12,"Q4")</f>
        <v>Q4</v>
      </c>
    </row>
    <row r="1095" spans="1:17" x14ac:dyDescent="0.25">
      <c r="A1095" s="14">
        <v>45965</v>
      </c>
      <c r="B1095" s="15" t="s">
        <v>73</v>
      </c>
      <c r="C1095" s="15" t="s">
        <v>74</v>
      </c>
      <c r="D1095" s="15" t="s">
        <v>75</v>
      </c>
      <c r="E1095" s="16">
        <v>69.959999999999994</v>
      </c>
      <c r="F1095" s="16">
        <v>71.05</v>
      </c>
      <c r="G1095" s="16">
        <v>69.92</v>
      </c>
      <c r="H1095" s="16">
        <v>70.23</v>
      </c>
      <c r="I1095" s="17">
        <v>1411815</v>
      </c>
      <c r="J1095" s="16">
        <v>15450600000</v>
      </c>
      <c r="K1095" s="30">
        <f t="shared" si="102"/>
        <v>0.38593481989709871</v>
      </c>
      <c r="L1095" s="31">
        <f t="shared" si="103"/>
        <v>1.1299999999999955</v>
      </c>
      <c r="M1095" s="30">
        <f t="shared" si="104"/>
        <v>1.6152086906803826E-2</v>
      </c>
      <c r="N1095" s="20" t="str">
        <f t="shared" si="107"/>
        <v>Normal</v>
      </c>
      <c r="O1095" s="32">
        <f t="shared" si="105"/>
        <v>15.4506</v>
      </c>
      <c r="P1095" s="20">
        <f t="shared" si="106"/>
        <v>11</v>
      </c>
      <c r="Q1095" s="20" t="str" cm="1">
        <f t="array" ref="Q1095">_xlfn.IFS(P1095&lt;=3,"Q1",P1095&lt;=6,"Q2",P1095&lt;=9,"Q3",P1095&lt;=12,"Q4")</f>
        <v>Q4</v>
      </c>
    </row>
    <row r="1096" spans="1:17" x14ac:dyDescent="0.25">
      <c r="A1096" s="8">
        <v>45965</v>
      </c>
      <c r="B1096" s="9" t="s">
        <v>76</v>
      </c>
      <c r="C1096" s="9" t="s">
        <v>77</v>
      </c>
      <c r="D1096" s="9" t="s">
        <v>75</v>
      </c>
      <c r="E1096" s="10">
        <v>151.94999999999999</v>
      </c>
      <c r="F1096" s="10">
        <v>152.6</v>
      </c>
      <c r="G1096" s="10">
        <v>151.86000000000001</v>
      </c>
      <c r="H1096" s="10">
        <v>152.31</v>
      </c>
      <c r="I1096" s="11">
        <v>1567817</v>
      </c>
      <c r="J1096" s="10">
        <v>30462000000</v>
      </c>
      <c r="K1096" s="30">
        <f t="shared" si="102"/>
        <v>0.23692003948668225</v>
      </c>
      <c r="L1096" s="31">
        <f t="shared" si="103"/>
        <v>0.73999999999998067</v>
      </c>
      <c r="M1096" s="30">
        <f t="shared" si="104"/>
        <v>4.8700230338926008E-3</v>
      </c>
      <c r="N1096" s="20" t="str">
        <f t="shared" si="107"/>
        <v>Normal</v>
      </c>
      <c r="O1096" s="32">
        <f t="shared" si="105"/>
        <v>30.462</v>
      </c>
      <c r="P1096" s="20">
        <f t="shared" si="106"/>
        <v>11</v>
      </c>
      <c r="Q1096" s="20" t="str" cm="1">
        <f t="array" ref="Q1096">_xlfn.IFS(P1096&lt;=3,"Q1",P1096&lt;=6,"Q2",P1096&lt;=9,"Q3",P1096&lt;=12,"Q4")</f>
        <v>Q4</v>
      </c>
    </row>
    <row r="1097" spans="1:17" x14ac:dyDescent="0.25">
      <c r="A1097" s="14">
        <v>45966</v>
      </c>
      <c r="B1097" s="15" t="s">
        <v>60</v>
      </c>
      <c r="C1097" s="15" t="s">
        <v>61</v>
      </c>
      <c r="D1097" s="15" t="s">
        <v>62</v>
      </c>
      <c r="E1097" s="16">
        <v>2010.6</v>
      </c>
      <c r="F1097" s="16">
        <v>2018.95</v>
      </c>
      <c r="G1097" s="16">
        <v>1997.59</v>
      </c>
      <c r="H1097" s="16">
        <v>2001.34</v>
      </c>
      <c r="I1097" s="17">
        <v>2281354</v>
      </c>
      <c r="J1097" s="16">
        <v>2801876000000</v>
      </c>
      <c r="K1097" s="30">
        <f t="shared" si="102"/>
        <v>-0.46055903710335178</v>
      </c>
      <c r="L1097" s="31">
        <f t="shared" si="103"/>
        <v>21.360000000000127</v>
      </c>
      <c r="M1097" s="30">
        <f t="shared" si="104"/>
        <v>1.0623694419576309E-2</v>
      </c>
      <c r="N1097" s="20" t="str">
        <f t="shared" si="107"/>
        <v>High volume</v>
      </c>
      <c r="O1097" s="32">
        <f t="shared" si="105"/>
        <v>2801.8760000000002</v>
      </c>
      <c r="P1097" s="20">
        <f t="shared" si="106"/>
        <v>11</v>
      </c>
      <c r="Q1097" s="20" t="str" cm="1">
        <f t="array" ref="Q1097">_xlfn.IFS(P1097&lt;=3,"Q1",P1097&lt;=6,"Q2",P1097&lt;=9,"Q3",P1097&lt;=12,"Q4")</f>
        <v>Q4</v>
      </c>
    </row>
    <row r="1098" spans="1:17" x14ac:dyDescent="0.25">
      <c r="A1098" s="8">
        <v>45966</v>
      </c>
      <c r="B1098" s="9" t="s">
        <v>65</v>
      </c>
      <c r="C1098" s="9" t="s">
        <v>66</v>
      </c>
      <c r="D1098" s="9" t="s">
        <v>67</v>
      </c>
      <c r="E1098" s="10">
        <v>232.43</v>
      </c>
      <c r="F1098" s="10">
        <v>232.75</v>
      </c>
      <c r="G1098" s="10">
        <v>231.33</v>
      </c>
      <c r="H1098" s="10">
        <v>231.45</v>
      </c>
      <c r="I1098" s="11">
        <v>1516937</v>
      </c>
      <c r="J1098" s="10">
        <v>57862500000</v>
      </c>
      <c r="K1098" s="30">
        <f t="shared" si="102"/>
        <v>-0.42163231940800161</v>
      </c>
      <c r="L1098" s="31">
        <f t="shared" si="103"/>
        <v>1.4199999999999875</v>
      </c>
      <c r="M1098" s="30">
        <f t="shared" si="104"/>
        <v>6.1093662608096523E-3</v>
      </c>
      <c r="N1098" s="20" t="str">
        <f t="shared" si="107"/>
        <v>Normal</v>
      </c>
      <c r="O1098" s="32">
        <f t="shared" si="105"/>
        <v>57.862499999999997</v>
      </c>
      <c r="P1098" s="20">
        <f t="shared" si="106"/>
        <v>11</v>
      </c>
      <c r="Q1098" s="20" t="str" cm="1">
        <f t="array" ref="Q1098">_xlfn.IFS(P1098&lt;=3,"Q1",P1098&lt;=6,"Q2",P1098&lt;=9,"Q3",P1098&lt;=12,"Q4")</f>
        <v>Q4</v>
      </c>
    </row>
    <row r="1099" spans="1:17" x14ac:dyDescent="0.25">
      <c r="A1099" s="14">
        <v>45966</v>
      </c>
      <c r="B1099" s="15" t="s">
        <v>69</v>
      </c>
      <c r="C1099" s="15" t="s">
        <v>70</v>
      </c>
      <c r="D1099" s="15" t="s">
        <v>71</v>
      </c>
      <c r="E1099" s="16">
        <v>593.51</v>
      </c>
      <c r="F1099" s="16">
        <v>600.79</v>
      </c>
      <c r="G1099" s="16">
        <v>588.53</v>
      </c>
      <c r="H1099" s="16">
        <v>598.79999999999995</v>
      </c>
      <c r="I1099" s="17">
        <v>3764057</v>
      </c>
      <c r="J1099" s="16">
        <v>479040000000</v>
      </c>
      <c r="K1099" s="30">
        <f t="shared" si="102"/>
        <v>0.89130764435307974</v>
      </c>
      <c r="L1099" s="31">
        <f t="shared" si="103"/>
        <v>12.259999999999991</v>
      </c>
      <c r="M1099" s="30">
        <f t="shared" si="104"/>
        <v>2.0656770736803071E-2</v>
      </c>
      <c r="N1099" s="20" t="str">
        <f t="shared" si="107"/>
        <v>High volume</v>
      </c>
      <c r="O1099" s="32">
        <f t="shared" si="105"/>
        <v>479.04</v>
      </c>
      <c r="P1099" s="20">
        <f t="shared" si="106"/>
        <v>11</v>
      </c>
      <c r="Q1099" s="20" t="str" cm="1">
        <f t="array" ref="Q1099">_xlfn.IFS(P1099&lt;=3,"Q1",P1099&lt;=6,"Q2",P1099&lt;=9,"Q3",P1099&lt;=12,"Q4")</f>
        <v>Q4</v>
      </c>
    </row>
    <row r="1100" spans="1:17" x14ac:dyDescent="0.25">
      <c r="A1100" s="8">
        <v>45966</v>
      </c>
      <c r="B1100" s="9" t="s">
        <v>73</v>
      </c>
      <c r="C1100" s="9" t="s">
        <v>74</v>
      </c>
      <c r="D1100" s="9" t="s">
        <v>75</v>
      </c>
      <c r="E1100" s="10">
        <v>70.34</v>
      </c>
      <c r="F1100" s="10">
        <v>70.75</v>
      </c>
      <c r="G1100" s="10">
        <v>69.59</v>
      </c>
      <c r="H1100" s="10">
        <v>69.83</v>
      </c>
      <c r="I1100" s="11">
        <v>3194704</v>
      </c>
      <c r="J1100" s="10">
        <v>15362600000</v>
      </c>
      <c r="K1100" s="30">
        <f t="shared" si="102"/>
        <v>-0.72504975831675444</v>
      </c>
      <c r="L1100" s="31">
        <f t="shared" si="103"/>
        <v>1.1599999999999966</v>
      </c>
      <c r="M1100" s="30">
        <f t="shared" si="104"/>
        <v>1.6491327836224007E-2</v>
      </c>
      <c r="N1100" s="20" t="str">
        <f t="shared" si="107"/>
        <v>High volume</v>
      </c>
      <c r="O1100" s="32">
        <f t="shared" si="105"/>
        <v>15.3626</v>
      </c>
      <c r="P1100" s="20">
        <f t="shared" si="106"/>
        <v>11</v>
      </c>
      <c r="Q1100" s="20" t="str" cm="1">
        <f t="array" ref="Q1100">_xlfn.IFS(P1100&lt;=3,"Q1",P1100&lt;=6,"Q2",P1100&lt;=9,"Q3",P1100&lt;=12,"Q4")</f>
        <v>Q4</v>
      </c>
    </row>
    <row r="1101" spans="1:17" x14ac:dyDescent="0.25">
      <c r="A1101" s="14">
        <v>45966</v>
      </c>
      <c r="B1101" s="15" t="s">
        <v>76</v>
      </c>
      <c r="C1101" s="15" t="s">
        <v>77</v>
      </c>
      <c r="D1101" s="15" t="s">
        <v>75</v>
      </c>
      <c r="E1101" s="16">
        <v>153.54</v>
      </c>
      <c r="F1101" s="16">
        <v>154.44999999999999</v>
      </c>
      <c r="G1101" s="16">
        <v>153.22</v>
      </c>
      <c r="H1101" s="16">
        <v>154.22999999999999</v>
      </c>
      <c r="I1101" s="17">
        <v>740596</v>
      </c>
      <c r="J1101" s="16">
        <v>30846000000</v>
      </c>
      <c r="K1101" s="30">
        <f t="shared" si="102"/>
        <v>0.44939429464634473</v>
      </c>
      <c r="L1101" s="31">
        <f t="shared" si="103"/>
        <v>1.2299999999999898</v>
      </c>
      <c r="M1101" s="30">
        <f t="shared" si="104"/>
        <v>8.010941774130453E-3</v>
      </c>
      <c r="N1101" s="20" t="str">
        <f t="shared" si="107"/>
        <v>Normal</v>
      </c>
      <c r="O1101" s="32">
        <f t="shared" si="105"/>
        <v>30.846</v>
      </c>
      <c r="P1101" s="20">
        <f t="shared" si="106"/>
        <v>11</v>
      </c>
      <c r="Q1101" s="20" t="str" cm="1">
        <f t="array" ref="Q1101">_xlfn.IFS(P1101&lt;=3,"Q1",P1101&lt;=6,"Q2",P1101&lt;=9,"Q3",P1101&lt;=12,"Q4")</f>
        <v>Q4</v>
      </c>
    </row>
    <row r="1102" spans="1:17" x14ac:dyDescent="0.25">
      <c r="A1102" s="8">
        <v>45967</v>
      </c>
      <c r="B1102" s="9" t="s">
        <v>60</v>
      </c>
      <c r="C1102" s="9" t="s">
        <v>61</v>
      </c>
      <c r="D1102" s="9" t="s">
        <v>62</v>
      </c>
      <c r="E1102" s="10">
        <v>2016.73</v>
      </c>
      <c r="F1102" s="10">
        <v>2030.87</v>
      </c>
      <c r="G1102" s="10">
        <v>2008.26</v>
      </c>
      <c r="H1102" s="10">
        <v>2025.27</v>
      </c>
      <c r="I1102" s="11">
        <v>4767108</v>
      </c>
      <c r="J1102" s="10">
        <v>2835378000000</v>
      </c>
      <c r="K1102" s="30">
        <f t="shared" si="102"/>
        <v>0.42345777570621568</v>
      </c>
      <c r="L1102" s="31">
        <f t="shared" si="103"/>
        <v>22.6099999999999</v>
      </c>
      <c r="M1102" s="30">
        <f t="shared" si="104"/>
        <v>1.121121816009079E-2</v>
      </c>
      <c r="N1102" s="20" t="str">
        <f t="shared" si="107"/>
        <v>High volume</v>
      </c>
      <c r="O1102" s="32">
        <f t="shared" si="105"/>
        <v>2835.3780000000002</v>
      </c>
      <c r="P1102" s="20">
        <f t="shared" si="106"/>
        <v>11</v>
      </c>
      <c r="Q1102" s="20" t="str" cm="1">
        <f t="array" ref="Q1102">_xlfn.IFS(P1102&lt;=3,"Q1",P1102&lt;=6,"Q2",P1102&lt;=9,"Q3",P1102&lt;=12,"Q4")</f>
        <v>Q4</v>
      </c>
    </row>
    <row r="1103" spans="1:17" x14ac:dyDescent="0.25">
      <c r="A1103" s="14">
        <v>45967</v>
      </c>
      <c r="B1103" s="15" t="s">
        <v>65</v>
      </c>
      <c r="C1103" s="15" t="s">
        <v>66</v>
      </c>
      <c r="D1103" s="15" t="s">
        <v>67</v>
      </c>
      <c r="E1103" s="16">
        <v>236.95</v>
      </c>
      <c r="F1103" s="16">
        <v>237.24</v>
      </c>
      <c r="G1103" s="16">
        <v>234.09</v>
      </c>
      <c r="H1103" s="16">
        <v>235.32</v>
      </c>
      <c r="I1103" s="17">
        <v>2503059</v>
      </c>
      <c r="J1103" s="16">
        <v>58830000000</v>
      </c>
      <c r="K1103" s="30">
        <f t="shared" si="102"/>
        <v>-0.68790884152774656</v>
      </c>
      <c r="L1103" s="31">
        <f t="shared" si="103"/>
        <v>3.1500000000000057</v>
      </c>
      <c r="M1103" s="30">
        <f t="shared" si="104"/>
        <v>1.3293943870014795E-2</v>
      </c>
      <c r="N1103" s="20" t="str">
        <f t="shared" si="107"/>
        <v>High volume</v>
      </c>
      <c r="O1103" s="32">
        <f t="shared" si="105"/>
        <v>58.83</v>
      </c>
      <c r="P1103" s="20">
        <f t="shared" si="106"/>
        <v>11</v>
      </c>
      <c r="Q1103" s="20" t="str" cm="1">
        <f t="array" ref="Q1103">_xlfn.IFS(P1103&lt;=3,"Q1",P1103&lt;=6,"Q2",P1103&lt;=9,"Q3",P1103&lt;=12,"Q4")</f>
        <v>Q4</v>
      </c>
    </row>
    <row r="1104" spans="1:17" x14ac:dyDescent="0.25">
      <c r="A1104" s="8">
        <v>45967</v>
      </c>
      <c r="B1104" s="9" t="s">
        <v>69</v>
      </c>
      <c r="C1104" s="9" t="s">
        <v>70</v>
      </c>
      <c r="D1104" s="9" t="s">
        <v>71</v>
      </c>
      <c r="E1104" s="10">
        <v>610.03</v>
      </c>
      <c r="F1104" s="10">
        <v>617.83000000000004</v>
      </c>
      <c r="G1104" s="10">
        <v>598.89</v>
      </c>
      <c r="H1104" s="10">
        <v>607.39</v>
      </c>
      <c r="I1104" s="11">
        <v>2948188</v>
      </c>
      <c r="J1104" s="10">
        <v>485912000000</v>
      </c>
      <c r="K1104" s="30">
        <f t="shared" si="102"/>
        <v>-0.43276560169171785</v>
      </c>
      <c r="L1104" s="31">
        <f t="shared" si="103"/>
        <v>18.940000000000055</v>
      </c>
      <c r="M1104" s="30">
        <f t="shared" si="104"/>
        <v>3.1047653394095463E-2</v>
      </c>
      <c r="N1104" s="20" t="str">
        <f t="shared" si="107"/>
        <v>High volume</v>
      </c>
      <c r="O1104" s="32">
        <f t="shared" si="105"/>
        <v>485.91199999999998</v>
      </c>
      <c r="P1104" s="20">
        <f t="shared" si="106"/>
        <v>11</v>
      </c>
      <c r="Q1104" s="20" t="str" cm="1">
        <f t="array" ref="Q1104">_xlfn.IFS(P1104&lt;=3,"Q1",P1104&lt;=6,"Q2",P1104&lt;=9,"Q3",P1104&lt;=12,"Q4")</f>
        <v>Q4</v>
      </c>
    </row>
    <row r="1105" spans="1:17" x14ac:dyDescent="0.25">
      <c r="A1105" s="14">
        <v>45967</v>
      </c>
      <c r="B1105" s="15" t="s">
        <v>73</v>
      </c>
      <c r="C1105" s="15" t="s">
        <v>74</v>
      </c>
      <c r="D1105" s="15" t="s">
        <v>75</v>
      </c>
      <c r="E1105" s="16">
        <v>70.02</v>
      </c>
      <c r="F1105" s="16">
        <v>70.84</v>
      </c>
      <c r="G1105" s="16">
        <v>69.819999999999993</v>
      </c>
      <c r="H1105" s="16">
        <v>69.86</v>
      </c>
      <c r="I1105" s="17">
        <v>4756811</v>
      </c>
      <c r="J1105" s="16">
        <v>15369200000</v>
      </c>
      <c r="K1105" s="30">
        <f t="shared" si="102"/>
        <v>-0.22850614110253728</v>
      </c>
      <c r="L1105" s="31">
        <f t="shared" si="103"/>
        <v>1.0200000000000102</v>
      </c>
      <c r="M1105" s="30">
        <f t="shared" si="104"/>
        <v>1.4567266495287208E-2</v>
      </c>
      <c r="N1105" s="20" t="str">
        <f t="shared" si="107"/>
        <v>High volume</v>
      </c>
      <c r="O1105" s="32">
        <f t="shared" si="105"/>
        <v>15.369199999999999</v>
      </c>
      <c r="P1105" s="20">
        <f t="shared" si="106"/>
        <v>11</v>
      </c>
      <c r="Q1105" s="20" t="str" cm="1">
        <f t="array" ref="Q1105">_xlfn.IFS(P1105&lt;=3,"Q1",P1105&lt;=6,"Q2",P1105&lt;=9,"Q3",P1105&lt;=12,"Q4")</f>
        <v>Q4</v>
      </c>
    </row>
    <row r="1106" spans="1:17" x14ac:dyDescent="0.25">
      <c r="A1106" s="8">
        <v>45967</v>
      </c>
      <c r="B1106" s="9" t="s">
        <v>76</v>
      </c>
      <c r="C1106" s="9" t="s">
        <v>77</v>
      </c>
      <c r="D1106" s="9" t="s">
        <v>75</v>
      </c>
      <c r="E1106" s="10">
        <v>150.5</v>
      </c>
      <c r="F1106" s="10">
        <v>152.79</v>
      </c>
      <c r="G1106" s="10">
        <v>148.05000000000001</v>
      </c>
      <c r="H1106" s="10">
        <v>152.12</v>
      </c>
      <c r="I1106" s="11">
        <v>3109910</v>
      </c>
      <c r="J1106" s="10">
        <v>30424000000</v>
      </c>
      <c r="K1106" s="30">
        <f t="shared" si="102"/>
        <v>1.0764119601328934</v>
      </c>
      <c r="L1106" s="31">
        <f t="shared" si="103"/>
        <v>4.7399999999999807</v>
      </c>
      <c r="M1106" s="30">
        <f t="shared" si="104"/>
        <v>3.149501661129555E-2</v>
      </c>
      <c r="N1106" s="20" t="str">
        <f t="shared" si="107"/>
        <v>High volume</v>
      </c>
      <c r="O1106" s="32">
        <f t="shared" si="105"/>
        <v>30.423999999999999</v>
      </c>
      <c r="P1106" s="20">
        <f t="shared" si="106"/>
        <v>11</v>
      </c>
      <c r="Q1106" s="20" t="str" cm="1">
        <f t="array" ref="Q1106">_xlfn.IFS(P1106&lt;=3,"Q1",P1106&lt;=6,"Q2",P1106&lt;=9,"Q3",P1106&lt;=12,"Q4")</f>
        <v>Q4</v>
      </c>
    </row>
    <row r="1107" spans="1:17" x14ac:dyDescent="0.25">
      <c r="A1107" s="14">
        <v>45968</v>
      </c>
      <c r="B1107" s="15" t="s">
        <v>60</v>
      </c>
      <c r="C1107" s="15" t="s">
        <v>61</v>
      </c>
      <c r="D1107" s="15" t="s">
        <v>62</v>
      </c>
      <c r="E1107" s="16">
        <v>2053.92</v>
      </c>
      <c r="F1107" s="16">
        <v>2057.69</v>
      </c>
      <c r="G1107" s="16">
        <v>2024.57</v>
      </c>
      <c r="H1107" s="16">
        <v>2033.03</v>
      </c>
      <c r="I1107" s="17">
        <v>3581235</v>
      </c>
      <c r="J1107" s="16">
        <v>2846242000000</v>
      </c>
      <c r="K1107" s="30">
        <f t="shared" si="102"/>
        <v>-1.0170795357170728</v>
      </c>
      <c r="L1107" s="31">
        <f t="shared" si="103"/>
        <v>33.120000000000118</v>
      </c>
      <c r="M1107" s="30">
        <f t="shared" si="104"/>
        <v>1.6125262911895359E-2</v>
      </c>
      <c r="N1107" s="20" t="str">
        <f t="shared" si="107"/>
        <v>High volume</v>
      </c>
      <c r="O1107" s="32">
        <f t="shared" si="105"/>
        <v>2846.2420000000002</v>
      </c>
      <c r="P1107" s="20">
        <f t="shared" si="106"/>
        <v>11</v>
      </c>
      <c r="Q1107" s="20" t="str" cm="1">
        <f t="array" ref="Q1107">_xlfn.IFS(P1107&lt;=3,"Q1",P1107&lt;=6,"Q2",P1107&lt;=9,"Q3",P1107&lt;=12,"Q4")</f>
        <v>Q4</v>
      </c>
    </row>
    <row r="1108" spans="1:17" x14ac:dyDescent="0.25">
      <c r="A1108" s="8">
        <v>45968</v>
      </c>
      <c r="B1108" s="9" t="s">
        <v>65</v>
      </c>
      <c r="C1108" s="9" t="s">
        <v>66</v>
      </c>
      <c r="D1108" s="9" t="s">
        <v>67</v>
      </c>
      <c r="E1108" s="10">
        <v>230.23</v>
      </c>
      <c r="F1108" s="10">
        <v>230.9</v>
      </c>
      <c r="G1108" s="10">
        <v>230.09</v>
      </c>
      <c r="H1108" s="10">
        <v>230.71</v>
      </c>
      <c r="I1108" s="11">
        <v>4661676</v>
      </c>
      <c r="J1108" s="10">
        <v>57677500000</v>
      </c>
      <c r="K1108" s="30">
        <f t="shared" si="102"/>
        <v>0.20848716500891204</v>
      </c>
      <c r="L1108" s="31">
        <f t="shared" si="103"/>
        <v>0.81000000000000227</v>
      </c>
      <c r="M1108" s="30">
        <f t="shared" si="104"/>
        <v>3.5182209095252675E-3</v>
      </c>
      <c r="N1108" s="20" t="str">
        <f t="shared" si="107"/>
        <v>High volume</v>
      </c>
      <c r="O1108" s="32">
        <f t="shared" si="105"/>
        <v>57.677500000000002</v>
      </c>
      <c r="P1108" s="20">
        <f t="shared" si="106"/>
        <v>11</v>
      </c>
      <c r="Q1108" s="20" t="str" cm="1">
        <f t="array" ref="Q1108">_xlfn.IFS(P1108&lt;=3,"Q1",P1108&lt;=6,"Q2",P1108&lt;=9,"Q3",P1108&lt;=12,"Q4")</f>
        <v>Q4</v>
      </c>
    </row>
    <row r="1109" spans="1:17" x14ac:dyDescent="0.25">
      <c r="A1109" s="14">
        <v>45968</v>
      </c>
      <c r="B1109" s="15" t="s">
        <v>69</v>
      </c>
      <c r="C1109" s="15" t="s">
        <v>70</v>
      </c>
      <c r="D1109" s="15" t="s">
        <v>71</v>
      </c>
      <c r="E1109" s="16">
        <v>621.1</v>
      </c>
      <c r="F1109" s="16">
        <v>625.07000000000005</v>
      </c>
      <c r="G1109" s="16">
        <v>614.61</v>
      </c>
      <c r="H1109" s="16">
        <v>616.49</v>
      </c>
      <c r="I1109" s="17">
        <v>4893707</v>
      </c>
      <c r="J1109" s="16">
        <v>493192000000</v>
      </c>
      <c r="K1109" s="30">
        <f t="shared" si="102"/>
        <v>-0.74223152471421894</v>
      </c>
      <c r="L1109" s="31">
        <f t="shared" si="103"/>
        <v>10.460000000000036</v>
      </c>
      <c r="M1109" s="30">
        <f t="shared" si="104"/>
        <v>1.6841088391563414E-2</v>
      </c>
      <c r="N1109" s="20" t="str">
        <f t="shared" si="107"/>
        <v>High volume</v>
      </c>
      <c r="O1109" s="32">
        <f t="shared" si="105"/>
        <v>493.19200000000001</v>
      </c>
      <c r="P1109" s="20">
        <f t="shared" si="106"/>
        <v>11</v>
      </c>
      <c r="Q1109" s="20" t="str" cm="1">
        <f t="array" ref="Q1109">_xlfn.IFS(P1109&lt;=3,"Q1",P1109&lt;=6,"Q2",P1109&lt;=9,"Q3",P1109&lt;=12,"Q4")</f>
        <v>Q4</v>
      </c>
    </row>
    <row r="1110" spans="1:17" x14ac:dyDescent="0.25">
      <c r="A1110" s="8">
        <v>45968</v>
      </c>
      <c r="B1110" s="9" t="s">
        <v>73</v>
      </c>
      <c r="C1110" s="9" t="s">
        <v>74</v>
      </c>
      <c r="D1110" s="9" t="s">
        <v>75</v>
      </c>
      <c r="E1110" s="10">
        <v>70.010000000000005</v>
      </c>
      <c r="F1110" s="10">
        <v>70.010000000000005</v>
      </c>
      <c r="G1110" s="10">
        <v>69.489999999999995</v>
      </c>
      <c r="H1110" s="10">
        <v>69.760000000000005</v>
      </c>
      <c r="I1110" s="11">
        <v>4040834</v>
      </c>
      <c r="J1110" s="10">
        <v>15347200000</v>
      </c>
      <c r="K1110" s="30">
        <f t="shared" si="102"/>
        <v>-0.3570918440222825</v>
      </c>
      <c r="L1110" s="31">
        <f t="shared" si="103"/>
        <v>0.52000000000001023</v>
      </c>
      <c r="M1110" s="30">
        <f t="shared" si="104"/>
        <v>7.4275103556636218E-3</v>
      </c>
      <c r="N1110" s="20" t="str">
        <f t="shared" si="107"/>
        <v>High volume</v>
      </c>
      <c r="O1110" s="32">
        <f t="shared" si="105"/>
        <v>15.347200000000001</v>
      </c>
      <c r="P1110" s="20">
        <f t="shared" si="106"/>
        <v>11</v>
      </c>
      <c r="Q1110" s="20" t="str" cm="1">
        <f t="array" ref="Q1110">_xlfn.IFS(P1110&lt;=3,"Q1",P1110&lt;=6,"Q2",P1110&lt;=9,"Q3",P1110&lt;=12,"Q4")</f>
        <v>Q4</v>
      </c>
    </row>
    <row r="1111" spans="1:17" x14ac:dyDescent="0.25">
      <c r="A1111" s="14">
        <v>45968</v>
      </c>
      <c r="B1111" s="15" t="s">
        <v>76</v>
      </c>
      <c r="C1111" s="15" t="s">
        <v>77</v>
      </c>
      <c r="D1111" s="15" t="s">
        <v>75</v>
      </c>
      <c r="E1111" s="16">
        <v>153.12</v>
      </c>
      <c r="F1111" s="16">
        <v>154.29</v>
      </c>
      <c r="G1111" s="16">
        <v>151.54</v>
      </c>
      <c r="H1111" s="16">
        <v>152.22999999999999</v>
      </c>
      <c r="I1111" s="17">
        <v>585563</v>
      </c>
      <c r="J1111" s="16">
        <v>30446000000</v>
      </c>
      <c r="K1111" s="30">
        <f t="shared" si="102"/>
        <v>-0.58124346917451331</v>
      </c>
      <c r="L1111" s="31">
        <f t="shared" si="103"/>
        <v>2.75</v>
      </c>
      <c r="M1111" s="30">
        <f t="shared" si="104"/>
        <v>1.7959770114942528E-2</v>
      </c>
      <c r="N1111" s="20" t="str">
        <f t="shared" si="107"/>
        <v>Normal</v>
      </c>
      <c r="O1111" s="32">
        <f t="shared" si="105"/>
        <v>30.446000000000002</v>
      </c>
      <c r="P1111" s="20">
        <f t="shared" si="106"/>
        <v>11</v>
      </c>
      <c r="Q1111" s="20" t="str" cm="1">
        <f t="array" ref="Q1111">_xlfn.IFS(P1111&lt;=3,"Q1",P1111&lt;=6,"Q2",P1111&lt;=9,"Q3",P1111&lt;=12,"Q4")</f>
        <v>Q4</v>
      </c>
    </row>
    <row r="1112" spans="1:17" x14ac:dyDescent="0.25">
      <c r="A1112" s="8">
        <v>45971</v>
      </c>
      <c r="B1112" s="9" t="s">
        <v>60</v>
      </c>
      <c r="C1112" s="9" t="s">
        <v>61</v>
      </c>
      <c r="D1112" s="9" t="s">
        <v>62</v>
      </c>
      <c r="E1112" s="10">
        <v>2046.68</v>
      </c>
      <c r="F1112" s="10">
        <v>2047.75</v>
      </c>
      <c r="G1112" s="10">
        <v>2024.51</v>
      </c>
      <c r="H1112" s="10">
        <v>2043.93</v>
      </c>
      <c r="I1112" s="11">
        <v>1321649</v>
      </c>
      <c r="J1112" s="10">
        <v>2861502000000</v>
      </c>
      <c r="K1112" s="30">
        <f t="shared" si="102"/>
        <v>-0.13436394551175562</v>
      </c>
      <c r="L1112" s="31">
        <f t="shared" si="103"/>
        <v>23.240000000000009</v>
      </c>
      <c r="M1112" s="30">
        <f t="shared" si="104"/>
        <v>1.1354974886157098E-2</v>
      </c>
      <c r="N1112" s="20" t="str">
        <f t="shared" si="107"/>
        <v>Normal</v>
      </c>
      <c r="O1112" s="32">
        <f t="shared" si="105"/>
        <v>2861.502</v>
      </c>
      <c r="P1112" s="20">
        <f t="shared" si="106"/>
        <v>11</v>
      </c>
      <c r="Q1112" s="20" t="str" cm="1">
        <f t="array" ref="Q1112">_xlfn.IFS(P1112&lt;=3,"Q1",P1112&lt;=6,"Q2",P1112&lt;=9,"Q3",P1112&lt;=12,"Q4")</f>
        <v>Q4</v>
      </c>
    </row>
    <row r="1113" spans="1:17" x14ac:dyDescent="0.25">
      <c r="A1113" s="14">
        <v>45971</v>
      </c>
      <c r="B1113" s="15" t="s">
        <v>65</v>
      </c>
      <c r="C1113" s="15" t="s">
        <v>66</v>
      </c>
      <c r="D1113" s="15" t="s">
        <v>67</v>
      </c>
      <c r="E1113" s="16">
        <v>228.85</v>
      </c>
      <c r="F1113" s="16">
        <v>229.09</v>
      </c>
      <c r="G1113" s="16">
        <v>227.96</v>
      </c>
      <c r="H1113" s="16">
        <v>228.93</v>
      </c>
      <c r="I1113" s="17">
        <v>1389741</v>
      </c>
      <c r="J1113" s="16">
        <v>57232500000</v>
      </c>
      <c r="K1113" s="30">
        <f t="shared" si="102"/>
        <v>3.4957395674027752E-2</v>
      </c>
      <c r="L1113" s="31">
        <f t="shared" si="103"/>
        <v>1.1299999999999955</v>
      </c>
      <c r="M1113" s="30">
        <f t="shared" si="104"/>
        <v>4.9377321389556285E-3</v>
      </c>
      <c r="N1113" s="20" t="str">
        <f t="shared" si="107"/>
        <v>Normal</v>
      </c>
      <c r="O1113" s="32">
        <f t="shared" si="105"/>
        <v>57.232500000000002</v>
      </c>
      <c r="P1113" s="20">
        <f t="shared" si="106"/>
        <v>11</v>
      </c>
      <c r="Q1113" s="20" t="str" cm="1">
        <f t="array" ref="Q1113">_xlfn.IFS(P1113&lt;=3,"Q1",P1113&lt;=6,"Q2",P1113&lt;=9,"Q3",P1113&lt;=12,"Q4")</f>
        <v>Q4</v>
      </c>
    </row>
    <row r="1114" spans="1:17" x14ac:dyDescent="0.25">
      <c r="A1114" s="8">
        <v>45971</v>
      </c>
      <c r="B1114" s="9" t="s">
        <v>69</v>
      </c>
      <c r="C1114" s="9" t="s">
        <v>70</v>
      </c>
      <c r="D1114" s="9" t="s">
        <v>71</v>
      </c>
      <c r="E1114" s="10">
        <v>605.44000000000005</v>
      </c>
      <c r="F1114" s="10">
        <v>611.22</v>
      </c>
      <c r="G1114" s="10">
        <v>600.21</v>
      </c>
      <c r="H1114" s="10">
        <v>602.24</v>
      </c>
      <c r="I1114" s="11">
        <v>1229835</v>
      </c>
      <c r="J1114" s="10">
        <v>481792000000</v>
      </c>
      <c r="K1114" s="30">
        <f t="shared" si="102"/>
        <v>-0.52854122621565225</v>
      </c>
      <c r="L1114" s="31">
        <f t="shared" si="103"/>
        <v>11.009999999999991</v>
      </c>
      <c r="M1114" s="30">
        <f t="shared" si="104"/>
        <v>1.8185121564482012E-2</v>
      </c>
      <c r="N1114" s="20" t="str">
        <f t="shared" si="107"/>
        <v>Normal</v>
      </c>
      <c r="O1114" s="32">
        <f t="shared" si="105"/>
        <v>481.79199999999997</v>
      </c>
      <c r="P1114" s="20">
        <f t="shared" si="106"/>
        <v>11</v>
      </c>
      <c r="Q1114" s="20" t="str" cm="1">
        <f t="array" ref="Q1114">_xlfn.IFS(P1114&lt;=3,"Q1",P1114&lt;=6,"Q2",P1114&lt;=9,"Q3",P1114&lt;=12,"Q4")</f>
        <v>Q4</v>
      </c>
    </row>
    <row r="1115" spans="1:17" x14ac:dyDescent="0.25">
      <c r="A1115" s="14">
        <v>45971</v>
      </c>
      <c r="B1115" s="15" t="s">
        <v>73</v>
      </c>
      <c r="C1115" s="15" t="s">
        <v>74</v>
      </c>
      <c r="D1115" s="15" t="s">
        <v>75</v>
      </c>
      <c r="E1115" s="16">
        <v>68.260000000000005</v>
      </c>
      <c r="F1115" s="16">
        <v>68.400000000000006</v>
      </c>
      <c r="G1115" s="16">
        <v>67.87</v>
      </c>
      <c r="H1115" s="16">
        <v>68.12</v>
      </c>
      <c r="I1115" s="17">
        <v>935136</v>
      </c>
      <c r="J1115" s="16">
        <v>14986400000</v>
      </c>
      <c r="K1115" s="30">
        <f t="shared" si="102"/>
        <v>-0.20509815411661378</v>
      </c>
      <c r="L1115" s="31">
        <f t="shared" si="103"/>
        <v>0.53000000000000114</v>
      </c>
      <c r="M1115" s="30">
        <f t="shared" si="104"/>
        <v>7.7644301201289347E-3</v>
      </c>
      <c r="N1115" s="20" t="str">
        <f t="shared" si="107"/>
        <v>Normal</v>
      </c>
      <c r="O1115" s="32">
        <f t="shared" si="105"/>
        <v>14.9864</v>
      </c>
      <c r="P1115" s="20">
        <f t="shared" si="106"/>
        <v>11</v>
      </c>
      <c r="Q1115" s="20" t="str" cm="1">
        <f t="array" ref="Q1115">_xlfn.IFS(P1115&lt;=3,"Q1",P1115&lt;=6,"Q2",P1115&lt;=9,"Q3",P1115&lt;=12,"Q4")</f>
        <v>Q4</v>
      </c>
    </row>
    <row r="1116" spans="1:17" x14ac:dyDescent="0.25">
      <c r="A1116" s="8">
        <v>45971</v>
      </c>
      <c r="B1116" s="9" t="s">
        <v>76</v>
      </c>
      <c r="C1116" s="9" t="s">
        <v>77</v>
      </c>
      <c r="D1116" s="9" t="s">
        <v>75</v>
      </c>
      <c r="E1116" s="10">
        <v>148.94</v>
      </c>
      <c r="F1116" s="10">
        <v>151</v>
      </c>
      <c r="G1116" s="10">
        <v>148.72999999999999</v>
      </c>
      <c r="H1116" s="10">
        <v>150.78</v>
      </c>
      <c r="I1116" s="11">
        <v>3012910</v>
      </c>
      <c r="J1116" s="10">
        <v>30156000000</v>
      </c>
      <c r="K1116" s="30">
        <f t="shared" si="102"/>
        <v>1.235396804082183</v>
      </c>
      <c r="L1116" s="31">
        <f t="shared" si="103"/>
        <v>2.2700000000000102</v>
      </c>
      <c r="M1116" s="30">
        <f t="shared" si="104"/>
        <v>1.5241036659057407E-2</v>
      </c>
      <c r="N1116" s="20" t="str">
        <f t="shared" si="107"/>
        <v>High volume</v>
      </c>
      <c r="O1116" s="32">
        <f t="shared" si="105"/>
        <v>30.155999999999999</v>
      </c>
      <c r="P1116" s="20">
        <f t="shared" si="106"/>
        <v>11</v>
      </c>
      <c r="Q1116" s="20" t="str" cm="1">
        <f t="array" ref="Q1116">_xlfn.IFS(P1116&lt;=3,"Q1",P1116&lt;=6,"Q2",P1116&lt;=9,"Q3",P1116&lt;=12,"Q4")</f>
        <v>Q4</v>
      </c>
    </row>
    <row r="1117" spans="1:17" x14ac:dyDescent="0.25">
      <c r="A1117" s="14">
        <v>45972</v>
      </c>
      <c r="B1117" s="15" t="s">
        <v>60</v>
      </c>
      <c r="C1117" s="15" t="s">
        <v>61</v>
      </c>
      <c r="D1117" s="15" t="s">
        <v>62</v>
      </c>
      <c r="E1117" s="16">
        <v>2076.25</v>
      </c>
      <c r="F1117" s="16">
        <v>2077.58</v>
      </c>
      <c r="G1117" s="16">
        <v>2047.34</v>
      </c>
      <c r="H1117" s="16">
        <v>2055.73</v>
      </c>
      <c r="I1117" s="17">
        <v>823343</v>
      </c>
      <c r="J1117" s="16">
        <v>2878022000000</v>
      </c>
      <c r="K1117" s="30">
        <f t="shared" si="102"/>
        <v>-0.98832028898253976</v>
      </c>
      <c r="L1117" s="31">
        <f t="shared" si="103"/>
        <v>30.240000000000009</v>
      </c>
      <c r="M1117" s="30">
        <f t="shared" si="104"/>
        <v>1.4564720048163761E-2</v>
      </c>
      <c r="N1117" s="20" t="str">
        <f t="shared" si="107"/>
        <v>Normal</v>
      </c>
      <c r="O1117" s="32">
        <f t="shared" si="105"/>
        <v>2878.0219999999999</v>
      </c>
      <c r="P1117" s="20">
        <f t="shared" si="106"/>
        <v>11</v>
      </c>
      <c r="Q1117" s="20" t="str" cm="1">
        <f t="array" ref="Q1117">_xlfn.IFS(P1117&lt;=3,"Q1",P1117&lt;=6,"Q2",P1117&lt;=9,"Q3",P1117&lt;=12,"Q4")</f>
        <v>Q4</v>
      </c>
    </row>
    <row r="1118" spans="1:17" x14ac:dyDescent="0.25">
      <c r="A1118" s="8">
        <v>45972</v>
      </c>
      <c r="B1118" s="9" t="s">
        <v>65</v>
      </c>
      <c r="C1118" s="9" t="s">
        <v>66</v>
      </c>
      <c r="D1118" s="9" t="s">
        <v>67</v>
      </c>
      <c r="E1118" s="10">
        <v>226.69</v>
      </c>
      <c r="F1118" s="10">
        <v>227.79</v>
      </c>
      <c r="G1118" s="10">
        <v>222.48</v>
      </c>
      <c r="H1118" s="10">
        <v>223.89</v>
      </c>
      <c r="I1118" s="11">
        <v>3995809</v>
      </c>
      <c r="J1118" s="10">
        <v>55972500000</v>
      </c>
      <c r="K1118" s="30">
        <f t="shared" si="102"/>
        <v>-1.2351669681062294</v>
      </c>
      <c r="L1118" s="31">
        <f t="shared" si="103"/>
        <v>5.3100000000000023</v>
      </c>
      <c r="M1118" s="30">
        <f t="shared" si="104"/>
        <v>2.3424059288014481E-2</v>
      </c>
      <c r="N1118" s="20" t="str">
        <f t="shared" si="107"/>
        <v>High volume</v>
      </c>
      <c r="O1118" s="32">
        <f t="shared" si="105"/>
        <v>55.972499999999997</v>
      </c>
      <c r="P1118" s="20">
        <f t="shared" si="106"/>
        <v>11</v>
      </c>
      <c r="Q1118" s="20" t="str" cm="1">
        <f t="array" ref="Q1118">_xlfn.IFS(P1118&lt;=3,"Q1",P1118&lt;=6,"Q2",P1118&lt;=9,"Q3",P1118&lt;=12,"Q4")</f>
        <v>Q4</v>
      </c>
    </row>
    <row r="1119" spans="1:17" x14ac:dyDescent="0.25">
      <c r="A1119" s="14">
        <v>45972</v>
      </c>
      <c r="B1119" s="15" t="s">
        <v>69</v>
      </c>
      <c r="C1119" s="15" t="s">
        <v>70</v>
      </c>
      <c r="D1119" s="15" t="s">
        <v>71</v>
      </c>
      <c r="E1119" s="16">
        <v>610.66999999999996</v>
      </c>
      <c r="F1119" s="16">
        <v>623.01</v>
      </c>
      <c r="G1119" s="16">
        <v>604.91999999999996</v>
      </c>
      <c r="H1119" s="16">
        <v>608.54999999999995</v>
      </c>
      <c r="I1119" s="17">
        <v>3593656</v>
      </c>
      <c r="J1119" s="16">
        <v>486840000000</v>
      </c>
      <c r="K1119" s="30">
        <f t="shared" si="102"/>
        <v>-0.34715967707599926</v>
      </c>
      <c r="L1119" s="31">
        <f t="shared" si="103"/>
        <v>18.090000000000032</v>
      </c>
      <c r="M1119" s="30">
        <f t="shared" si="104"/>
        <v>2.9623200746720868E-2</v>
      </c>
      <c r="N1119" s="20" t="str">
        <f t="shared" si="107"/>
        <v>High volume</v>
      </c>
      <c r="O1119" s="32">
        <f t="shared" si="105"/>
        <v>486.84</v>
      </c>
      <c r="P1119" s="20">
        <f t="shared" si="106"/>
        <v>11</v>
      </c>
      <c r="Q1119" s="20" t="str" cm="1">
        <f t="array" ref="Q1119">_xlfn.IFS(P1119&lt;=3,"Q1",P1119&lt;=6,"Q2",P1119&lt;=9,"Q3",P1119&lt;=12,"Q4")</f>
        <v>Q4</v>
      </c>
    </row>
    <row r="1120" spans="1:17" x14ac:dyDescent="0.25">
      <c r="A1120" s="8">
        <v>45972</v>
      </c>
      <c r="B1120" s="9" t="s">
        <v>73</v>
      </c>
      <c r="C1120" s="9" t="s">
        <v>74</v>
      </c>
      <c r="D1120" s="9" t="s">
        <v>75</v>
      </c>
      <c r="E1120" s="10">
        <v>68.650000000000006</v>
      </c>
      <c r="F1120" s="10">
        <v>69.23</v>
      </c>
      <c r="G1120" s="10">
        <v>68.069999999999993</v>
      </c>
      <c r="H1120" s="10">
        <v>68.319999999999993</v>
      </c>
      <c r="I1120" s="11">
        <v>1191287</v>
      </c>
      <c r="J1120" s="10">
        <v>15030400000</v>
      </c>
      <c r="K1120" s="30">
        <f t="shared" si="102"/>
        <v>-0.48069919883468681</v>
      </c>
      <c r="L1120" s="31">
        <f t="shared" si="103"/>
        <v>1.1600000000000108</v>
      </c>
      <c r="M1120" s="30">
        <f t="shared" si="104"/>
        <v>1.6897305171158204E-2</v>
      </c>
      <c r="N1120" s="20" t="str">
        <f t="shared" si="107"/>
        <v>Normal</v>
      </c>
      <c r="O1120" s="32">
        <f t="shared" si="105"/>
        <v>15.0304</v>
      </c>
      <c r="P1120" s="20">
        <f t="shared" si="106"/>
        <v>11</v>
      </c>
      <c r="Q1120" s="20" t="str" cm="1">
        <f t="array" ref="Q1120">_xlfn.IFS(P1120&lt;=3,"Q1",P1120&lt;=6,"Q2",P1120&lt;=9,"Q3",P1120&lt;=12,"Q4")</f>
        <v>Q4</v>
      </c>
    </row>
    <row r="1121" spans="1:17" x14ac:dyDescent="0.25">
      <c r="A1121" s="14">
        <v>45972</v>
      </c>
      <c r="B1121" s="15" t="s">
        <v>76</v>
      </c>
      <c r="C1121" s="15" t="s">
        <v>77</v>
      </c>
      <c r="D1121" s="15" t="s">
        <v>75</v>
      </c>
      <c r="E1121" s="16">
        <v>153.85</v>
      </c>
      <c r="F1121" s="16">
        <v>155.51</v>
      </c>
      <c r="G1121" s="16">
        <v>152.83000000000001</v>
      </c>
      <c r="H1121" s="16">
        <v>153.11000000000001</v>
      </c>
      <c r="I1121" s="17">
        <v>911693</v>
      </c>
      <c r="J1121" s="16">
        <v>30622000000</v>
      </c>
      <c r="K1121" s="30">
        <f t="shared" si="102"/>
        <v>-0.48098797530060494</v>
      </c>
      <c r="L1121" s="31">
        <f t="shared" si="103"/>
        <v>2.6799999999999784</v>
      </c>
      <c r="M1121" s="30">
        <f t="shared" si="104"/>
        <v>1.7419564510887088E-2</v>
      </c>
      <c r="N1121" s="20" t="str">
        <f t="shared" si="107"/>
        <v>Normal</v>
      </c>
      <c r="O1121" s="32">
        <f t="shared" si="105"/>
        <v>30.622</v>
      </c>
      <c r="P1121" s="20">
        <f t="shared" si="106"/>
        <v>11</v>
      </c>
      <c r="Q1121" s="20" t="str" cm="1">
        <f t="array" ref="Q1121">_xlfn.IFS(P1121&lt;=3,"Q1",P1121&lt;=6,"Q2",P1121&lt;=9,"Q3",P1121&lt;=12,"Q4")</f>
        <v>Q4</v>
      </c>
    </row>
    <row r="1122" spans="1:17" x14ac:dyDescent="0.25">
      <c r="A1122" s="8">
        <v>45973</v>
      </c>
      <c r="B1122" s="9" t="s">
        <v>60</v>
      </c>
      <c r="C1122" s="9" t="s">
        <v>61</v>
      </c>
      <c r="D1122" s="9" t="s">
        <v>62</v>
      </c>
      <c r="E1122" s="10">
        <v>2101.08</v>
      </c>
      <c r="F1122" s="10">
        <v>2112.6799999999998</v>
      </c>
      <c r="G1122" s="10">
        <v>2100.52</v>
      </c>
      <c r="H1122" s="10">
        <v>2106.5700000000002</v>
      </c>
      <c r="I1122" s="11">
        <v>307278</v>
      </c>
      <c r="J1122" s="10">
        <v>2949198000000</v>
      </c>
      <c r="K1122" s="30">
        <f t="shared" si="102"/>
        <v>0.26129419155863826</v>
      </c>
      <c r="L1122" s="31">
        <f t="shared" si="103"/>
        <v>12.159999999999854</v>
      </c>
      <c r="M1122" s="30">
        <f t="shared" si="104"/>
        <v>5.7874997620270792E-3</v>
      </c>
      <c r="N1122" s="20" t="str">
        <f t="shared" si="107"/>
        <v>Normal</v>
      </c>
      <c r="O1122" s="32">
        <f t="shared" si="105"/>
        <v>2949.1979999999999</v>
      </c>
      <c r="P1122" s="20">
        <f t="shared" si="106"/>
        <v>11</v>
      </c>
      <c r="Q1122" s="20" t="str" cm="1">
        <f t="array" ref="Q1122">_xlfn.IFS(P1122&lt;=3,"Q1",P1122&lt;=6,"Q2",P1122&lt;=9,"Q3",P1122&lt;=12,"Q4")</f>
        <v>Q4</v>
      </c>
    </row>
    <row r="1123" spans="1:17" x14ac:dyDescent="0.25">
      <c r="A1123" s="14">
        <v>45973</v>
      </c>
      <c r="B1123" s="15" t="s">
        <v>65</v>
      </c>
      <c r="C1123" s="15" t="s">
        <v>66</v>
      </c>
      <c r="D1123" s="15" t="s">
        <v>67</v>
      </c>
      <c r="E1123" s="16">
        <v>223.29</v>
      </c>
      <c r="F1123" s="16">
        <v>225.7</v>
      </c>
      <c r="G1123" s="16">
        <v>222.21</v>
      </c>
      <c r="H1123" s="16">
        <v>223.14</v>
      </c>
      <c r="I1123" s="17">
        <v>3066821</v>
      </c>
      <c r="J1123" s="16">
        <v>55785000000</v>
      </c>
      <c r="K1123" s="30">
        <f t="shared" si="102"/>
        <v>-6.7177213489187024E-2</v>
      </c>
      <c r="L1123" s="31">
        <f t="shared" si="103"/>
        <v>3.4899999999999807</v>
      </c>
      <c r="M1123" s="30">
        <f t="shared" si="104"/>
        <v>1.5629898338483501E-2</v>
      </c>
      <c r="N1123" s="20" t="str">
        <f t="shared" si="107"/>
        <v>High volume</v>
      </c>
      <c r="O1123" s="32">
        <f t="shared" si="105"/>
        <v>55.784999999999997</v>
      </c>
      <c r="P1123" s="20">
        <f t="shared" si="106"/>
        <v>11</v>
      </c>
      <c r="Q1123" s="20" t="str" cm="1">
        <f t="array" ref="Q1123">_xlfn.IFS(P1123&lt;=3,"Q1",P1123&lt;=6,"Q2",P1123&lt;=9,"Q3",P1123&lt;=12,"Q4")</f>
        <v>Q4</v>
      </c>
    </row>
    <row r="1124" spans="1:17" x14ac:dyDescent="0.25">
      <c r="A1124" s="8">
        <v>45973</v>
      </c>
      <c r="B1124" s="9" t="s">
        <v>69</v>
      </c>
      <c r="C1124" s="9" t="s">
        <v>70</v>
      </c>
      <c r="D1124" s="9" t="s">
        <v>71</v>
      </c>
      <c r="E1124" s="10">
        <v>618.53</v>
      </c>
      <c r="F1124" s="10">
        <v>622.17999999999995</v>
      </c>
      <c r="G1124" s="10">
        <v>606.85</v>
      </c>
      <c r="H1124" s="10">
        <v>614.37</v>
      </c>
      <c r="I1124" s="11">
        <v>3957916</v>
      </c>
      <c r="J1124" s="10">
        <v>491496000000</v>
      </c>
      <c r="K1124" s="30">
        <f t="shared" si="102"/>
        <v>-0.67256236560877702</v>
      </c>
      <c r="L1124" s="31">
        <f t="shared" si="103"/>
        <v>15.329999999999927</v>
      </c>
      <c r="M1124" s="30">
        <f t="shared" si="104"/>
        <v>2.4784569867265821E-2</v>
      </c>
      <c r="N1124" s="20" t="str">
        <f t="shared" si="107"/>
        <v>High volume</v>
      </c>
      <c r="O1124" s="32">
        <f t="shared" si="105"/>
        <v>491.49599999999998</v>
      </c>
      <c r="P1124" s="20">
        <f t="shared" si="106"/>
        <v>11</v>
      </c>
      <c r="Q1124" s="20" t="str" cm="1">
        <f t="array" ref="Q1124">_xlfn.IFS(P1124&lt;=3,"Q1",P1124&lt;=6,"Q2",P1124&lt;=9,"Q3",P1124&lt;=12,"Q4")</f>
        <v>Q4</v>
      </c>
    </row>
    <row r="1125" spans="1:17" x14ac:dyDescent="0.25">
      <c r="A1125" s="14">
        <v>45973</v>
      </c>
      <c r="B1125" s="15" t="s">
        <v>73</v>
      </c>
      <c r="C1125" s="15" t="s">
        <v>74</v>
      </c>
      <c r="D1125" s="15" t="s">
        <v>75</v>
      </c>
      <c r="E1125" s="16">
        <v>68.099999999999994</v>
      </c>
      <c r="F1125" s="16">
        <v>68.819999999999993</v>
      </c>
      <c r="G1125" s="16">
        <v>67.599999999999994</v>
      </c>
      <c r="H1125" s="16">
        <v>68.59</v>
      </c>
      <c r="I1125" s="17">
        <v>888038</v>
      </c>
      <c r="J1125" s="16">
        <v>15089800000</v>
      </c>
      <c r="K1125" s="30">
        <f t="shared" si="102"/>
        <v>0.71953010279002816</v>
      </c>
      <c r="L1125" s="31">
        <f t="shared" si="103"/>
        <v>1.2199999999999989</v>
      </c>
      <c r="M1125" s="30">
        <f t="shared" si="104"/>
        <v>1.7914831130690145E-2</v>
      </c>
      <c r="N1125" s="20" t="str">
        <f t="shared" si="107"/>
        <v>Normal</v>
      </c>
      <c r="O1125" s="32">
        <f t="shared" si="105"/>
        <v>15.0898</v>
      </c>
      <c r="P1125" s="20">
        <f t="shared" si="106"/>
        <v>11</v>
      </c>
      <c r="Q1125" s="20" t="str" cm="1">
        <f t="array" ref="Q1125">_xlfn.IFS(P1125&lt;=3,"Q1",P1125&lt;=6,"Q2",P1125&lt;=9,"Q3",P1125&lt;=12,"Q4")</f>
        <v>Q4</v>
      </c>
    </row>
    <row r="1126" spans="1:17" x14ac:dyDescent="0.25">
      <c r="A1126" s="8">
        <v>45973</v>
      </c>
      <c r="B1126" s="9" t="s">
        <v>76</v>
      </c>
      <c r="C1126" s="9" t="s">
        <v>77</v>
      </c>
      <c r="D1126" s="9" t="s">
        <v>75</v>
      </c>
      <c r="E1126" s="10">
        <v>152.96</v>
      </c>
      <c r="F1126" s="10">
        <v>152.97999999999999</v>
      </c>
      <c r="G1126" s="10">
        <v>150.79</v>
      </c>
      <c r="H1126" s="10">
        <v>151.85</v>
      </c>
      <c r="I1126" s="11">
        <v>4790456</v>
      </c>
      <c r="J1126" s="10">
        <v>30370000000</v>
      </c>
      <c r="K1126" s="30">
        <f t="shared" si="102"/>
        <v>-0.72567991631800055</v>
      </c>
      <c r="L1126" s="31">
        <f t="shared" si="103"/>
        <v>2.1899999999999977</v>
      </c>
      <c r="M1126" s="30">
        <f t="shared" si="104"/>
        <v>1.4317468619246846E-2</v>
      </c>
      <c r="N1126" s="20" t="str">
        <f t="shared" si="107"/>
        <v>High volume</v>
      </c>
      <c r="O1126" s="32">
        <f t="shared" si="105"/>
        <v>30.37</v>
      </c>
      <c r="P1126" s="20">
        <f t="shared" si="106"/>
        <v>11</v>
      </c>
      <c r="Q1126" s="20" t="str" cm="1">
        <f t="array" ref="Q1126">_xlfn.IFS(P1126&lt;=3,"Q1",P1126&lt;=6,"Q2",P1126&lt;=9,"Q3",P1126&lt;=12,"Q4")</f>
        <v>Q4</v>
      </c>
    </row>
    <row r="1127" spans="1:17" x14ac:dyDescent="0.25">
      <c r="A1127" s="14">
        <v>45974</v>
      </c>
      <c r="B1127" s="15" t="s">
        <v>60</v>
      </c>
      <c r="C1127" s="15" t="s">
        <v>61</v>
      </c>
      <c r="D1127" s="15" t="s">
        <v>62</v>
      </c>
      <c r="E1127" s="16">
        <v>2090.42</v>
      </c>
      <c r="F1127" s="16">
        <v>2104.89</v>
      </c>
      <c r="G1127" s="16">
        <v>2084.16</v>
      </c>
      <c r="H1127" s="16">
        <v>2098.29</v>
      </c>
      <c r="I1127" s="17">
        <v>3660600</v>
      </c>
      <c r="J1127" s="16">
        <v>2937606000000</v>
      </c>
      <c r="K1127" s="30">
        <f t="shared" si="102"/>
        <v>0.37647936778254565</v>
      </c>
      <c r="L1127" s="31">
        <f t="shared" si="103"/>
        <v>20.730000000000018</v>
      </c>
      <c r="M1127" s="30">
        <f t="shared" si="104"/>
        <v>9.9166674639546201E-3</v>
      </c>
      <c r="N1127" s="20" t="str">
        <f t="shared" si="107"/>
        <v>High volume</v>
      </c>
      <c r="O1127" s="32">
        <f t="shared" si="105"/>
        <v>2937.6060000000002</v>
      </c>
      <c r="P1127" s="20">
        <f t="shared" si="106"/>
        <v>11</v>
      </c>
      <c r="Q1127" s="20" t="str" cm="1">
        <f t="array" ref="Q1127">_xlfn.IFS(P1127&lt;=3,"Q1",P1127&lt;=6,"Q2",P1127&lt;=9,"Q3",P1127&lt;=12,"Q4")</f>
        <v>Q4</v>
      </c>
    </row>
    <row r="1128" spans="1:17" x14ac:dyDescent="0.25">
      <c r="A1128" s="8">
        <v>45974</v>
      </c>
      <c r="B1128" s="9" t="s">
        <v>65</v>
      </c>
      <c r="C1128" s="9" t="s">
        <v>66</v>
      </c>
      <c r="D1128" s="9" t="s">
        <v>67</v>
      </c>
      <c r="E1128" s="10">
        <v>233.92</v>
      </c>
      <c r="F1128" s="10">
        <v>236.09</v>
      </c>
      <c r="G1128" s="10">
        <v>232.84</v>
      </c>
      <c r="H1128" s="10">
        <v>235.61</v>
      </c>
      <c r="I1128" s="11">
        <v>3152653</v>
      </c>
      <c r="J1128" s="10">
        <v>58902500000</v>
      </c>
      <c r="K1128" s="30">
        <f t="shared" si="102"/>
        <v>0.72246922024624927</v>
      </c>
      <c r="L1128" s="31">
        <f t="shared" si="103"/>
        <v>3.25</v>
      </c>
      <c r="M1128" s="30">
        <f t="shared" si="104"/>
        <v>1.3893638850889194E-2</v>
      </c>
      <c r="N1128" s="20" t="str">
        <f t="shared" si="107"/>
        <v>High volume</v>
      </c>
      <c r="O1128" s="32">
        <f t="shared" si="105"/>
        <v>58.902500000000003</v>
      </c>
      <c r="P1128" s="20">
        <f t="shared" si="106"/>
        <v>11</v>
      </c>
      <c r="Q1128" s="20" t="str" cm="1">
        <f t="array" ref="Q1128">_xlfn.IFS(P1128&lt;=3,"Q1",P1128&lt;=6,"Q2",P1128&lt;=9,"Q3",P1128&lt;=12,"Q4")</f>
        <v>Q4</v>
      </c>
    </row>
    <row r="1129" spans="1:17" x14ac:dyDescent="0.25">
      <c r="A1129" s="14">
        <v>45974</v>
      </c>
      <c r="B1129" s="15" t="s">
        <v>69</v>
      </c>
      <c r="C1129" s="15" t="s">
        <v>70</v>
      </c>
      <c r="D1129" s="15" t="s">
        <v>71</v>
      </c>
      <c r="E1129" s="16">
        <v>607.48</v>
      </c>
      <c r="F1129" s="16">
        <v>612.20000000000005</v>
      </c>
      <c r="G1129" s="16">
        <v>604.87</v>
      </c>
      <c r="H1129" s="16">
        <v>610.49</v>
      </c>
      <c r="I1129" s="17">
        <v>2003898</v>
      </c>
      <c r="J1129" s="16">
        <v>488392000000</v>
      </c>
      <c r="K1129" s="30">
        <f t="shared" si="102"/>
        <v>0.49548956344241635</v>
      </c>
      <c r="L1129" s="31">
        <f t="shared" si="103"/>
        <v>7.3300000000000409</v>
      </c>
      <c r="M1129" s="30">
        <f t="shared" si="104"/>
        <v>1.2066240863896821E-2</v>
      </c>
      <c r="N1129" s="20" t="str">
        <f t="shared" si="107"/>
        <v>High volume</v>
      </c>
      <c r="O1129" s="32">
        <f t="shared" si="105"/>
        <v>488.392</v>
      </c>
      <c r="P1129" s="20">
        <f t="shared" si="106"/>
        <v>11</v>
      </c>
      <c r="Q1129" s="20" t="str" cm="1">
        <f t="array" ref="Q1129">_xlfn.IFS(P1129&lt;=3,"Q1",P1129&lt;=6,"Q2",P1129&lt;=9,"Q3",P1129&lt;=12,"Q4")</f>
        <v>Q4</v>
      </c>
    </row>
    <row r="1130" spans="1:17" x14ac:dyDescent="0.25">
      <c r="A1130" s="8">
        <v>45974</v>
      </c>
      <c r="B1130" s="9" t="s">
        <v>73</v>
      </c>
      <c r="C1130" s="9" t="s">
        <v>74</v>
      </c>
      <c r="D1130" s="9" t="s">
        <v>75</v>
      </c>
      <c r="E1130" s="10">
        <v>68.73</v>
      </c>
      <c r="F1130" s="10">
        <v>68.87</v>
      </c>
      <c r="G1130" s="10">
        <v>68.459999999999994</v>
      </c>
      <c r="H1130" s="10">
        <v>68.75</v>
      </c>
      <c r="I1130" s="11">
        <v>1195635</v>
      </c>
      <c r="J1130" s="10">
        <v>15125000000</v>
      </c>
      <c r="K1130" s="30">
        <f t="shared" si="102"/>
        <v>2.9099374363445396E-2</v>
      </c>
      <c r="L1130" s="31">
        <f t="shared" si="103"/>
        <v>0.4100000000000108</v>
      </c>
      <c r="M1130" s="30">
        <f t="shared" si="104"/>
        <v>5.9653717445076497E-3</v>
      </c>
      <c r="N1130" s="20" t="str">
        <f t="shared" si="107"/>
        <v>Normal</v>
      </c>
      <c r="O1130" s="32">
        <f t="shared" si="105"/>
        <v>15.125</v>
      </c>
      <c r="P1130" s="20">
        <f t="shared" si="106"/>
        <v>11</v>
      </c>
      <c r="Q1130" s="20" t="str" cm="1">
        <f t="array" ref="Q1130">_xlfn.IFS(P1130&lt;=3,"Q1",P1130&lt;=6,"Q2",P1130&lt;=9,"Q3",P1130&lt;=12,"Q4")</f>
        <v>Q4</v>
      </c>
    </row>
    <row r="1131" spans="1:17" x14ac:dyDescent="0.25">
      <c r="A1131" s="14">
        <v>45974</v>
      </c>
      <c r="B1131" s="15" t="s">
        <v>76</v>
      </c>
      <c r="C1131" s="15" t="s">
        <v>77</v>
      </c>
      <c r="D1131" s="15" t="s">
        <v>75</v>
      </c>
      <c r="E1131" s="16">
        <v>152.87</v>
      </c>
      <c r="F1131" s="16">
        <v>153.66</v>
      </c>
      <c r="G1131" s="16">
        <v>152.03</v>
      </c>
      <c r="H1131" s="16">
        <v>152.16999999999999</v>
      </c>
      <c r="I1131" s="17">
        <v>3974073</v>
      </c>
      <c r="J1131" s="16">
        <v>30434000000</v>
      </c>
      <c r="K1131" s="30">
        <f t="shared" si="102"/>
        <v>-0.45790540982535294</v>
      </c>
      <c r="L1131" s="31">
        <f t="shared" si="103"/>
        <v>1.6299999999999955</v>
      </c>
      <c r="M1131" s="30">
        <f t="shared" si="104"/>
        <v>1.0662654543075786E-2</v>
      </c>
      <c r="N1131" s="20" t="str">
        <f t="shared" si="107"/>
        <v>High volume</v>
      </c>
      <c r="O1131" s="32">
        <f t="shared" si="105"/>
        <v>30.434000000000001</v>
      </c>
      <c r="P1131" s="20">
        <f t="shared" si="106"/>
        <v>11</v>
      </c>
      <c r="Q1131" s="20" t="str" cm="1">
        <f t="array" ref="Q1131">_xlfn.IFS(P1131&lt;=3,"Q1",P1131&lt;=6,"Q2",P1131&lt;=9,"Q3",P1131&lt;=12,"Q4")</f>
        <v>Q4</v>
      </c>
    </row>
    <row r="1132" spans="1:17" x14ac:dyDescent="0.25">
      <c r="A1132" s="8">
        <v>45975</v>
      </c>
      <c r="B1132" s="9" t="s">
        <v>60</v>
      </c>
      <c r="C1132" s="9" t="s">
        <v>61</v>
      </c>
      <c r="D1132" s="9" t="s">
        <v>62</v>
      </c>
      <c r="E1132" s="10">
        <v>2097.12</v>
      </c>
      <c r="F1132" s="10">
        <v>2106.29</v>
      </c>
      <c r="G1132" s="10">
        <v>2087.75</v>
      </c>
      <c r="H1132" s="10">
        <v>2098.7399999999998</v>
      </c>
      <c r="I1132" s="11">
        <v>4403980</v>
      </c>
      <c r="J1132" s="10">
        <v>2938236000000</v>
      </c>
      <c r="K1132" s="30">
        <f t="shared" si="102"/>
        <v>7.7248798352020434E-2</v>
      </c>
      <c r="L1132" s="31">
        <f t="shared" si="103"/>
        <v>18.539999999999964</v>
      </c>
      <c r="M1132" s="30">
        <f t="shared" si="104"/>
        <v>8.8406958113984718E-3</v>
      </c>
      <c r="N1132" s="20" t="str">
        <f t="shared" si="107"/>
        <v>High volume</v>
      </c>
      <c r="O1132" s="32">
        <f t="shared" si="105"/>
        <v>2938.2359999999999</v>
      </c>
      <c r="P1132" s="20">
        <f t="shared" si="106"/>
        <v>11</v>
      </c>
      <c r="Q1132" s="20" t="str" cm="1">
        <f t="array" ref="Q1132">_xlfn.IFS(P1132&lt;=3,"Q1",P1132&lt;=6,"Q2",P1132&lt;=9,"Q3",P1132&lt;=12,"Q4")</f>
        <v>Q4</v>
      </c>
    </row>
    <row r="1133" spans="1:17" x14ac:dyDescent="0.25">
      <c r="A1133" s="14">
        <v>45975</v>
      </c>
      <c r="B1133" s="15" t="s">
        <v>65</v>
      </c>
      <c r="C1133" s="15" t="s">
        <v>66</v>
      </c>
      <c r="D1133" s="15" t="s">
        <v>67</v>
      </c>
      <c r="E1133" s="16">
        <v>240.94</v>
      </c>
      <c r="F1133" s="16">
        <v>243.56</v>
      </c>
      <c r="G1133" s="16">
        <v>238.74</v>
      </c>
      <c r="H1133" s="16">
        <v>241.84</v>
      </c>
      <c r="I1133" s="17">
        <v>4491654</v>
      </c>
      <c r="J1133" s="16">
        <v>60460000000</v>
      </c>
      <c r="K1133" s="30">
        <f t="shared" si="102"/>
        <v>0.37353698016103831</v>
      </c>
      <c r="L1133" s="31">
        <f t="shared" si="103"/>
        <v>4.8199999999999932</v>
      </c>
      <c r="M1133" s="30">
        <f t="shared" si="104"/>
        <v>2.0004980493068786E-2</v>
      </c>
      <c r="N1133" s="20" t="str">
        <f t="shared" si="107"/>
        <v>High volume</v>
      </c>
      <c r="O1133" s="32">
        <f t="shared" si="105"/>
        <v>60.46</v>
      </c>
      <c r="P1133" s="20">
        <f t="shared" si="106"/>
        <v>11</v>
      </c>
      <c r="Q1133" s="20" t="str" cm="1">
        <f t="array" ref="Q1133">_xlfn.IFS(P1133&lt;=3,"Q1",P1133&lt;=6,"Q2",P1133&lt;=9,"Q3",P1133&lt;=12,"Q4")</f>
        <v>Q4</v>
      </c>
    </row>
    <row r="1134" spans="1:17" x14ac:dyDescent="0.25">
      <c r="A1134" s="8">
        <v>45975</v>
      </c>
      <c r="B1134" s="9" t="s">
        <v>69</v>
      </c>
      <c r="C1134" s="9" t="s">
        <v>70</v>
      </c>
      <c r="D1134" s="9" t="s">
        <v>71</v>
      </c>
      <c r="E1134" s="10">
        <v>593.64</v>
      </c>
      <c r="F1134" s="10">
        <v>595.54999999999995</v>
      </c>
      <c r="G1134" s="10">
        <v>578.71</v>
      </c>
      <c r="H1134" s="10">
        <v>579.33000000000004</v>
      </c>
      <c r="I1134" s="11">
        <v>770218</v>
      </c>
      <c r="J1134" s="10">
        <v>463464000000</v>
      </c>
      <c r="K1134" s="30">
        <f t="shared" si="102"/>
        <v>-2.4105518496058123</v>
      </c>
      <c r="L1134" s="31">
        <f t="shared" si="103"/>
        <v>16.839999999999918</v>
      </c>
      <c r="M1134" s="30">
        <f t="shared" si="104"/>
        <v>2.8367360689980321E-2</v>
      </c>
      <c r="N1134" s="20" t="str">
        <f t="shared" si="107"/>
        <v>Normal</v>
      </c>
      <c r="O1134" s="32">
        <f t="shared" si="105"/>
        <v>463.464</v>
      </c>
      <c r="P1134" s="20">
        <f t="shared" si="106"/>
        <v>11</v>
      </c>
      <c r="Q1134" s="20" t="str" cm="1">
        <f t="array" ref="Q1134">_xlfn.IFS(P1134&lt;=3,"Q1",P1134&lt;=6,"Q2",P1134&lt;=9,"Q3",P1134&lt;=12,"Q4")</f>
        <v>Q4</v>
      </c>
    </row>
    <row r="1135" spans="1:17" x14ac:dyDescent="0.25">
      <c r="A1135" s="14">
        <v>45975</v>
      </c>
      <c r="B1135" s="15" t="s">
        <v>73</v>
      </c>
      <c r="C1135" s="15" t="s">
        <v>74</v>
      </c>
      <c r="D1135" s="15" t="s">
        <v>75</v>
      </c>
      <c r="E1135" s="16">
        <v>69.83</v>
      </c>
      <c r="F1135" s="16">
        <v>70.3</v>
      </c>
      <c r="G1135" s="16">
        <v>69.069999999999993</v>
      </c>
      <c r="H1135" s="16">
        <v>69.569999999999993</v>
      </c>
      <c r="I1135" s="17">
        <v>2075685</v>
      </c>
      <c r="J1135" s="16">
        <v>15305400000</v>
      </c>
      <c r="K1135" s="30">
        <f t="shared" si="102"/>
        <v>-0.37233280824861109</v>
      </c>
      <c r="L1135" s="31">
        <f t="shared" si="103"/>
        <v>1.230000000000004</v>
      </c>
      <c r="M1135" s="30">
        <f t="shared" si="104"/>
        <v>1.7614205928684006E-2</v>
      </c>
      <c r="N1135" s="20" t="str">
        <f t="shared" si="107"/>
        <v>High volume</v>
      </c>
      <c r="O1135" s="32">
        <f t="shared" si="105"/>
        <v>15.305400000000001</v>
      </c>
      <c r="P1135" s="20">
        <f t="shared" si="106"/>
        <v>11</v>
      </c>
      <c r="Q1135" s="20" t="str" cm="1">
        <f t="array" ref="Q1135">_xlfn.IFS(P1135&lt;=3,"Q1",P1135&lt;=6,"Q2",P1135&lt;=9,"Q3",P1135&lt;=12,"Q4")</f>
        <v>Q4</v>
      </c>
    </row>
    <row r="1136" spans="1:17" x14ac:dyDescent="0.25">
      <c r="A1136" s="8">
        <v>45975</v>
      </c>
      <c r="B1136" s="9" t="s">
        <v>76</v>
      </c>
      <c r="C1136" s="9" t="s">
        <v>77</v>
      </c>
      <c r="D1136" s="9" t="s">
        <v>75</v>
      </c>
      <c r="E1136" s="10">
        <v>153.38999999999999</v>
      </c>
      <c r="F1136" s="10">
        <v>155.09</v>
      </c>
      <c r="G1136" s="10">
        <v>151.61000000000001</v>
      </c>
      <c r="H1136" s="10">
        <v>154.65</v>
      </c>
      <c r="I1136" s="11">
        <v>1549513</v>
      </c>
      <c r="J1136" s="10">
        <v>30930000000</v>
      </c>
      <c r="K1136" s="30">
        <f t="shared" si="102"/>
        <v>0.82143555642481214</v>
      </c>
      <c r="L1136" s="31">
        <f t="shared" si="103"/>
        <v>3.4799999999999898</v>
      </c>
      <c r="M1136" s="30">
        <f t="shared" si="104"/>
        <v>2.2687267748875351E-2</v>
      </c>
      <c r="N1136" s="20" t="str">
        <f t="shared" si="107"/>
        <v>Normal</v>
      </c>
      <c r="O1136" s="32">
        <f t="shared" si="105"/>
        <v>30.93</v>
      </c>
      <c r="P1136" s="20">
        <f t="shared" si="106"/>
        <v>11</v>
      </c>
      <c r="Q1136" s="20" t="str" cm="1">
        <f t="array" ref="Q1136">_xlfn.IFS(P1136&lt;=3,"Q1",P1136&lt;=6,"Q2",P1136&lt;=9,"Q3",P1136&lt;=12,"Q4")</f>
        <v>Q4</v>
      </c>
    </row>
    <row r="1137" spans="1:17" x14ac:dyDescent="0.25">
      <c r="A1137" s="14">
        <v>45978</v>
      </c>
      <c r="B1137" s="15" t="s">
        <v>60</v>
      </c>
      <c r="C1137" s="15" t="s">
        <v>61</v>
      </c>
      <c r="D1137" s="15" t="s">
        <v>62</v>
      </c>
      <c r="E1137" s="16">
        <v>2111.42</v>
      </c>
      <c r="F1137" s="16">
        <v>2112.11</v>
      </c>
      <c r="G1137" s="16">
        <v>2099.14</v>
      </c>
      <c r="H1137" s="16">
        <v>2100.0700000000002</v>
      </c>
      <c r="I1137" s="17">
        <v>1487746</v>
      </c>
      <c r="J1137" s="16">
        <v>2940098000000</v>
      </c>
      <c r="K1137" s="30">
        <f t="shared" si="102"/>
        <v>-0.53755292646654429</v>
      </c>
      <c r="L1137" s="31">
        <f t="shared" si="103"/>
        <v>12.970000000000255</v>
      </c>
      <c r="M1137" s="30">
        <f t="shared" si="104"/>
        <v>6.1427854240275522E-3</v>
      </c>
      <c r="N1137" s="20" t="str">
        <f t="shared" si="107"/>
        <v>Normal</v>
      </c>
      <c r="O1137" s="32">
        <f t="shared" si="105"/>
        <v>2940.098</v>
      </c>
      <c r="P1137" s="20">
        <f t="shared" si="106"/>
        <v>11</v>
      </c>
      <c r="Q1137" s="20" t="str" cm="1">
        <f t="array" ref="Q1137">_xlfn.IFS(P1137&lt;=3,"Q1",P1137&lt;=6,"Q2",P1137&lt;=9,"Q3",P1137&lt;=12,"Q4")</f>
        <v>Q4</v>
      </c>
    </row>
    <row r="1138" spans="1:17" x14ac:dyDescent="0.25">
      <c r="A1138" s="8">
        <v>45978</v>
      </c>
      <c r="B1138" s="9" t="s">
        <v>65</v>
      </c>
      <c r="C1138" s="9" t="s">
        <v>66</v>
      </c>
      <c r="D1138" s="9" t="s">
        <v>67</v>
      </c>
      <c r="E1138" s="10">
        <v>241.18</v>
      </c>
      <c r="F1138" s="10">
        <v>241.21</v>
      </c>
      <c r="G1138" s="10">
        <v>238.94</v>
      </c>
      <c r="H1138" s="10">
        <v>239.49</v>
      </c>
      <c r="I1138" s="11">
        <v>1395029</v>
      </c>
      <c r="J1138" s="10">
        <v>59872500000</v>
      </c>
      <c r="K1138" s="30">
        <f t="shared" si="102"/>
        <v>-0.70072145285678655</v>
      </c>
      <c r="L1138" s="31">
        <f t="shared" si="103"/>
        <v>2.2700000000000102</v>
      </c>
      <c r="M1138" s="30">
        <f t="shared" si="104"/>
        <v>9.4120573845261225E-3</v>
      </c>
      <c r="N1138" s="20" t="str">
        <f t="shared" si="107"/>
        <v>Normal</v>
      </c>
      <c r="O1138" s="32">
        <f t="shared" si="105"/>
        <v>59.872500000000002</v>
      </c>
      <c r="P1138" s="20">
        <f t="shared" si="106"/>
        <v>11</v>
      </c>
      <c r="Q1138" s="20" t="str" cm="1">
        <f t="array" ref="Q1138">_xlfn.IFS(P1138&lt;=3,"Q1",P1138&lt;=6,"Q2",P1138&lt;=9,"Q3",P1138&lt;=12,"Q4")</f>
        <v>Q4</v>
      </c>
    </row>
    <row r="1139" spans="1:17" x14ac:dyDescent="0.25">
      <c r="A1139" s="14">
        <v>45978</v>
      </c>
      <c r="B1139" s="15" t="s">
        <v>69</v>
      </c>
      <c r="C1139" s="15" t="s">
        <v>70</v>
      </c>
      <c r="D1139" s="15" t="s">
        <v>71</v>
      </c>
      <c r="E1139" s="16">
        <v>572.79999999999995</v>
      </c>
      <c r="F1139" s="16">
        <v>579.26</v>
      </c>
      <c r="G1139" s="16">
        <v>572.22</v>
      </c>
      <c r="H1139" s="16">
        <v>578.59</v>
      </c>
      <c r="I1139" s="17">
        <v>1116146</v>
      </c>
      <c r="J1139" s="16">
        <v>462872000000</v>
      </c>
      <c r="K1139" s="30">
        <f t="shared" si="102"/>
        <v>1.0108240223463822</v>
      </c>
      <c r="L1139" s="31">
        <f t="shared" si="103"/>
        <v>7.0399999999999636</v>
      </c>
      <c r="M1139" s="30">
        <f t="shared" si="104"/>
        <v>1.2290502793296026E-2</v>
      </c>
      <c r="N1139" s="20" t="str">
        <f t="shared" si="107"/>
        <v>Normal</v>
      </c>
      <c r="O1139" s="32">
        <f t="shared" si="105"/>
        <v>462.87200000000001</v>
      </c>
      <c r="P1139" s="20">
        <f t="shared" si="106"/>
        <v>11</v>
      </c>
      <c r="Q1139" s="20" t="str" cm="1">
        <f t="array" ref="Q1139">_xlfn.IFS(P1139&lt;=3,"Q1",P1139&lt;=6,"Q2",P1139&lt;=9,"Q3",P1139&lt;=12,"Q4")</f>
        <v>Q4</v>
      </c>
    </row>
    <row r="1140" spans="1:17" x14ac:dyDescent="0.25">
      <c r="A1140" s="8">
        <v>45978</v>
      </c>
      <c r="B1140" s="9" t="s">
        <v>73</v>
      </c>
      <c r="C1140" s="9" t="s">
        <v>74</v>
      </c>
      <c r="D1140" s="9" t="s">
        <v>75</v>
      </c>
      <c r="E1140" s="10">
        <v>68.97</v>
      </c>
      <c r="F1140" s="10">
        <v>69.06</v>
      </c>
      <c r="G1140" s="10">
        <v>68.11</v>
      </c>
      <c r="H1140" s="10">
        <v>68.209999999999994</v>
      </c>
      <c r="I1140" s="11">
        <v>4470341</v>
      </c>
      <c r="J1140" s="10">
        <v>15006200000</v>
      </c>
      <c r="K1140" s="30">
        <f t="shared" si="102"/>
        <v>-1.101928374655655</v>
      </c>
      <c r="L1140" s="31">
        <f t="shared" si="103"/>
        <v>0.95000000000000284</v>
      </c>
      <c r="M1140" s="30">
        <f t="shared" si="104"/>
        <v>1.3774104683195634E-2</v>
      </c>
      <c r="N1140" s="20" t="str">
        <f t="shared" si="107"/>
        <v>High volume</v>
      </c>
      <c r="O1140" s="32">
        <f t="shared" si="105"/>
        <v>15.0062</v>
      </c>
      <c r="P1140" s="20">
        <f t="shared" si="106"/>
        <v>11</v>
      </c>
      <c r="Q1140" s="20" t="str" cm="1">
        <f t="array" ref="Q1140">_xlfn.IFS(P1140&lt;=3,"Q1",P1140&lt;=6,"Q2",P1140&lt;=9,"Q3",P1140&lt;=12,"Q4")</f>
        <v>Q4</v>
      </c>
    </row>
    <row r="1141" spans="1:17" x14ac:dyDescent="0.25">
      <c r="A1141" s="14">
        <v>45978</v>
      </c>
      <c r="B1141" s="15" t="s">
        <v>76</v>
      </c>
      <c r="C1141" s="15" t="s">
        <v>77</v>
      </c>
      <c r="D1141" s="15" t="s">
        <v>75</v>
      </c>
      <c r="E1141" s="16">
        <v>152.36000000000001</v>
      </c>
      <c r="F1141" s="16">
        <v>153.75</v>
      </c>
      <c r="G1141" s="16">
        <v>151.41</v>
      </c>
      <c r="H1141" s="16">
        <v>151.56</v>
      </c>
      <c r="I1141" s="17">
        <v>1999877</v>
      </c>
      <c r="J1141" s="16">
        <v>30312000000</v>
      </c>
      <c r="K1141" s="30">
        <f t="shared" si="102"/>
        <v>-0.52507219742715361</v>
      </c>
      <c r="L1141" s="31">
        <f t="shared" si="103"/>
        <v>2.3400000000000034</v>
      </c>
      <c r="M1141" s="30">
        <f t="shared" si="104"/>
        <v>1.5358361774744048E-2</v>
      </c>
      <c r="N1141" s="20" t="str">
        <f t="shared" si="107"/>
        <v>Normal</v>
      </c>
      <c r="O1141" s="32">
        <f t="shared" si="105"/>
        <v>30.312000000000001</v>
      </c>
      <c r="P1141" s="20">
        <f t="shared" si="106"/>
        <v>11</v>
      </c>
      <c r="Q1141" s="20" t="str" cm="1">
        <f t="array" ref="Q1141">_xlfn.IFS(P1141&lt;=3,"Q1",P1141&lt;=6,"Q2",P1141&lt;=9,"Q3",P1141&lt;=12,"Q4")</f>
        <v>Q4</v>
      </c>
    </row>
    <row r="1142" spans="1:17" x14ac:dyDescent="0.25">
      <c r="A1142" s="8">
        <v>45979</v>
      </c>
      <c r="B1142" s="9" t="s">
        <v>60</v>
      </c>
      <c r="C1142" s="9" t="s">
        <v>61</v>
      </c>
      <c r="D1142" s="9" t="s">
        <v>62</v>
      </c>
      <c r="E1142" s="10">
        <v>2049.02</v>
      </c>
      <c r="F1142" s="10">
        <v>2062.41</v>
      </c>
      <c r="G1142" s="10">
        <v>2024.48</v>
      </c>
      <c r="H1142" s="10">
        <v>2036.78</v>
      </c>
      <c r="I1142" s="11">
        <v>4879213</v>
      </c>
      <c r="J1142" s="10">
        <v>2851492000000</v>
      </c>
      <c r="K1142" s="30">
        <f t="shared" si="102"/>
        <v>-0.59735873734761047</v>
      </c>
      <c r="L1142" s="31">
        <f t="shared" si="103"/>
        <v>37.929999999999836</v>
      </c>
      <c r="M1142" s="30">
        <f t="shared" si="104"/>
        <v>1.8511288323198326E-2</v>
      </c>
      <c r="N1142" s="20" t="str">
        <f t="shared" si="107"/>
        <v>High volume</v>
      </c>
      <c r="O1142" s="32">
        <f t="shared" si="105"/>
        <v>2851.4920000000002</v>
      </c>
      <c r="P1142" s="20">
        <f t="shared" si="106"/>
        <v>11</v>
      </c>
      <c r="Q1142" s="20" t="str" cm="1">
        <f t="array" ref="Q1142">_xlfn.IFS(P1142&lt;=3,"Q1",P1142&lt;=6,"Q2",P1142&lt;=9,"Q3",P1142&lt;=12,"Q4")</f>
        <v>Q4</v>
      </c>
    </row>
    <row r="1143" spans="1:17" x14ac:dyDescent="0.25">
      <c r="A1143" s="14">
        <v>45979</v>
      </c>
      <c r="B1143" s="15" t="s">
        <v>65</v>
      </c>
      <c r="C1143" s="15" t="s">
        <v>66</v>
      </c>
      <c r="D1143" s="15" t="s">
        <v>67</v>
      </c>
      <c r="E1143" s="16">
        <v>238.93</v>
      </c>
      <c r="F1143" s="16">
        <v>241.3</v>
      </c>
      <c r="G1143" s="16">
        <v>236.17</v>
      </c>
      <c r="H1143" s="16">
        <v>240.24</v>
      </c>
      <c r="I1143" s="17">
        <v>682407</v>
      </c>
      <c r="J1143" s="16">
        <v>60060000000</v>
      </c>
      <c r="K1143" s="30">
        <f t="shared" si="102"/>
        <v>0.5482777382496975</v>
      </c>
      <c r="L1143" s="31">
        <f t="shared" si="103"/>
        <v>5.1300000000000239</v>
      </c>
      <c r="M1143" s="30">
        <f t="shared" si="104"/>
        <v>2.1470723642908064E-2</v>
      </c>
      <c r="N1143" s="20" t="str">
        <f t="shared" si="107"/>
        <v>Normal</v>
      </c>
      <c r="O1143" s="32">
        <f t="shared" si="105"/>
        <v>60.06</v>
      </c>
      <c r="P1143" s="20">
        <f t="shared" si="106"/>
        <v>11</v>
      </c>
      <c r="Q1143" s="20" t="str" cm="1">
        <f t="array" ref="Q1143">_xlfn.IFS(P1143&lt;=3,"Q1",P1143&lt;=6,"Q2",P1143&lt;=9,"Q3",P1143&lt;=12,"Q4")</f>
        <v>Q4</v>
      </c>
    </row>
    <row r="1144" spans="1:17" x14ac:dyDescent="0.25">
      <c r="A1144" s="8">
        <v>45979</v>
      </c>
      <c r="B1144" s="9" t="s">
        <v>69</v>
      </c>
      <c r="C1144" s="9" t="s">
        <v>70</v>
      </c>
      <c r="D1144" s="9" t="s">
        <v>71</v>
      </c>
      <c r="E1144" s="10">
        <v>572.16</v>
      </c>
      <c r="F1144" s="10">
        <v>574.44000000000005</v>
      </c>
      <c r="G1144" s="10">
        <v>570.33000000000004</v>
      </c>
      <c r="H1144" s="10">
        <v>572.04</v>
      </c>
      <c r="I1144" s="11">
        <v>3403175</v>
      </c>
      <c r="J1144" s="10">
        <v>457632000000</v>
      </c>
      <c r="K1144" s="30">
        <f t="shared" si="102"/>
        <v>-2.0973154362416903E-2</v>
      </c>
      <c r="L1144" s="31">
        <f t="shared" si="103"/>
        <v>4.1100000000000136</v>
      </c>
      <c r="M1144" s="30">
        <f t="shared" si="104"/>
        <v>7.1833053691275411E-3</v>
      </c>
      <c r="N1144" s="20" t="str">
        <f t="shared" si="107"/>
        <v>High volume</v>
      </c>
      <c r="O1144" s="32">
        <f t="shared" si="105"/>
        <v>457.63200000000001</v>
      </c>
      <c r="P1144" s="20">
        <f t="shared" si="106"/>
        <v>11</v>
      </c>
      <c r="Q1144" s="20" t="str" cm="1">
        <f t="array" ref="Q1144">_xlfn.IFS(P1144&lt;=3,"Q1",P1144&lt;=6,"Q2",P1144&lt;=9,"Q3",P1144&lt;=12,"Q4")</f>
        <v>Q4</v>
      </c>
    </row>
    <row r="1145" spans="1:17" x14ac:dyDescent="0.25">
      <c r="A1145" s="14">
        <v>45979</v>
      </c>
      <c r="B1145" s="15" t="s">
        <v>73</v>
      </c>
      <c r="C1145" s="15" t="s">
        <v>74</v>
      </c>
      <c r="D1145" s="15" t="s">
        <v>75</v>
      </c>
      <c r="E1145" s="16">
        <v>68.61</v>
      </c>
      <c r="F1145" s="16">
        <v>69.17</v>
      </c>
      <c r="G1145" s="16">
        <v>68.42</v>
      </c>
      <c r="H1145" s="16">
        <v>69.11</v>
      </c>
      <c r="I1145" s="17">
        <v>641407</v>
      </c>
      <c r="J1145" s="16">
        <v>15204200000</v>
      </c>
      <c r="K1145" s="30">
        <f t="shared" si="102"/>
        <v>0.72875674099985432</v>
      </c>
      <c r="L1145" s="31">
        <f t="shared" si="103"/>
        <v>0.75</v>
      </c>
      <c r="M1145" s="30">
        <f t="shared" si="104"/>
        <v>1.0931351114997814E-2</v>
      </c>
      <c r="N1145" s="20" t="str">
        <f t="shared" si="107"/>
        <v>Normal</v>
      </c>
      <c r="O1145" s="32">
        <f t="shared" si="105"/>
        <v>15.2042</v>
      </c>
      <c r="P1145" s="20">
        <f t="shared" si="106"/>
        <v>11</v>
      </c>
      <c r="Q1145" s="20" t="str" cm="1">
        <f t="array" ref="Q1145">_xlfn.IFS(P1145&lt;=3,"Q1",P1145&lt;=6,"Q2",P1145&lt;=9,"Q3",P1145&lt;=12,"Q4")</f>
        <v>Q4</v>
      </c>
    </row>
    <row r="1146" spans="1:17" x14ac:dyDescent="0.25">
      <c r="A1146" s="8">
        <v>45979</v>
      </c>
      <c r="B1146" s="9" t="s">
        <v>76</v>
      </c>
      <c r="C1146" s="9" t="s">
        <v>77</v>
      </c>
      <c r="D1146" s="9" t="s">
        <v>75</v>
      </c>
      <c r="E1146" s="10">
        <v>154.28</v>
      </c>
      <c r="F1146" s="10">
        <v>155.9</v>
      </c>
      <c r="G1146" s="10">
        <v>153.47</v>
      </c>
      <c r="H1146" s="10">
        <v>153.85</v>
      </c>
      <c r="I1146" s="11">
        <v>4384979</v>
      </c>
      <c r="J1146" s="10">
        <v>30770000000</v>
      </c>
      <c r="K1146" s="30">
        <f t="shared" si="102"/>
        <v>-0.27871402644542831</v>
      </c>
      <c r="L1146" s="31">
        <f t="shared" si="103"/>
        <v>2.4300000000000068</v>
      </c>
      <c r="M1146" s="30">
        <f t="shared" si="104"/>
        <v>1.5750583354939115E-2</v>
      </c>
      <c r="N1146" s="20" t="str">
        <f t="shared" si="107"/>
        <v>High volume</v>
      </c>
      <c r="O1146" s="32">
        <f t="shared" si="105"/>
        <v>30.77</v>
      </c>
      <c r="P1146" s="20">
        <f t="shared" si="106"/>
        <v>11</v>
      </c>
      <c r="Q1146" s="20" t="str" cm="1">
        <f t="array" ref="Q1146">_xlfn.IFS(P1146&lt;=3,"Q1",P1146&lt;=6,"Q2",P1146&lt;=9,"Q3",P1146&lt;=12,"Q4")</f>
        <v>Q4</v>
      </c>
    </row>
    <row r="1147" spans="1:17" x14ac:dyDescent="0.25">
      <c r="A1147" s="14">
        <v>45980</v>
      </c>
      <c r="B1147" s="15" t="s">
        <v>60</v>
      </c>
      <c r="C1147" s="15" t="s">
        <v>61</v>
      </c>
      <c r="D1147" s="15" t="s">
        <v>62</v>
      </c>
      <c r="E1147" s="16">
        <v>2015.27</v>
      </c>
      <c r="F1147" s="16">
        <v>2016.97</v>
      </c>
      <c r="G1147" s="16">
        <v>2014.33</v>
      </c>
      <c r="H1147" s="16">
        <v>2016.78</v>
      </c>
      <c r="I1147" s="17">
        <v>2680112</v>
      </c>
      <c r="J1147" s="16">
        <v>2823492000000</v>
      </c>
      <c r="K1147" s="30">
        <f t="shared" si="102"/>
        <v>7.4927925290407288E-2</v>
      </c>
      <c r="L1147" s="31">
        <f t="shared" si="103"/>
        <v>2.6400000000001</v>
      </c>
      <c r="M1147" s="30">
        <f t="shared" si="104"/>
        <v>1.3099981640177743E-3</v>
      </c>
      <c r="N1147" s="20" t="str">
        <f t="shared" si="107"/>
        <v>High volume</v>
      </c>
      <c r="O1147" s="32">
        <f t="shared" si="105"/>
        <v>2823.4920000000002</v>
      </c>
      <c r="P1147" s="20">
        <f t="shared" si="106"/>
        <v>11</v>
      </c>
      <c r="Q1147" s="20" t="str" cm="1">
        <f t="array" ref="Q1147">_xlfn.IFS(P1147&lt;=3,"Q1",P1147&lt;=6,"Q2",P1147&lt;=9,"Q3",P1147&lt;=12,"Q4")</f>
        <v>Q4</v>
      </c>
    </row>
    <row r="1148" spans="1:17" x14ac:dyDescent="0.25">
      <c r="A1148" s="8">
        <v>45980</v>
      </c>
      <c r="B1148" s="9" t="s">
        <v>65</v>
      </c>
      <c r="C1148" s="9" t="s">
        <v>66</v>
      </c>
      <c r="D1148" s="9" t="s">
        <v>67</v>
      </c>
      <c r="E1148" s="10">
        <v>234.63</v>
      </c>
      <c r="F1148" s="10">
        <v>236.34</v>
      </c>
      <c r="G1148" s="10">
        <v>234.22</v>
      </c>
      <c r="H1148" s="10">
        <v>234.66</v>
      </c>
      <c r="I1148" s="11">
        <v>2572891</v>
      </c>
      <c r="J1148" s="10">
        <v>58665000000</v>
      </c>
      <c r="K1148" s="30">
        <f t="shared" si="102"/>
        <v>1.2786088735456308E-2</v>
      </c>
      <c r="L1148" s="31">
        <f t="shared" si="103"/>
        <v>2.1200000000000045</v>
      </c>
      <c r="M1148" s="30">
        <f t="shared" si="104"/>
        <v>9.0355027063888024E-3</v>
      </c>
      <c r="N1148" s="20" t="str">
        <f t="shared" si="107"/>
        <v>High volume</v>
      </c>
      <c r="O1148" s="32">
        <f t="shared" si="105"/>
        <v>58.664999999999999</v>
      </c>
      <c r="P1148" s="20">
        <f t="shared" si="106"/>
        <v>11</v>
      </c>
      <c r="Q1148" s="20" t="str" cm="1">
        <f t="array" ref="Q1148">_xlfn.IFS(P1148&lt;=3,"Q1",P1148&lt;=6,"Q2",P1148&lt;=9,"Q3",P1148&lt;=12,"Q4")</f>
        <v>Q4</v>
      </c>
    </row>
    <row r="1149" spans="1:17" x14ac:dyDescent="0.25">
      <c r="A1149" s="14">
        <v>45980</v>
      </c>
      <c r="B1149" s="15" t="s">
        <v>69</v>
      </c>
      <c r="C1149" s="15" t="s">
        <v>70</v>
      </c>
      <c r="D1149" s="15" t="s">
        <v>71</v>
      </c>
      <c r="E1149" s="16">
        <v>559.11</v>
      </c>
      <c r="F1149" s="16">
        <v>563.66999999999996</v>
      </c>
      <c r="G1149" s="16">
        <v>558.44000000000005</v>
      </c>
      <c r="H1149" s="16">
        <v>563.35</v>
      </c>
      <c r="I1149" s="17">
        <v>615589</v>
      </c>
      <c r="J1149" s="16">
        <v>450680000000</v>
      </c>
      <c r="K1149" s="30">
        <f t="shared" si="102"/>
        <v>0.75834808892704642</v>
      </c>
      <c r="L1149" s="31">
        <f t="shared" si="103"/>
        <v>5.2299999999999045</v>
      </c>
      <c r="M1149" s="30">
        <f t="shared" si="104"/>
        <v>9.354152134642385E-3</v>
      </c>
      <c r="N1149" s="20" t="str">
        <f t="shared" si="107"/>
        <v>Normal</v>
      </c>
      <c r="O1149" s="32">
        <f t="shared" si="105"/>
        <v>450.68</v>
      </c>
      <c r="P1149" s="20">
        <f t="shared" si="106"/>
        <v>11</v>
      </c>
      <c r="Q1149" s="20" t="str" cm="1">
        <f t="array" ref="Q1149">_xlfn.IFS(P1149&lt;=3,"Q1",P1149&lt;=6,"Q2",P1149&lt;=9,"Q3",P1149&lt;=12,"Q4")</f>
        <v>Q4</v>
      </c>
    </row>
    <row r="1150" spans="1:17" x14ac:dyDescent="0.25">
      <c r="A1150" s="8">
        <v>45980</v>
      </c>
      <c r="B1150" s="9" t="s">
        <v>73</v>
      </c>
      <c r="C1150" s="9" t="s">
        <v>74</v>
      </c>
      <c r="D1150" s="9" t="s">
        <v>75</v>
      </c>
      <c r="E1150" s="10">
        <v>67.77</v>
      </c>
      <c r="F1150" s="10">
        <v>68.260000000000005</v>
      </c>
      <c r="G1150" s="10">
        <v>67.59</v>
      </c>
      <c r="H1150" s="10">
        <v>68.14</v>
      </c>
      <c r="I1150" s="11">
        <v>2826646</v>
      </c>
      <c r="J1150" s="10">
        <v>14990800000</v>
      </c>
      <c r="K1150" s="30">
        <f t="shared" si="102"/>
        <v>0.54596429098421806</v>
      </c>
      <c r="L1150" s="31">
        <f t="shared" si="103"/>
        <v>0.67000000000000171</v>
      </c>
      <c r="M1150" s="30">
        <f t="shared" si="104"/>
        <v>9.8863804043087169E-3</v>
      </c>
      <c r="N1150" s="20" t="str">
        <f t="shared" si="107"/>
        <v>High volume</v>
      </c>
      <c r="O1150" s="32">
        <f t="shared" si="105"/>
        <v>14.9908</v>
      </c>
      <c r="P1150" s="20">
        <f t="shared" si="106"/>
        <v>11</v>
      </c>
      <c r="Q1150" s="20" t="str" cm="1">
        <f t="array" ref="Q1150">_xlfn.IFS(P1150&lt;=3,"Q1",P1150&lt;=6,"Q2",P1150&lt;=9,"Q3",P1150&lt;=12,"Q4")</f>
        <v>Q4</v>
      </c>
    </row>
    <row r="1151" spans="1:17" x14ac:dyDescent="0.25">
      <c r="A1151" s="14">
        <v>45980</v>
      </c>
      <c r="B1151" s="15" t="s">
        <v>76</v>
      </c>
      <c r="C1151" s="15" t="s">
        <v>77</v>
      </c>
      <c r="D1151" s="15" t="s">
        <v>75</v>
      </c>
      <c r="E1151" s="16">
        <v>153.24</v>
      </c>
      <c r="F1151" s="16">
        <v>153.31</v>
      </c>
      <c r="G1151" s="16">
        <v>153.13999999999999</v>
      </c>
      <c r="H1151" s="16">
        <v>153.18</v>
      </c>
      <c r="I1151" s="17">
        <v>1285727</v>
      </c>
      <c r="J1151" s="16">
        <v>30636000000</v>
      </c>
      <c r="K1151" s="30">
        <f t="shared" si="102"/>
        <v>-3.9154267815193336E-2</v>
      </c>
      <c r="L1151" s="31">
        <f t="shared" si="103"/>
        <v>0.17000000000001592</v>
      </c>
      <c r="M1151" s="30">
        <f t="shared" si="104"/>
        <v>1.1093709214305397E-3</v>
      </c>
      <c r="N1151" s="20" t="str">
        <f t="shared" si="107"/>
        <v>Normal</v>
      </c>
      <c r="O1151" s="32">
        <f t="shared" si="105"/>
        <v>30.635999999999999</v>
      </c>
      <c r="P1151" s="20">
        <f t="shared" si="106"/>
        <v>11</v>
      </c>
      <c r="Q1151" s="20" t="str" cm="1">
        <f t="array" ref="Q1151">_xlfn.IFS(P1151&lt;=3,"Q1",P1151&lt;=6,"Q2",P1151&lt;=9,"Q3",P1151&lt;=12,"Q4")</f>
        <v>Q4</v>
      </c>
    </row>
    <row r="1152" spans="1:17" x14ac:dyDescent="0.25">
      <c r="A1152" s="8">
        <v>45981</v>
      </c>
      <c r="B1152" s="9" t="s">
        <v>60</v>
      </c>
      <c r="C1152" s="9" t="s">
        <v>61</v>
      </c>
      <c r="D1152" s="9" t="s">
        <v>62</v>
      </c>
      <c r="E1152" s="10">
        <v>2099.88</v>
      </c>
      <c r="F1152" s="10">
        <v>2103.75</v>
      </c>
      <c r="G1152" s="10">
        <v>2075.3200000000002</v>
      </c>
      <c r="H1152" s="10">
        <v>2103.37</v>
      </c>
      <c r="I1152" s="11">
        <v>4557560</v>
      </c>
      <c r="J1152" s="10">
        <v>2944718000000</v>
      </c>
      <c r="K1152" s="30">
        <f t="shared" si="102"/>
        <v>0.16619997333179903</v>
      </c>
      <c r="L1152" s="31">
        <f t="shared" si="103"/>
        <v>28.429999999999836</v>
      </c>
      <c r="M1152" s="30">
        <f t="shared" si="104"/>
        <v>1.3538868887745888E-2</v>
      </c>
      <c r="N1152" s="20" t="str">
        <f t="shared" si="107"/>
        <v>High volume</v>
      </c>
      <c r="O1152" s="32">
        <f t="shared" si="105"/>
        <v>2944.7179999999998</v>
      </c>
      <c r="P1152" s="20">
        <f t="shared" si="106"/>
        <v>11</v>
      </c>
      <c r="Q1152" s="20" t="str" cm="1">
        <f t="array" ref="Q1152">_xlfn.IFS(P1152&lt;=3,"Q1",P1152&lt;=6,"Q2",P1152&lt;=9,"Q3",P1152&lt;=12,"Q4")</f>
        <v>Q4</v>
      </c>
    </row>
    <row r="1153" spans="1:17" x14ac:dyDescent="0.25">
      <c r="A1153" s="14">
        <v>45981</v>
      </c>
      <c r="B1153" s="15" t="s">
        <v>65</v>
      </c>
      <c r="C1153" s="15" t="s">
        <v>66</v>
      </c>
      <c r="D1153" s="15" t="s">
        <v>67</v>
      </c>
      <c r="E1153" s="16">
        <v>229.94</v>
      </c>
      <c r="F1153" s="16">
        <v>230.55</v>
      </c>
      <c r="G1153" s="16">
        <v>226.84</v>
      </c>
      <c r="H1153" s="16">
        <v>229.29</v>
      </c>
      <c r="I1153" s="17">
        <v>2618834</v>
      </c>
      <c r="J1153" s="16">
        <v>57322500000</v>
      </c>
      <c r="K1153" s="30">
        <f t="shared" si="102"/>
        <v>-0.28268243889710604</v>
      </c>
      <c r="L1153" s="31">
        <f t="shared" si="103"/>
        <v>3.710000000000008</v>
      </c>
      <c r="M1153" s="30">
        <f t="shared" si="104"/>
        <v>1.6134643820127026E-2</v>
      </c>
      <c r="N1153" s="20" t="str">
        <f t="shared" si="107"/>
        <v>High volume</v>
      </c>
      <c r="O1153" s="32">
        <f t="shared" si="105"/>
        <v>57.322499999999998</v>
      </c>
      <c r="P1153" s="20">
        <f t="shared" si="106"/>
        <v>11</v>
      </c>
      <c r="Q1153" s="20" t="str" cm="1">
        <f t="array" ref="Q1153">_xlfn.IFS(P1153&lt;=3,"Q1",P1153&lt;=6,"Q2",P1153&lt;=9,"Q3",P1153&lt;=12,"Q4")</f>
        <v>Q4</v>
      </c>
    </row>
    <row r="1154" spans="1:17" x14ac:dyDescent="0.25">
      <c r="A1154" s="8">
        <v>45981</v>
      </c>
      <c r="B1154" s="9" t="s">
        <v>69</v>
      </c>
      <c r="C1154" s="9" t="s">
        <v>70</v>
      </c>
      <c r="D1154" s="9" t="s">
        <v>71</v>
      </c>
      <c r="E1154" s="10">
        <v>567.37</v>
      </c>
      <c r="F1154" s="10">
        <v>568.1</v>
      </c>
      <c r="G1154" s="10">
        <v>562.19000000000005</v>
      </c>
      <c r="H1154" s="10">
        <v>567.58000000000004</v>
      </c>
      <c r="I1154" s="11">
        <v>4473456</v>
      </c>
      <c r="J1154" s="10">
        <v>454064000000</v>
      </c>
      <c r="K1154" s="30">
        <f t="shared" si="102"/>
        <v>3.7012884008678006E-2</v>
      </c>
      <c r="L1154" s="31">
        <f t="shared" si="103"/>
        <v>5.9099999999999682</v>
      </c>
      <c r="M1154" s="30">
        <f t="shared" si="104"/>
        <v>1.0416483071011805E-2</v>
      </c>
      <c r="N1154" s="20" t="str">
        <f t="shared" si="107"/>
        <v>High volume</v>
      </c>
      <c r="O1154" s="32">
        <f t="shared" si="105"/>
        <v>454.06400000000002</v>
      </c>
      <c r="P1154" s="20">
        <f t="shared" si="106"/>
        <v>11</v>
      </c>
      <c r="Q1154" s="20" t="str" cm="1">
        <f t="array" ref="Q1154">_xlfn.IFS(P1154&lt;=3,"Q1",P1154&lt;=6,"Q2",P1154&lt;=9,"Q3",P1154&lt;=12,"Q4")</f>
        <v>Q4</v>
      </c>
    </row>
    <row r="1155" spans="1:17" x14ac:dyDescent="0.25">
      <c r="A1155" s="14">
        <v>45981</v>
      </c>
      <c r="B1155" s="15" t="s">
        <v>73</v>
      </c>
      <c r="C1155" s="15" t="s">
        <v>74</v>
      </c>
      <c r="D1155" s="15" t="s">
        <v>75</v>
      </c>
      <c r="E1155" s="16">
        <v>69.739999999999995</v>
      </c>
      <c r="F1155" s="16">
        <v>70.11</v>
      </c>
      <c r="G1155" s="16">
        <v>69</v>
      </c>
      <c r="H1155" s="16">
        <v>69.05</v>
      </c>
      <c r="I1155" s="17">
        <v>3355072</v>
      </c>
      <c r="J1155" s="16">
        <v>15191000000</v>
      </c>
      <c r="K1155" s="30">
        <f t="shared" ref="K1155:K1218" si="108">((H1155-E1155)/E1155)*100</f>
        <v>-0.98938915973615982</v>
      </c>
      <c r="L1155" s="31">
        <f t="shared" ref="L1155:L1218" si="109">F1155-G1155</f>
        <v>1.1099999999999994</v>
      </c>
      <c r="M1155" s="30">
        <f t="shared" ref="M1155:M1218" si="110">L1155/E1155</f>
        <v>1.5916260395755655E-2</v>
      </c>
      <c r="N1155" s="20" t="str">
        <f t="shared" si="107"/>
        <v>High volume</v>
      </c>
      <c r="O1155" s="32">
        <f t="shared" ref="O1155:O1218" si="111">J1155/1000000000</f>
        <v>15.191000000000001</v>
      </c>
      <c r="P1155" s="20">
        <f t="shared" ref="P1155:P1218" si="112">MONTH(A1155)</f>
        <v>11</v>
      </c>
      <c r="Q1155" s="20" t="str" cm="1">
        <f t="array" ref="Q1155">_xlfn.IFS(P1155&lt;=3,"Q1",P1155&lt;=6,"Q2",P1155&lt;=9,"Q3",P1155&lt;=12,"Q4")</f>
        <v>Q4</v>
      </c>
    </row>
    <row r="1156" spans="1:17" x14ac:dyDescent="0.25">
      <c r="A1156" s="8">
        <v>45981</v>
      </c>
      <c r="B1156" s="9" t="s">
        <v>76</v>
      </c>
      <c r="C1156" s="9" t="s">
        <v>77</v>
      </c>
      <c r="D1156" s="9" t="s">
        <v>75</v>
      </c>
      <c r="E1156" s="10">
        <v>152.66999999999999</v>
      </c>
      <c r="F1156" s="10">
        <v>153.94</v>
      </c>
      <c r="G1156" s="10">
        <v>151.55000000000001</v>
      </c>
      <c r="H1156" s="10">
        <v>153.36000000000001</v>
      </c>
      <c r="I1156" s="11">
        <v>663373</v>
      </c>
      <c r="J1156" s="10">
        <v>30672000000</v>
      </c>
      <c r="K1156" s="30">
        <f t="shared" si="108"/>
        <v>0.45195519748478824</v>
      </c>
      <c r="L1156" s="31">
        <f t="shared" si="109"/>
        <v>2.3899999999999864</v>
      </c>
      <c r="M1156" s="30">
        <f t="shared" si="110"/>
        <v>1.5654680028820242E-2</v>
      </c>
      <c r="N1156" s="20" t="str">
        <f t="shared" ref="N1156:N1219" si="113">IF(I1156&gt;2000000,"High volume","Normal")</f>
        <v>Normal</v>
      </c>
      <c r="O1156" s="32">
        <f t="shared" si="111"/>
        <v>30.672000000000001</v>
      </c>
      <c r="P1156" s="20">
        <f t="shared" si="112"/>
        <v>11</v>
      </c>
      <c r="Q1156" s="20" t="str" cm="1">
        <f t="array" ref="Q1156">_xlfn.IFS(P1156&lt;=3,"Q1",P1156&lt;=6,"Q2",P1156&lt;=9,"Q3",P1156&lt;=12,"Q4")</f>
        <v>Q4</v>
      </c>
    </row>
    <row r="1157" spans="1:17" x14ac:dyDescent="0.25">
      <c r="A1157" s="14">
        <v>45982</v>
      </c>
      <c r="B1157" s="15" t="s">
        <v>60</v>
      </c>
      <c r="C1157" s="15" t="s">
        <v>61</v>
      </c>
      <c r="D1157" s="15" t="s">
        <v>62</v>
      </c>
      <c r="E1157" s="16">
        <v>2153.04</v>
      </c>
      <c r="F1157" s="16">
        <v>2157.52</v>
      </c>
      <c r="G1157" s="16">
        <v>2149.59</v>
      </c>
      <c r="H1157" s="16">
        <v>2153.85</v>
      </c>
      <c r="I1157" s="17">
        <v>1625782</v>
      </c>
      <c r="J1157" s="16">
        <v>3015390000000</v>
      </c>
      <c r="K1157" s="30">
        <f t="shared" si="108"/>
        <v>3.7621223943816437E-2</v>
      </c>
      <c r="L1157" s="31">
        <f t="shared" si="109"/>
        <v>7.9299999999998363</v>
      </c>
      <c r="M1157" s="30">
        <f t="shared" si="110"/>
        <v>3.6831642700552877E-3</v>
      </c>
      <c r="N1157" s="20" t="str">
        <f t="shared" si="113"/>
        <v>Normal</v>
      </c>
      <c r="O1157" s="32">
        <f t="shared" si="111"/>
        <v>3015.39</v>
      </c>
      <c r="P1157" s="20">
        <f t="shared" si="112"/>
        <v>11</v>
      </c>
      <c r="Q1157" s="20" t="str" cm="1">
        <f t="array" ref="Q1157">_xlfn.IFS(P1157&lt;=3,"Q1",P1157&lt;=6,"Q2",P1157&lt;=9,"Q3",P1157&lt;=12,"Q4")</f>
        <v>Q4</v>
      </c>
    </row>
    <row r="1158" spans="1:17" x14ac:dyDescent="0.25">
      <c r="A1158" s="8">
        <v>45982</v>
      </c>
      <c r="B1158" s="9" t="s">
        <v>65</v>
      </c>
      <c r="C1158" s="9" t="s">
        <v>66</v>
      </c>
      <c r="D1158" s="9" t="s">
        <v>67</v>
      </c>
      <c r="E1158" s="10">
        <v>230.21</v>
      </c>
      <c r="F1158" s="10">
        <v>232.28</v>
      </c>
      <c r="G1158" s="10">
        <v>227.29</v>
      </c>
      <c r="H1158" s="10">
        <v>230.89</v>
      </c>
      <c r="I1158" s="11">
        <v>3034453</v>
      </c>
      <c r="J1158" s="10">
        <v>57722500000</v>
      </c>
      <c r="K1158" s="30">
        <f t="shared" si="108"/>
        <v>0.29538247686893632</v>
      </c>
      <c r="L1158" s="31">
        <f t="shared" si="109"/>
        <v>4.9900000000000091</v>
      </c>
      <c r="M1158" s="30">
        <f t="shared" si="110"/>
        <v>2.167586117023591E-2</v>
      </c>
      <c r="N1158" s="20" t="str">
        <f t="shared" si="113"/>
        <v>High volume</v>
      </c>
      <c r="O1158" s="32">
        <f t="shared" si="111"/>
        <v>57.722499999999997</v>
      </c>
      <c r="P1158" s="20">
        <f t="shared" si="112"/>
        <v>11</v>
      </c>
      <c r="Q1158" s="20" t="str" cm="1">
        <f t="array" ref="Q1158">_xlfn.IFS(P1158&lt;=3,"Q1",P1158&lt;=6,"Q2",P1158&lt;=9,"Q3",P1158&lt;=12,"Q4")</f>
        <v>Q4</v>
      </c>
    </row>
    <row r="1159" spans="1:17" x14ac:dyDescent="0.25">
      <c r="A1159" s="14">
        <v>45982</v>
      </c>
      <c r="B1159" s="15" t="s">
        <v>69</v>
      </c>
      <c r="C1159" s="15" t="s">
        <v>70</v>
      </c>
      <c r="D1159" s="15" t="s">
        <v>71</v>
      </c>
      <c r="E1159" s="16">
        <v>579.74</v>
      </c>
      <c r="F1159" s="16">
        <v>586.46</v>
      </c>
      <c r="G1159" s="16">
        <v>576</v>
      </c>
      <c r="H1159" s="16">
        <v>585.4</v>
      </c>
      <c r="I1159" s="17">
        <v>2229910</v>
      </c>
      <c r="J1159" s="16">
        <v>468320000000</v>
      </c>
      <c r="K1159" s="30">
        <f t="shared" si="108"/>
        <v>0.97629972056438552</v>
      </c>
      <c r="L1159" s="31">
        <f t="shared" si="109"/>
        <v>10.460000000000036</v>
      </c>
      <c r="M1159" s="30">
        <f t="shared" si="110"/>
        <v>1.8042570807603471E-2</v>
      </c>
      <c r="N1159" s="20" t="str">
        <f t="shared" si="113"/>
        <v>High volume</v>
      </c>
      <c r="O1159" s="32">
        <f t="shared" si="111"/>
        <v>468.32</v>
      </c>
      <c r="P1159" s="20">
        <f t="shared" si="112"/>
        <v>11</v>
      </c>
      <c r="Q1159" s="20" t="str" cm="1">
        <f t="array" ref="Q1159">_xlfn.IFS(P1159&lt;=3,"Q1",P1159&lt;=6,"Q2",P1159&lt;=9,"Q3",P1159&lt;=12,"Q4")</f>
        <v>Q4</v>
      </c>
    </row>
    <row r="1160" spans="1:17" x14ac:dyDescent="0.25">
      <c r="A1160" s="8">
        <v>45982</v>
      </c>
      <c r="B1160" s="9" t="s">
        <v>73</v>
      </c>
      <c r="C1160" s="9" t="s">
        <v>74</v>
      </c>
      <c r="D1160" s="9" t="s">
        <v>75</v>
      </c>
      <c r="E1160" s="10">
        <v>69.23</v>
      </c>
      <c r="F1160" s="10">
        <v>69.709999999999994</v>
      </c>
      <c r="G1160" s="10">
        <v>68.489999999999995</v>
      </c>
      <c r="H1160" s="10">
        <v>69.55</v>
      </c>
      <c r="I1160" s="11">
        <v>3450193</v>
      </c>
      <c r="J1160" s="10">
        <v>15301000000</v>
      </c>
      <c r="K1160" s="30">
        <f t="shared" si="108"/>
        <v>0.46222735808174659</v>
      </c>
      <c r="L1160" s="31">
        <f t="shared" si="109"/>
        <v>1.2199999999999989</v>
      </c>
      <c r="M1160" s="30">
        <f t="shared" si="110"/>
        <v>1.7622418026866947E-2</v>
      </c>
      <c r="N1160" s="20" t="str">
        <f t="shared" si="113"/>
        <v>High volume</v>
      </c>
      <c r="O1160" s="32">
        <f t="shared" si="111"/>
        <v>15.301</v>
      </c>
      <c r="P1160" s="20">
        <f t="shared" si="112"/>
        <v>11</v>
      </c>
      <c r="Q1160" s="20" t="str" cm="1">
        <f t="array" ref="Q1160">_xlfn.IFS(P1160&lt;=3,"Q1",P1160&lt;=6,"Q2",P1160&lt;=9,"Q3",P1160&lt;=12,"Q4")</f>
        <v>Q4</v>
      </c>
    </row>
    <row r="1161" spans="1:17" x14ac:dyDescent="0.25">
      <c r="A1161" s="14">
        <v>45982</v>
      </c>
      <c r="B1161" s="15" t="s">
        <v>76</v>
      </c>
      <c r="C1161" s="15" t="s">
        <v>77</v>
      </c>
      <c r="D1161" s="15" t="s">
        <v>75</v>
      </c>
      <c r="E1161" s="16">
        <v>155.57</v>
      </c>
      <c r="F1161" s="16">
        <v>155.94999999999999</v>
      </c>
      <c r="G1161" s="16">
        <v>155.26</v>
      </c>
      <c r="H1161" s="16">
        <v>155.66</v>
      </c>
      <c r="I1161" s="17">
        <v>755831</v>
      </c>
      <c r="J1161" s="16">
        <v>31132000000</v>
      </c>
      <c r="K1161" s="30">
        <f t="shared" si="108"/>
        <v>5.7851770906989404E-2</v>
      </c>
      <c r="L1161" s="31">
        <f t="shared" si="109"/>
        <v>0.68999999999999773</v>
      </c>
      <c r="M1161" s="30">
        <f t="shared" si="110"/>
        <v>4.4353024362023385E-3</v>
      </c>
      <c r="N1161" s="20" t="str">
        <f t="shared" si="113"/>
        <v>Normal</v>
      </c>
      <c r="O1161" s="32">
        <f t="shared" si="111"/>
        <v>31.132000000000001</v>
      </c>
      <c r="P1161" s="20">
        <f t="shared" si="112"/>
        <v>11</v>
      </c>
      <c r="Q1161" s="20" t="str" cm="1">
        <f t="array" ref="Q1161">_xlfn.IFS(P1161&lt;=3,"Q1",P1161&lt;=6,"Q2",P1161&lt;=9,"Q3",P1161&lt;=12,"Q4")</f>
        <v>Q4</v>
      </c>
    </row>
    <row r="1162" spans="1:17" x14ac:dyDescent="0.25">
      <c r="A1162" s="8">
        <v>45985</v>
      </c>
      <c r="B1162" s="9" t="s">
        <v>60</v>
      </c>
      <c r="C1162" s="9" t="s">
        <v>61</v>
      </c>
      <c r="D1162" s="9" t="s">
        <v>62</v>
      </c>
      <c r="E1162" s="10">
        <v>2168.25</v>
      </c>
      <c r="F1162" s="10">
        <v>2174.41</v>
      </c>
      <c r="G1162" s="10">
        <v>2151.0700000000002</v>
      </c>
      <c r="H1162" s="10">
        <v>2160.11</v>
      </c>
      <c r="I1162" s="11">
        <v>1444244</v>
      </c>
      <c r="J1162" s="10">
        <v>3024154000000</v>
      </c>
      <c r="K1162" s="30">
        <f t="shared" si="108"/>
        <v>-0.37541796379568187</v>
      </c>
      <c r="L1162" s="31">
        <f t="shared" si="109"/>
        <v>23.339999999999691</v>
      </c>
      <c r="M1162" s="30">
        <f t="shared" si="110"/>
        <v>1.0764441369768103E-2</v>
      </c>
      <c r="N1162" s="20" t="str">
        <f t="shared" si="113"/>
        <v>Normal</v>
      </c>
      <c r="O1162" s="32">
        <f t="shared" si="111"/>
        <v>3024.154</v>
      </c>
      <c r="P1162" s="20">
        <f t="shared" si="112"/>
        <v>11</v>
      </c>
      <c r="Q1162" s="20" t="str" cm="1">
        <f t="array" ref="Q1162">_xlfn.IFS(P1162&lt;=3,"Q1",P1162&lt;=6,"Q2",P1162&lt;=9,"Q3",P1162&lt;=12,"Q4")</f>
        <v>Q4</v>
      </c>
    </row>
    <row r="1163" spans="1:17" x14ac:dyDescent="0.25">
      <c r="A1163" s="14">
        <v>45985</v>
      </c>
      <c r="B1163" s="15" t="s">
        <v>65</v>
      </c>
      <c r="C1163" s="15" t="s">
        <v>66</v>
      </c>
      <c r="D1163" s="15" t="s">
        <v>67</v>
      </c>
      <c r="E1163" s="16">
        <v>229.27</v>
      </c>
      <c r="F1163" s="16">
        <v>230.43</v>
      </c>
      <c r="G1163" s="16">
        <v>228.95</v>
      </c>
      <c r="H1163" s="16">
        <v>229.48</v>
      </c>
      <c r="I1163" s="17">
        <v>2562361</v>
      </c>
      <c r="J1163" s="16">
        <v>57370000000</v>
      </c>
      <c r="K1163" s="30">
        <f t="shared" si="108"/>
        <v>9.159506258995051E-2</v>
      </c>
      <c r="L1163" s="31">
        <f t="shared" si="109"/>
        <v>1.4800000000000182</v>
      </c>
      <c r="M1163" s="30">
        <f t="shared" si="110"/>
        <v>6.4552710777686486E-3</v>
      </c>
      <c r="N1163" s="20" t="str">
        <f t="shared" si="113"/>
        <v>High volume</v>
      </c>
      <c r="O1163" s="32">
        <f t="shared" si="111"/>
        <v>57.37</v>
      </c>
      <c r="P1163" s="20">
        <f t="shared" si="112"/>
        <v>11</v>
      </c>
      <c r="Q1163" s="20" t="str" cm="1">
        <f t="array" ref="Q1163">_xlfn.IFS(P1163&lt;=3,"Q1",P1163&lt;=6,"Q2",P1163&lt;=9,"Q3",P1163&lt;=12,"Q4")</f>
        <v>Q4</v>
      </c>
    </row>
    <row r="1164" spans="1:17" x14ac:dyDescent="0.25">
      <c r="A1164" s="8">
        <v>45985</v>
      </c>
      <c r="B1164" s="9" t="s">
        <v>69</v>
      </c>
      <c r="C1164" s="9" t="s">
        <v>70</v>
      </c>
      <c r="D1164" s="9" t="s">
        <v>71</v>
      </c>
      <c r="E1164" s="10">
        <v>586.87</v>
      </c>
      <c r="F1164" s="10">
        <v>589.21</v>
      </c>
      <c r="G1164" s="10">
        <v>586.29</v>
      </c>
      <c r="H1164" s="10">
        <v>586.69000000000005</v>
      </c>
      <c r="I1164" s="11">
        <v>4205184</v>
      </c>
      <c r="J1164" s="10">
        <v>469352000000</v>
      </c>
      <c r="K1164" s="30">
        <f t="shared" si="108"/>
        <v>-3.0671187826937816E-2</v>
      </c>
      <c r="L1164" s="31">
        <f t="shared" si="109"/>
        <v>2.9200000000000728</v>
      </c>
      <c r="M1164" s="30">
        <f t="shared" si="110"/>
        <v>4.9755482474825308E-3</v>
      </c>
      <c r="N1164" s="20" t="str">
        <f t="shared" si="113"/>
        <v>High volume</v>
      </c>
      <c r="O1164" s="32">
        <f t="shared" si="111"/>
        <v>469.35199999999998</v>
      </c>
      <c r="P1164" s="20">
        <f t="shared" si="112"/>
        <v>11</v>
      </c>
      <c r="Q1164" s="20" t="str" cm="1">
        <f t="array" ref="Q1164">_xlfn.IFS(P1164&lt;=3,"Q1",P1164&lt;=6,"Q2",P1164&lt;=9,"Q3",P1164&lt;=12,"Q4")</f>
        <v>Q4</v>
      </c>
    </row>
    <row r="1165" spans="1:17" x14ac:dyDescent="0.25">
      <c r="A1165" s="14">
        <v>45985</v>
      </c>
      <c r="B1165" s="15" t="s">
        <v>73</v>
      </c>
      <c r="C1165" s="15" t="s">
        <v>74</v>
      </c>
      <c r="D1165" s="15" t="s">
        <v>75</v>
      </c>
      <c r="E1165" s="16">
        <v>69.22</v>
      </c>
      <c r="F1165" s="16">
        <v>69.55</v>
      </c>
      <c r="G1165" s="16">
        <v>69.13</v>
      </c>
      <c r="H1165" s="16">
        <v>69.27</v>
      </c>
      <c r="I1165" s="17">
        <v>2775994</v>
      </c>
      <c r="J1165" s="16">
        <v>15239400000</v>
      </c>
      <c r="K1165" s="30">
        <f t="shared" si="108"/>
        <v>7.2233458537990694E-2</v>
      </c>
      <c r="L1165" s="31">
        <f t="shared" si="109"/>
        <v>0.42000000000000171</v>
      </c>
      <c r="M1165" s="30">
        <f t="shared" si="110"/>
        <v>6.0676105171915875E-3</v>
      </c>
      <c r="N1165" s="20" t="str">
        <f t="shared" si="113"/>
        <v>High volume</v>
      </c>
      <c r="O1165" s="32">
        <f t="shared" si="111"/>
        <v>15.2394</v>
      </c>
      <c r="P1165" s="20">
        <f t="shared" si="112"/>
        <v>11</v>
      </c>
      <c r="Q1165" s="20" t="str" cm="1">
        <f t="array" ref="Q1165">_xlfn.IFS(P1165&lt;=3,"Q1",P1165&lt;=6,"Q2",P1165&lt;=9,"Q3",P1165&lt;=12,"Q4")</f>
        <v>Q4</v>
      </c>
    </row>
    <row r="1166" spans="1:17" x14ac:dyDescent="0.25">
      <c r="A1166" s="8">
        <v>45985</v>
      </c>
      <c r="B1166" s="9" t="s">
        <v>76</v>
      </c>
      <c r="C1166" s="9" t="s">
        <v>77</v>
      </c>
      <c r="D1166" s="9" t="s">
        <v>75</v>
      </c>
      <c r="E1166" s="10">
        <v>152.41</v>
      </c>
      <c r="F1166" s="10">
        <v>153.71</v>
      </c>
      <c r="G1166" s="10">
        <v>151.33000000000001</v>
      </c>
      <c r="H1166" s="10">
        <v>151.72999999999999</v>
      </c>
      <c r="I1166" s="11">
        <v>4936850</v>
      </c>
      <c r="J1166" s="10">
        <v>30346000000</v>
      </c>
      <c r="K1166" s="30">
        <f t="shared" si="108"/>
        <v>-0.44616494980644766</v>
      </c>
      <c r="L1166" s="31">
        <f t="shared" si="109"/>
        <v>2.3799999999999955</v>
      </c>
      <c r="M1166" s="30">
        <f t="shared" si="110"/>
        <v>1.5615773243225481E-2</v>
      </c>
      <c r="N1166" s="20" t="str">
        <f t="shared" si="113"/>
        <v>High volume</v>
      </c>
      <c r="O1166" s="32">
        <f t="shared" si="111"/>
        <v>30.346</v>
      </c>
      <c r="P1166" s="20">
        <f t="shared" si="112"/>
        <v>11</v>
      </c>
      <c r="Q1166" s="20" t="str" cm="1">
        <f t="array" ref="Q1166">_xlfn.IFS(P1166&lt;=3,"Q1",P1166&lt;=6,"Q2",P1166&lt;=9,"Q3",P1166&lt;=12,"Q4")</f>
        <v>Q4</v>
      </c>
    </row>
    <row r="1167" spans="1:17" x14ac:dyDescent="0.25">
      <c r="A1167" s="14">
        <v>45986</v>
      </c>
      <c r="B1167" s="15" t="s">
        <v>60</v>
      </c>
      <c r="C1167" s="15" t="s">
        <v>61</v>
      </c>
      <c r="D1167" s="15" t="s">
        <v>62</v>
      </c>
      <c r="E1167" s="16">
        <v>2126.5700000000002</v>
      </c>
      <c r="F1167" s="16">
        <v>2131</v>
      </c>
      <c r="G1167" s="16">
        <v>2120.85</v>
      </c>
      <c r="H1167" s="16">
        <v>2129.5500000000002</v>
      </c>
      <c r="I1167" s="17">
        <v>4403819</v>
      </c>
      <c r="J1167" s="16">
        <v>2981370000000</v>
      </c>
      <c r="K1167" s="30">
        <f t="shared" si="108"/>
        <v>0.14013176147505221</v>
      </c>
      <c r="L1167" s="31">
        <f t="shared" si="109"/>
        <v>10.150000000000091</v>
      </c>
      <c r="M1167" s="30">
        <f t="shared" si="110"/>
        <v>4.7729442247375301E-3</v>
      </c>
      <c r="N1167" s="20" t="str">
        <f t="shared" si="113"/>
        <v>High volume</v>
      </c>
      <c r="O1167" s="32">
        <f t="shared" si="111"/>
        <v>2981.37</v>
      </c>
      <c r="P1167" s="20">
        <f t="shared" si="112"/>
        <v>11</v>
      </c>
      <c r="Q1167" s="20" t="str" cm="1">
        <f t="array" ref="Q1167">_xlfn.IFS(P1167&lt;=3,"Q1",P1167&lt;=6,"Q2",P1167&lt;=9,"Q3",P1167&lt;=12,"Q4")</f>
        <v>Q4</v>
      </c>
    </row>
    <row r="1168" spans="1:17" x14ac:dyDescent="0.25">
      <c r="A1168" s="8">
        <v>45986</v>
      </c>
      <c r="B1168" s="9" t="s">
        <v>65</v>
      </c>
      <c r="C1168" s="9" t="s">
        <v>66</v>
      </c>
      <c r="D1168" s="9" t="s">
        <v>67</v>
      </c>
      <c r="E1168" s="10">
        <v>231.08</v>
      </c>
      <c r="F1168" s="10">
        <v>232.06</v>
      </c>
      <c r="G1168" s="10">
        <v>229.05</v>
      </c>
      <c r="H1168" s="10">
        <v>229.09</v>
      </c>
      <c r="I1168" s="11">
        <v>3891250</v>
      </c>
      <c r="J1168" s="10">
        <v>57272500000</v>
      </c>
      <c r="K1168" s="30">
        <f t="shared" si="108"/>
        <v>-0.86117361952570937</v>
      </c>
      <c r="L1168" s="31">
        <f t="shared" si="109"/>
        <v>3.0099999999999909</v>
      </c>
      <c r="M1168" s="30">
        <f t="shared" si="110"/>
        <v>1.3025791933529474E-2</v>
      </c>
      <c r="N1168" s="20" t="str">
        <f t="shared" si="113"/>
        <v>High volume</v>
      </c>
      <c r="O1168" s="32">
        <f t="shared" si="111"/>
        <v>57.272500000000001</v>
      </c>
      <c r="P1168" s="20">
        <f t="shared" si="112"/>
        <v>11</v>
      </c>
      <c r="Q1168" s="20" t="str" cm="1">
        <f t="array" ref="Q1168">_xlfn.IFS(P1168&lt;=3,"Q1",P1168&lt;=6,"Q2",P1168&lt;=9,"Q3",P1168&lt;=12,"Q4")</f>
        <v>Q4</v>
      </c>
    </row>
    <row r="1169" spans="1:17" x14ac:dyDescent="0.25">
      <c r="A1169" s="14">
        <v>45986</v>
      </c>
      <c r="B1169" s="15" t="s">
        <v>69</v>
      </c>
      <c r="C1169" s="15" t="s">
        <v>70</v>
      </c>
      <c r="D1169" s="15" t="s">
        <v>71</v>
      </c>
      <c r="E1169" s="16">
        <v>588.42999999999995</v>
      </c>
      <c r="F1169" s="16">
        <v>588.74</v>
      </c>
      <c r="G1169" s="16">
        <v>584.9</v>
      </c>
      <c r="H1169" s="16">
        <v>586.16</v>
      </c>
      <c r="I1169" s="17">
        <v>2165681</v>
      </c>
      <c r="J1169" s="16">
        <v>468928000000</v>
      </c>
      <c r="K1169" s="30">
        <f t="shared" si="108"/>
        <v>-0.38577230936559692</v>
      </c>
      <c r="L1169" s="31">
        <f t="shared" si="109"/>
        <v>3.8400000000000318</v>
      </c>
      <c r="M1169" s="30">
        <f t="shared" si="110"/>
        <v>6.5258399469776051E-3</v>
      </c>
      <c r="N1169" s="20" t="str">
        <f t="shared" si="113"/>
        <v>High volume</v>
      </c>
      <c r="O1169" s="32">
        <f t="shared" si="111"/>
        <v>468.928</v>
      </c>
      <c r="P1169" s="20">
        <f t="shared" si="112"/>
        <v>11</v>
      </c>
      <c r="Q1169" s="20" t="str" cm="1">
        <f t="array" ref="Q1169">_xlfn.IFS(P1169&lt;=3,"Q1",P1169&lt;=6,"Q2",P1169&lt;=9,"Q3",P1169&lt;=12,"Q4")</f>
        <v>Q4</v>
      </c>
    </row>
    <row r="1170" spans="1:17" x14ac:dyDescent="0.25">
      <c r="A1170" s="8">
        <v>45986</v>
      </c>
      <c r="B1170" s="9" t="s">
        <v>73</v>
      </c>
      <c r="C1170" s="9" t="s">
        <v>74</v>
      </c>
      <c r="D1170" s="9" t="s">
        <v>75</v>
      </c>
      <c r="E1170" s="10">
        <v>70.37</v>
      </c>
      <c r="F1170" s="10">
        <v>70.84</v>
      </c>
      <c r="G1170" s="10">
        <v>69.930000000000007</v>
      </c>
      <c r="H1170" s="10">
        <v>69.930000000000007</v>
      </c>
      <c r="I1170" s="11">
        <v>670979</v>
      </c>
      <c r="J1170" s="10">
        <v>15384600000</v>
      </c>
      <c r="K1170" s="30">
        <f t="shared" si="108"/>
        <v>-0.62526644877077975</v>
      </c>
      <c r="L1170" s="31">
        <f t="shared" si="109"/>
        <v>0.90999999999999659</v>
      </c>
      <c r="M1170" s="30">
        <f t="shared" si="110"/>
        <v>1.2931647008668418E-2</v>
      </c>
      <c r="N1170" s="20" t="str">
        <f t="shared" si="113"/>
        <v>Normal</v>
      </c>
      <c r="O1170" s="32">
        <f t="shared" si="111"/>
        <v>15.384600000000001</v>
      </c>
      <c r="P1170" s="20">
        <f t="shared" si="112"/>
        <v>11</v>
      </c>
      <c r="Q1170" s="20" t="str" cm="1">
        <f t="array" ref="Q1170">_xlfn.IFS(P1170&lt;=3,"Q1",P1170&lt;=6,"Q2",P1170&lt;=9,"Q3",P1170&lt;=12,"Q4")</f>
        <v>Q4</v>
      </c>
    </row>
    <row r="1171" spans="1:17" x14ac:dyDescent="0.25">
      <c r="A1171" s="14">
        <v>45986</v>
      </c>
      <c r="B1171" s="15" t="s">
        <v>76</v>
      </c>
      <c r="C1171" s="15" t="s">
        <v>77</v>
      </c>
      <c r="D1171" s="15" t="s">
        <v>75</v>
      </c>
      <c r="E1171" s="16">
        <v>154.15</v>
      </c>
      <c r="F1171" s="16">
        <v>155.5</v>
      </c>
      <c r="G1171" s="16">
        <v>153.80000000000001</v>
      </c>
      <c r="H1171" s="16">
        <v>155.11000000000001</v>
      </c>
      <c r="I1171" s="17">
        <v>582029</v>
      </c>
      <c r="J1171" s="16">
        <v>31022000000</v>
      </c>
      <c r="K1171" s="30">
        <f t="shared" si="108"/>
        <v>0.62277002919235025</v>
      </c>
      <c r="L1171" s="31">
        <f t="shared" si="109"/>
        <v>1.6999999999999886</v>
      </c>
      <c r="M1171" s="30">
        <f t="shared" si="110"/>
        <v>1.1028219266947704E-2</v>
      </c>
      <c r="N1171" s="20" t="str">
        <f t="shared" si="113"/>
        <v>Normal</v>
      </c>
      <c r="O1171" s="32">
        <f t="shared" si="111"/>
        <v>31.021999999999998</v>
      </c>
      <c r="P1171" s="20">
        <f t="shared" si="112"/>
        <v>11</v>
      </c>
      <c r="Q1171" s="20" t="str" cm="1">
        <f t="array" ref="Q1171">_xlfn.IFS(P1171&lt;=3,"Q1",P1171&lt;=6,"Q2",P1171&lt;=9,"Q3",P1171&lt;=12,"Q4")</f>
        <v>Q4</v>
      </c>
    </row>
    <row r="1172" spans="1:17" x14ac:dyDescent="0.25">
      <c r="A1172" s="8">
        <v>45987</v>
      </c>
      <c r="B1172" s="9" t="s">
        <v>60</v>
      </c>
      <c r="C1172" s="9" t="s">
        <v>61</v>
      </c>
      <c r="D1172" s="9" t="s">
        <v>62</v>
      </c>
      <c r="E1172" s="10">
        <v>2101.41</v>
      </c>
      <c r="F1172" s="10">
        <v>2108.9899999999998</v>
      </c>
      <c r="G1172" s="10">
        <v>2091.89</v>
      </c>
      <c r="H1172" s="10">
        <v>2093.5700000000002</v>
      </c>
      <c r="I1172" s="11">
        <v>4454752</v>
      </c>
      <c r="J1172" s="10">
        <v>2930998000000</v>
      </c>
      <c r="K1172" s="30">
        <f t="shared" si="108"/>
        <v>-0.37308283485848509</v>
      </c>
      <c r="L1172" s="31">
        <f t="shared" si="109"/>
        <v>17.099999999999909</v>
      </c>
      <c r="M1172" s="30">
        <f t="shared" si="110"/>
        <v>8.1373934643881544E-3</v>
      </c>
      <c r="N1172" s="20" t="str">
        <f t="shared" si="113"/>
        <v>High volume</v>
      </c>
      <c r="O1172" s="32">
        <f t="shared" si="111"/>
        <v>2930.998</v>
      </c>
      <c r="P1172" s="20">
        <f t="shared" si="112"/>
        <v>11</v>
      </c>
      <c r="Q1172" s="20" t="str" cm="1">
        <f t="array" ref="Q1172">_xlfn.IFS(P1172&lt;=3,"Q1",P1172&lt;=6,"Q2",P1172&lt;=9,"Q3",P1172&lt;=12,"Q4")</f>
        <v>Q4</v>
      </c>
    </row>
    <row r="1173" spans="1:17" x14ac:dyDescent="0.25">
      <c r="A1173" s="14">
        <v>45987</v>
      </c>
      <c r="B1173" s="15" t="s">
        <v>65</v>
      </c>
      <c r="C1173" s="15" t="s">
        <v>66</v>
      </c>
      <c r="D1173" s="15" t="s">
        <v>67</v>
      </c>
      <c r="E1173" s="16">
        <v>224.2</v>
      </c>
      <c r="F1173" s="16">
        <v>224.34</v>
      </c>
      <c r="G1173" s="16">
        <v>221.91</v>
      </c>
      <c r="H1173" s="16">
        <v>221.94</v>
      </c>
      <c r="I1173" s="17">
        <v>3710959</v>
      </c>
      <c r="J1173" s="16">
        <v>55485000000</v>
      </c>
      <c r="K1173" s="30">
        <f t="shared" si="108"/>
        <v>-1.00802854594112</v>
      </c>
      <c r="L1173" s="31">
        <f t="shared" si="109"/>
        <v>2.4300000000000068</v>
      </c>
      <c r="M1173" s="30">
        <f t="shared" si="110"/>
        <v>1.0838537020517427E-2</v>
      </c>
      <c r="N1173" s="20" t="str">
        <f t="shared" si="113"/>
        <v>High volume</v>
      </c>
      <c r="O1173" s="32">
        <f t="shared" si="111"/>
        <v>55.484999999999999</v>
      </c>
      <c r="P1173" s="20">
        <f t="shared" si="112"/>
        <v>11</v>
      </c>
      <c r="Q1173" s="20" t="str" cm="1">
        <f t="array" ref="Q1173">_xlfn.IFS(P1173&lt;=3,"Q1",P1173&lt;=6,"Q2",P1173&lt;=9,"Q3",P1173&lt;=12,"Q4")</f>
        <v>Q4</v>
      </c>
    </row>
    <row r="1174" spans="1:17" x14ac:dyDescent="0.25">
      <c r="A1174" s="8">
        <v>45987</v>
      </c>
      <c r="B1174" s="9" t="s">
        <v>69</v>
      </c>
      <c r="C1174" s="9" t="s">
        <v>70</v>
      </c>
      <c r="D1174" s="9" t="s">
        <v>71</v>
      </c>
      <c r="E1174" s="10">
        <v>590.74</v>
      </c>
      <c r="F1174" s="10">
        <v>591.52</v>
      </c>
      <c r="G1174" s="10">
        <v>588.79999999999995</v>
      </c>
      <c r="H1174" s="10">
        <v>589.04999999999995</v>
      </c>
      <c r="I1174" s="11">
        <v>4324711</v>
      </c>
      <c r="J1174" s="10">
        <v>471240000000</v>
      </c>
      <c r="K1174" s="30">
        <f t="shared" si="108"/>
        <v>-0.28608186342554331</v>
      </c>
      <c r="L1174" s="31">
        <f t="shared" si="109"/>
        <v>2.7200000000000273</v>
      </c>
      <c r="M1174" s="30">
        <f t="shared" si="110"/>
        <v>4.6043944882689968E-3</v>
      </c>
      <c r="N1174" s="20" t="str">
        <f t="shared" si="113"/>
        <v>High volume</v>
      </c>
      <c r="O1174" s="32">
        <f t="shared" si="111"/>
        <v>471.24</v>
      </c>
      <c r="P1174" s="20">
        <f t="shared" si="112"/>
        <v>11</v>
      </c>
      <c r="Q1174" s="20" t="str" cm="1">
        <f t="array" ref="Q1174">_xlfn.IFS(P1174&lt;=3,"Q1",P1174&lt;=6,"Q2",P1174&lt;=9,"Q3",P1174&lt;=12,"Q4")</f>
        <v>Q4</v>
      </c>
    </row>
    <row r="1175" spans="1:17" x14ac:dyDescent="0.25">
      <c r="A1175" s="14">
        <v>45987</v>
      </c>
      <c r="B1175" s="15" t="s">
        <v>73</v>
      </c>
      <c r="C1175" s="15" t="s">
        <v>74</v>
      </c>
      <c r="D1175" s="15" t="s">
        <v>75</v>
      </c>
      <c r="E1175" s="16">
        <v>71.400000000000006</v>
      </c>
      <c r="F1175" s="16">
        <v>71.569999999999993</v>
      </c>
      <c r="G1175" s="16">
        <v>71.099999999999994</v>
      </c>
      <c r="H1175" s="16">
        <v>71.319999999999993</v>
      </c>
      <c r="I1175" s="17">
        <v>504795</v>
      </c>
      <c r="J1175" s="16">
        <v>15690400000</v>
      </c>
      <c r="K1175" s="30">
        <f t="shared" si="108"/>
        <v>-0.11204481792718839</v>
      </c>
      <c r="L1175" s="31">
        <f t="shared" si="109"/>
        <v>0.46999999999999886</v>
      </c>
      <c r="M1175" s="30">
        <f t="shared" si="110"/>
        <v>6.5826330532212721E-3</v>
      </c>
      <c r="N1175" s="20" t="str">
        <f t="shared" si="113"/>
        <v>Normal</v>
      </c>
      <c r="O1175" s="32">
        <f t="shared" si="111"/>
        <v>15.6904</v>
      </c>
      <c r="P1175" s="20">
        <f t="shared" si="112"/>
        <v>11</v>
      </c>
      <c r="Q1175" s="20" t="str" cm="1">
        <f t="array" ref="Q1175">_xlfn.IFS(P1175&lt;=3,"Q1",P1175&lt;=6,"Q2",P1175&lt;=9,"Q3",P1175&lt;=12,"Q4")</f>
        <v>Q4</v>
      </c>
    </row>
    <row r="1176" spans="1:17" x14ac:dyDescent="0.25">
      <c r="A1176" s="8">
        <v>45987</v>
      </c>
      <c r="B1176" s="9" t="s">
        <v>76</v>
      </c>
      <c r="C1176" s="9" t="s">
        <v>77</v>
      </c>
      <c r="D1176" s="9" t="s">
        <v>75</v>
      </c>
      <c r="E1176" s="10">
        <v>157.71</v>
      </c>
      <c r="F1176" s="10">
        <v>157.91999999999999</v>
      </c>
      <c r="G1176" s="10">
        <v>156.44</v>
      </c>
      <c r="H1176" s="10">
        <v>156.71</v>
      </c>
      <c r="I1176" s="11">
        <v>3407312</v>
      </c>
      <c r="J1176" s="10">
        <v>31342000000</v>
      </c>
      <c r="K1176" s="30">
        <f t="shared" si="108"/>
        <v>-0.6340752013188764</v>
      </c>
      <c r="L1176" s="31">
        <f t="shared" si="109"/>
        <v>1.4799999999999898</v>
      </c>
      <c r="M1176" s="30">
        <f t="shared" si="110"/>
        <v>9.3843129795193065E-3</v>
      </c>
      <c r="N1176" s="20" t="str">
        <f t="shared" si="113"/>
        <v>High volume</v>
      </c>
      <c r="O1176" s="32">
        <f t="shared" si="111"/>
        <v>31.341999999999999</v>
      </c>
      <c r="P1176" s="20">
        <f t="shared" si="112"/>
        <v>11</v>
      </c>
      <c r="Q1176" s="20" t="str" cm="1">
        <f t="array" ref="Q1176">_xlfn.IFS(P1176&lt;=3,"Q1",P1176&lt;=6,"Q2",P1176&lt;=9,"Q3",P1176&lt;=12,"Q4")</f>
        <v>Q4</v>
      </c>
    </row>
    <row r="1177" spans="1:17" x14ac:dyDescent="0.25">
      <c r="A1177" s="14">
        <v>45988</v>
      </c>
      <c r="B1177" s="15" t="s">
        <v>60</v>
      </c>
      <c r="C1177" s="15" t="s">
        <v>61</v>
      </c>
      <c r="D1177" s="15" t="s">
        <v>62</v>
      </c>
      <c r="E1177" s="16">
        <v>2131.4299999999998</v>
      </c>
      <c r="F1177" s="16">
        <v>2150.0300000000002</v>
      </c>
      <c r="G1177" s="16">
        <v>2112.41</v>
      </c>
      <c r="H1177" s="16">
        <v>2112.46</v>
      </c>
      <c r="I1177" s="17">
        <v>893062</v>
      </c>
      <c r="J1177" s="16">
        <v>2957444000000</v>
      </c>
      <c r="K1177" s="30">
        <f t="shared" si="108"/>
        <v>-0.89001280830239804</v>
      </c>
      <c r="L1177" s="31">
        <f t="shared" si="109"/>
        <v>37.620000000000346</v>
      </c>
      <c r="M1177" s="30">
        <f t="shared" si="110"/>
        <v>1.7650122218416907E-2</v>
      </c>
      <c r="N1177" s="20" t="str">
        <f t="shared" si="113"/>
        <v>Normal</v>
      </c>
      <c r="O1177" s="32">
        <f t="shared" si="111"/>
        <v>2957.444</v>
      </c>
      <c r="P1177" s="20">
        <f t="shared" si="112"/>
        <v>11</v>
      </c>
      <c r="Q1177" s="20" t="str" cm="1">
        <f t="array" ref="Q1177">_xlfn.IFS(P1177&lt;=3,"Q1",P1177&lt;=6,"Q2",P1177&lt;=9,"Q3",P1177&lt;=12,"Q4")</f>
        <v>Q4</v>
      </c>
    </row>
    <row r="1178" spans="1:17" x14ac:dyDescent="0.25">
      <c r="A1178" s="8">
        <v>45988</v>
      </c>
      <c r="B1178" s="9" t="s">
        <v>65</v>
      </c>
      <c r="C1178" s="9" t="s">
        <v>66</v>
      </c>
      <c r="D1178" s="9" t="s">
        <v>67</v>
      </c>
      <c r="E1178" s="10">
        <v>218.16</v>
      </c>
      <c r="F1178" s="10">
        <v>219.93</v>
      </c>
      <c r="G1178" s="10">
        <v>216.72</v>
      </c>
      <c r="H1178" s="10">
        <v>219.14</v>
      </c>
      <c r="I1178" s="11">
        <v>4850275</v>
      </c>
      <c r="J1178" s="10">
        <v>54785000000</v>
      </c>
      <c r="K1178" s="30">
        <f t="shared" si="108"/>
        <v>0.44921158782544451</v>
      </c>
      <c r="L1178" s="31">
        <f t="shared" si="109"/>
        <v>3.210000000000008</v>
      </c>
      <c r="M1178" s="30">
        <f t="shared" si="110"/>
        <v>1.4713971397139751E-2</v>
      </c>
      <c r="N1178" s="20" t="str">
        <f t="shared" si="113"/>
        <v>High volume</v>
      </c>
      <c r="O1178" s="32">
        <f t="shared" si="111"/>
        <v>54.784999999999997</v>
      </c>
      <c r="P1178" s="20">
        <f t="shared" si="112"/>
        <v>11</v>
      </c>
      <c r="Q1178" s="20" t="str" cm="1">
        <f t="array" ref="Q1178">_xlfn.IFS(P1178&lt;=3,"Q1",P1178&lt;=6,"Q2",P1178&lt;=9,"Q3",P1178&lt;=12,"Q4")</f>
        <v>Q4</v>
      </c>
    </row>
    <row r="1179" spans="1:17" x14ac:dyDescent="0.25">
      <c r="A1179" s="14">
        <v>45988</v>
      </c>
      <c r="B1179" s="15" t="s">
        <v>69</v>
      </c>
      <c r="C1179" s="15" t="s">
        <v>70</v>
      </c>
      <c r="D1179" s="15" t="s">
        <v>71</v>
      </c>
      <c r="E1179" s="16">
        <v>587.74</v>
      </c>
      <c r="F1179" s="16">
        <v>590.59</v>
      </c>
      <c r="G1179" s="16">
        <v>586.28</v>
      </c>
      <c r="H1179" s="16">
        <v>589.23</v>
      </c>
      <c r="I1179" s="17">
        <v>3116011</v>
      </c>
      <c r="J1179" s="16">
        <v>471384000000</v>
      </c>
      <c r="K1179" s="30">
        <f t="shared" si="108"/>
        <v>0.25351345833191702</v>
      </c>
      <c r="L1179" s="31">
        <f t="shared" si="109"/>
        <v>4.3100000000000591</v>
      </c>
      <c r="M1179" s="30">
        <f t="shared" si="110"/>
        <v>7.3331745329568501E-3</v>
      </c>
      <c r="N1179" s="20" t="str">
        <f t="shared" si="113"/>
        <v>High volume</v>
      </c>
      <c r="O1179" s="32">
        <f t="shared" si="111"/>
        <v>471.38400000000001</v>
      </c>
      <c r="P1179" s="20">
        <f t="shared" si="112"/>
        <v>11</v>
      </c>
      <c r="Q1179" s="20" t="str" cm="1">
        <f t="array" ref="Q1179">_xlfn.IFS(P1179&lt;=3,"Q1",P1179&lt;=6,"Q2",P1179&lt;=9,"Q3",P1179&lt;=12,"Q4")</f>
        <v>Q4</v>
      </c>
    </row>
    <row r="1180" spans="1:17" x14ac:dyDescent="0.25">
      <c r="A1180" s="8">
        <v>45988</v>
      </c>
      <c r="B1180" s="9" t="s">
        <v>73</v>
      </c>
      <c r="C1180" s="9" t="s">
        <v>74</v>
      </c>
      <c r="D1180" s="9" t="s">
        <v>75</v>
      </c>
      <c r="E1180" s="10">
        <v>71.3</v>
      </c>
      <c r="F1180" s="10">
        <v>71.489999999999995</v>
      </c>
      <c r="G1180" s="10">
        <v>70.5</v>
      </c>
      <c r="H1180" s="10">
        <v>71.38</v>
      </c>
      <c r="I1180" s="11">
        <v>1230854</v>
      </c>
      <c r="J1180" s="10">
        <v>15703600000</v>
      </c>
      <c r="K1180" s="30">
        <f t="shared" si="108"/>
        <v>0.11220196353435948</v>
      </c>
      <c r="L1180" s="31">
        <f t="shared" si="109"/>
        <v>0.98999999999999488</v>
      </c>
      <c r="M1180" s="30">
        <f t="shared" si="110"/>
        <v>1.3884992987377208E-2</v>
      </c>
      <c r="N1180" s="20" t="str">
        <f t="shared" si="113"/>
        <v>Normal</v>
      </c>
      <c r="O1180" s="32">
        <f t="shared" si="111"/>
        <v>15.7036</v>
      </c>
      <c r="P1180" s="20">
        <f t="shared" si="112"/>
        <v>11</v>
      </c>
      <c r="Q1180" s="20" t="str" cm="1">
        <f t="array" ref="Q1180">_xlfn.IFS(P1180&lt;=3,"Q1",P1180&lt;=6,"Q2",P1180&lt;=9,"Q3",P1180&lt;=12,"Q4")</f>
        <v>Q4</v>
      </c>
    </row>
    <row r="1181" spans="1:17" x14ac:dyDescent="0.25">
      <c r="A1181" s="14">
        <v>45988</v>
      </c>
      <c r="B1181" s="15" t="s">
        <v>76</v>
      </c>
      <c r="C1181" s="15" t="s">
        <v>77</v>
      </c>
      <c r="D1181" s="15" t="s">
        <v>75</v>
      </c>
      <c r="E1181" s="16">
        <v>155.55000000000001</v>
      </c>
      <c r="F1181" s="16">
        <v>156.58000000000001</v>
      </c>
      <c r="G1181" s="16">
        <v>154.62</v>
      </c>
      <c r="H1181" s="16">
        <v>154.69999999999999</v>
      </c>
      <c r="I1181" s="17">
        <v>3373862</v>
      </c>
      <c r="J1181" s="16">
        <v>30940000000</v>
      </c>
      <c r="K1181" s="30">
        <f t="shared" si="108"/>
        <v>-0.54644808743170858</v>
      </c>
      <c r="L1181" s="31">
        <f t="shared" si="109"/>
        <v>1.960000000000008</v>
      </c>
      <c r="M1181" s="30">
        <f t="shared" si="110"/>
        <v>1.2600450016072053E-2</v>
      </c>
      <c r="N1181" s="20" t="str">
        <f t="shared" si="113"/>
        <v>High volume</v>
      </c>
      <c r="O1181" s="32">
        <f t="shared" si="111"/>
        <v>30.94</v>
      </c>
      <c r="P1181" s="20">
        <f t="shared" si="112"/>
        <v>11</v>
      </c>
      <c r="Q1181" s="20" t="str" cm="1">
        <f t="array" ref="Q1181">_xlfn.IFS(P1181&lt;=3,"Q1",P1181&lt;=6,"Q2",P1181&lt;=9,"Q3",P1181&lt;=12,"Q4")</f>
        <v>Q4</v>
      </c>
    </row>
    <row r="1182" spans="1:17" x14ac:dyDescent="0.25">
      <c r="A1182" s="8">
        <v>45989</v>
      </c>
      <c r="B1182" s="9" t="s">
        <v>60</v>
      </c>
      <c r="C1182" s="9" t="s">
        <v>61</v>
      </c>
      <c r="D1182" s="9" t="s">
        <v>62</v>
      </c>
      <c r="E1182" s="10">
        <v>2131.2199999999998</v>
      </c>
      <c r="F1182" s="10">
        <v>2150.67</v>
      </c>
      <c r="G1182" s="10">
        <v>2106.7600000000002</v>
      </c>
      <c r="H1182" s="10">
        <v>2115.75</v>
      </c>
      <c r="I1182" s="11">
        <v>3109593</v>
      </c>
      <c r="J1182" s="10">
        <v>2962050000000</v>
      </c>
      <c r="K1182" s="30">
        <f t="shared" si="108"/>
        <v>-0.72587532023910251</v>
      </c>
      <c r="L1182" s="31">
        <f t="shared" si="109"/>
        <v>43.909999999999854</v>
      </c>
      <c r="M1182" s="30">
        <f t="shared" si="110"/>
        <v>2.0603222567355719E-2</v>
      </c>
      <c r="N1182" s="20" t="str">
        <f t="shared" si="113"/>
        <v>High volume</v>
      </c>
      <c r="O1182" s="32">
        <f t="shared" si="111"/>
        <v>2962.05</v>
      </c>
      <c r="P1182" s="20">
        <f t="shared" si="112"/>
        <v>11</v>
      </c>
      <c r="Q1182" s="20" t="str" cm="1">
        <f t="array" ref="Q1182">_xlfn.IFS(P1182&lt;=3,"Q1",P1182&lt;=6,"Q2",P1182&lt;=9,"Q3",P1182&lt;=12,"Q4")</f>
        <v>Q4</v>
      </c>
    </row>
    <row r="1183" spans="1:17" x14ac:dyDescent="0.25">
      <c r="A1183" s="14">
        <v>45989</v>
      </c>
      <c r="B1183" s="15" t="s">
        <v>65</v>
      </c>
      <c r="C1183" s="15" t="s">
        <v>66</v>
      </c>
      <c r="D1183" s="15" t="s">
        <v>67</v>
      </c>
      <c r="E1183" s="16">
        <v>221.3</v>
      </c>
      <c r="F1183" s="16">
        <v>221.36</v>
      </c>
      <c r="G1183" s="16">
        <v>220.43</v>
      </c>
      <c r="H1183" s="16">
        <v>220.87</v>
      </c>
      <c r="I1183" s="17">
        <v>2059879</v>
      </c>
      <c r="J1183" s="16">
        <v>55217500000</v>
      </c>
      <c r="K1183" s="30">
        <f t="shared" si="108"/>
        <v>-0.19430637144148522</v>
      </c>
      <c r="L1183" s="31">
        <f t="shared" si="109"/>
        <v>0.93000000000000682</v>
      </c>
      <c r="M1183" s="30">
        <f t="shared" si="110"/>
        <v>4.2024401265251098E-3</v>
      </c>
      <c r="N1183" s="20" t="str">
        <f t="shared" si="113"/>
        <v>High volume</v>
      </c>
      <c r="O1183" s="32">
        <f t="shared" si="111"/>
        <v>55.217500000000001</v>
      </c>
      <c r="P1183" s="20">
        <f t="shared" si="112"/>
        <v>11</v>
      </c>
      <c r="Q1183" s="20" t="str" cm="1">
        <f t="array" ref="Q1183">_xlfn.IFS(P1183&lt;=3,"Q1",P1183&lt;=6,"Q2",P1183&lt;=9,"Q3",P1183&lt;=12,"Q4")</f>
        <v>Q4</v>
      </c>
    </row>
    <row r="1184" spans="1:17" x14ac:dyDescent="0.25">
      <c r="A1184" s="8">
        <v>45989</v>
      </c>
      <c r="B1184" s="9" t="s">
        <v>69</v>
      </c>
      <c r="C1184" s="9" t="s">
        <v>70</v>
      </c>
      <c r="D1184" s="9" t="s">
        <v>71</v>
      </c>
      <c r="E1184" s="10">
        <v>589.65</v>
      </c>
      <c r="F1184" s="10">
        <v>597.63</v>
      </c>
      <c r="G1184" s="10">
        <v>585.33000000000004</v>
      </c>
      <c r="H1184" s="10">
        <v>591.52</v>
      </c>
      <c r="I1184" s="11">
        <v>3847786</v>
      </c>
      <c r="J1184" s="10">
        <v>473216000000</v>
      </c>
      <c r="K1184" s="30">
        <f t="shared" si="108"/>
        <v>0.31713728482998466</v>
      </c>
      <c r="L1184" s="31">
        <f t="shared" si="109"/>
        <v>12.299999999999955</v>
      </c>
      <c r="M1184" s="30">
        <f t="shared" si="110"/>
        <v>2.0859832103790308E-2</v>
      </c>
      <c r="N1184" s="20" t="str">
        <f t="shared" si="113"/>
        <v>High volume</v>
      </c>
      <c r="O1184" s="32">
        <f t="shared" si="111"/>
        <v>473.21600000000001</v>
      </c>
      <c r="P1184" s="20">
        <f t="shared" si="112"/>
        <v>11</v>
      </c>
      <c r="Q1184" s="20" t="str" cm="1">
        <f t="array" ref="Q1184">_xlfn.IFS(P1184&lt;=3,"Q1",P1184&lt;=6,"Q2",P1184&lt;=9,"Q3",P1184&lt;=12,"Q4")</f>
        <v>Q4</v>
      </c>
    </row>
    <row r="1185" spans="1:17" x14ac:dyDescent="0.25">
      <c r="A1185" s="14">
        <v>45989</v>
      </c>
      <c r="B1185" s="15" t="s">
        <v>73</v>
      </c>
      <c r="C1185" s="15" t="s">
        <v>74</v>
      </c>
      <c r="D1185" s="15" t="s">
        <v>75</v>
      </c>
      <c r="E1185" s="16">
        <v>73.459999999999994</v>
      </c>
      <c r="F1185" s="16">
        <v>73.5</v>
      </c>
      <c r="G1185" s="16">
        <v>73.25</v>
      </c>
      <c r="H1185" s="16">
        <v>73.34</v>
      </c>
      <c r="I1185" s="17">
        <v>4378766</v>
      </c>
      <c r="J1185" s="16">
        <v>16134800000</v>
      </c>
      <c r="K1185" s="30">
        <f t="shared" si="108"/>
        <v>-0.16335420637080092</v>
      </c>
      <c r="L1185" s="31">
        <f t="shared" si="109"/>
        <v>0.25</v>
      </c>
      <c r="M1185" s="30">
        <f t="shared" si="110"/>
        <v>3.4032126327252928E-3</v>
      </c>
      <c r="N1185" s="20" t="str">
        <f t="shared" si="113"/>
        <v>High volume</v>
      </c>
      <c r="O1185" s="32">
        <f t="shared" si="111"/>
        <v>16.134799999999998</v>
      </c>
      <c r="P1185" s="20">
        <f t="shared" si="112"/>
        <v>11</v>
      </c>
      <c r="Q1185" s="20" t="str" cm="1">
        <f t="array" ref="Q1185">_xlfn.IFS(P1185&lt;=3,"Q1",P1185&lt;=6,"Q2",P1185&lt;=9,"Q3",P1185&lt;=12,"Q4")</f>
        <v>Q4</v>
      </c>
    </row>
    <row r="1186" spans="1:17" x14ac:dyDescent="0.25">
      <c r="A1186" s="8">
        <v>45989</v>
      </c>
      <c r="B1186" s="9" t="s">
        <v>76</v>
      </c>
      <c r="C1186" s="9" t="s">
        <v>77</v>
      </c>
      <c r="D1186" s="9" t="s">
        <v>75</v>
      </c>
      <c r="E1186" s="10">
        <v>150.37</v>
      </c>
      <c r="F1186" s="10">
        <v>150.38999999999999</v>
      </c>
      <c r="G1186" s="10">
        <v>148.91</v>
      </c>
      <c r="H1186" s="10">
        <v>150.13</v>
      </c>
      <c r="I1186" s="11">
        <v>2751691</v>
      </c>
      <c r="J1186" s="10">
        <v>30026000000</v>
      </c>
      <c r="K1186" s="30">
        <f t="shared" si="108"/>
        <v>-0.15960630444903179</v>
      </c>
      <c r="L1186" s="31">
        <f t="shared" si="109"/>
        <v>1.4799999999999898</v>
      </c>
      <c r="M1186" s="30">
        <f t="shared" si="110"/>
        <v>9.8423887743565187E-3</v>
      </c>
      <c r="N1186" s="20" t="str">
        <f t="shared" si="113"/>
        <v>High volume</v>
      </c>
      <c r="O1186" s="32">
        <f t="shared" si="111"/>
        <v>30.026</v>
      </c>
      <c r="P1186" s="20">
        <f t="shared" si="112"/>
        <v>11</v>
      </c>
      <c r="Q1186" s="20" t="str" cm="1">
        <f t="array" ref="Q1186">_xlfn.IFS(P1186&lt;=3,"Q1",P1186&lt;=6,"Q2",P1186&lt;=9,"Q3",P1186&lt;=12,"Q4")</f>
        <v>Q4</v>
      </c>
    </row>
    <row r="1187" spans="1:17" x14ac:dyDescent="0.25">
      <c r="A1187" s="14">
        <v>45992</v>
      </c>
      <c r="B1187" s="15" t="s">
        <v>60</v>
      </c>
      <c r="C1187" s="15" t="s">
        <v>61</v>
      </c>
      <c r="D1187" s="15" t="s">
        <v>62</v>
      </c>
      <c r="E1187" s="16">
        <v>2123.46</v>
      </c>
      <c r="F1187" s="16">
        <v>2139</v>
      </c>
      <c r="G1187" s="16">
        <v>2118.62</v>
      </c>
      <c r="H1187" s="16">
        <v>2132.34</v>
      </c>
      <c r="I1187" s="17">
        <v>850524</v>
      </c>
      <c r="J1187" s="16">
        <v>2985276000000</v>
      </c>
      <c r="K1187" s="30">
        <f t="shared" si="108"/>
        <v>0.41818541437089035</v>
      </c>
      <c r="L1187" s="31">
        <f t="shared" si="109"/>
        <v>20.380000000000109</v>
      </c>
      <c r="M1187" s="30">
        <f t="shared" si="110"/>
        <v>9.5975436316201434E-3</v>
      </c>
      <c r="N1187" s="20" t="str">
        <f t="shared" si="113"/>
        <v>Normal</v>
      </c>
      <c r="O1187" s="32">
        <f t="shared" si="111"/>
        <v>2985.2759999999998</v>
      </c>
      <c r="P1187" s="20">
        <f t="shared" si="112"/>
        <v>12</v>
      </c>
      <c r="Q1187" s="20" t="str" cm="1">
        <f t="array" ref="Q1187">_xlfn.IFS(P1187&lt;=3,"Q1",P1187&lt;=6,"Q2",P1187&lt;=9,"Q3",P1187&lt;=12,"Q4")</f>
        <v>Q4</v>
      </c>
    </row>
    <row r="1188" spans="1:17" x14ac:dyDescent="0.25">
      <c r="A1188" s="8">
        <v>45992</v>
      </c>
      <c r="B1188" s="9" t="s">
        <v>65</v>
      </c>
      <c r="C1188" s="9" t="s">
        <v>66</v>
      </c>
      <c r="D1188" s="9" t="s">
        <v>67</v>
      </c>
      <c r="E1188" s="10">
        <v>223.51</v>
      </c>
      <c r="F1188" s="10">
        <v>226.95</v>
      </c>
      <c r="G1188" s="10">
        <v>221.99</v>
      </c>
      <c r="H1188" s="10">
        <v>222.88</v>
      </c>
      <c r="I1188" s="11">
        <v>945480</v>
      </c>
      <c r="J1188" s="10">
        <v>55720000000</v>
      </c>
      <c r="K1188" s="30">
        <f t="shared" si="108"/>
        <v>-0.28186658315064</v>
      </c>
      <c r="L1188" s="31">
        <f t="shared" si="109"/>
        <v>4.9599999999999795</v>
      </c>
      <c r="M1188" s="30">
        <f t="shared" si="110"/>
        <v>2.2191400832177442E-2</v>
      </c>
      <c r="N1188" s="20" t="str">
        <f t="shared" si="113"/>
        <v>Normal</v>
      </c>
      <c r="O1188" s="32">
        <f t="shared" si="111"/>
        <v>55.72</v>
      </c>
      <c r="P1188" s="20">
        <f t="shared" si="112"/>
        <v>12</v>
      </c>
      <c r="Q1188" s="20" t="str" cm="1">
        <f t="array" ref="Q1188">_xlfn.IFS(P1188&lt;=3,"Q1",P1188&lt;=6,"Q2",P1188&lt;=9,"Q3",P1188&lt;=12,"Q4")</f>
        <v>Q4</v>
      </c>
    </row>
    <row r="1189" spans="1:17" x14ac:dyDescent="0.25">
      <c r="A1189" s="14">
        <v>45992</v>
      </c>
      <c r="B1189" s="15" t="s">
        <v>69</v>
      </c>
      <c r="C1189" s="15" t="s">
        <v>70</v>
      </c>
      <c r="D1189" s="15" t="s">
        <v>71</v>
      </c>
      <c r="E1189" s="16">
        <v>596.24</v>
      </c>
      <c r="F1189" s="16">
        <v>599.20000000000005</v>
      </c>
      <c r="G1189" s="16">
        <v>593.80999999999995</v>
      </c>
      <c r="H1189" s="16">
        <v>597.57000000000005</v>
      </c>
      <c r="I1189" s="17">
        <v>4463507</v>
      </c>
      <c r="J1189" s="16">
        <v>478056000000</v>
      </c>
      <c r="K1189" s="30">
        <f t="shared" si="108"/>
        <v>0.22306453777003235</v>
      </c>
      <c r="L1189" s="31">
        <f t="shared" si="109"/>
        <v>5.3900000000001</v>
      </c>
      <c r="M1189" s="30">
        <f t="shared" si="110"/>
        <v>9.0399838991012012E-3</v>
      </c>
      <c r="N1189" s="20" t="str">
        <f t="shared" si="113"/>
        <v>High volume</v>
      </c>
      <c r="O1189" s="32">
        <f t="shared" si="111"/>
        <v>478.05599999999998</v>
      </c>
      <c r="P1189" s="20">
        <f t="shared" si="112"/>
        <v>12</v>
      </c>
      <c r="Q1189" s="20" t="str" cm="1">
        <f t="array" ref="Q1189">_xlfn.IFS(P1189&lt;=3,"Q1",P1189&lt;=6,"Q2",P1189&lt;=9,"Q3",P1189&lt;=12,"Q4")</f>
        <v>Q4</v>
      </c>
    </row>
    <row r="1190" spans="1:17" x14ac:dyDescent="0.25">
      <c r="A1190" s="8">
        <v>45992</v>
      </c>
      <c r="B1190" s="9" t="s">
        <v>73</v>
      </c>
      <c r="C1190" s="9" t="s">
        <v>74</v>
      </c>
      <c r="D1190" s="9" t="s">
        <v>75</v>
      </c>
      <c r="E1190" s="10">
        <v>73.790000000000006</v>
      </c>
      <c r="F1190" s="10">
        <v>74.11</v>
      </c>
      <c r="G1190" s="10">
        <v>73.67</v>
      </c>
      <c r="H1190" s="10">
        <v>73.849999999999994</v>
      </c>
      <c r="I1190" s="11">
        <v>4841885</v>
      </c>
      <c r="J1190" s="10">
        <v>16247000000</v>
      </c>
      <c r="K1190" s="30">
        <f t="shared" si="108"/>
        <v>8.1311830871375598E-2</v>
      </c>
      <c r="L1190" s="31">
        <f t="shared" si="109"/>
        <v>0.43999999999999773</v>
      </c>
      <c r="M1190" s="30">
        <f t="shared" si="110"/>
        <v>5.9628675972353664E-3</v>
      </c>
      <c r="N1190" s="20" t="str">
        <f t="shared" si="113"/>
        <v>High volume</v>
      </c>
      <c r="O1190" s="32">
        <f t="shared" si="111"/>
        <v>16.247</v>
      </c>
      <c r="P1190" s="20">
        <f t="shared" si="112"/>
        <v>12</v>
      </c>
      <c r="Q1190" s="20" t="str" cm="1">
        <f t="array" ref="Q1190">_xlfn.IFS(P1190&lt;=3,"Q1",P1190&lt;=6,"Q2",P1190&lt;=9,"Q3",P1190&lt;=12,"Q4")</f>
        <v>Q4</v>
      </c>
    </row>
    <row r="1191" spans="1:17" x14ac:dyDescent="0.25">
      <c r="A1191" s="14">
        <v>45992</v>
      </c>
      <c r="B1191" s="15" t="s">
        <v>76</v>
      </c>
      <c r="C1191" s="15" t="s">
        <v>77</v>
      </c>
      <c r="D1191" s="15" t="s">
        <v>75</v>
      </c>
      <c r="E1191" s="16">
        <v>150.02000000000001</v>
      </c>
      <c r="F1191" s="16">
        <v>151.26</v>
      </c>
      <c r="G1191" s="16">
        <v>149.44999999999999</v>
      </c>
      <c r="H1191" s="16">
        <v>150.21</v>
      </c>
      <c r="I1191" s="17">
        <v>480206</v>
      </c>
      <c r="J1191" s="16">
        <v>30042000000</v>
      </c>
      <c r="K1191" s="30">
        <f t="shared" si="108"/>
        <v>0.12664978002932789</v>
      </c>
      <c r="L1191" s="31">
        <f t="shared" si="109"/>
        <v>1.8100000000000023</v>
      </c>
      <c r="M1191" s="30">
        <f t="shared" si="110"/>
        <v>1.2065057992267711E-2</v>
      </c>
      <c r="N1191" s="20" t="str">
        <f t="shared" si="113"/>
        <v>Normal</v>
      </c>
      <c r="O1191" s="32">
        <f t="shared" si="111"/>
        <v>30.042000000000002</v>
      </c>
      <c r="P1191" s="20">
        <f t="shared" si="112"/>
        <v>12</v>
      </c>
      <c r="Q1191" s="20" t="str" cm="1">
        <f t="array" ref="Q1191">_xlfn.IFS(P1191&lt;=3,"Q1",P1191&lt;=6,"Q2",P1191&lt;=9,"Q3",P1191&lt;=12,"Q4")</f>
        <v>Q4</v>
      </c>
    </row>
    <row r="1192" spans="1:17" x14ac:dyDescent="0.25">
      <c r="A1192" s="8">
        <v>45993</v>
      </c>
      <c r="B1192" s="9" t="s">
        <v>60</v>
      </c>
      <c r="C1192" s="9" t="s">
        <v>61</v>
      </c>
      <c r="D1192" s="9" t="s">
        <v>62</v>
      </c>
      <c r="E1192" s="10">
        <v>2129.79</v>
      </c>
      <c r="F1192" s="10">
        <v>2135.73</v>
      </c>
      <c r="G1192" s="10">
        <v>2121.21</v>
      </c>
      <c r="H1192" s="10">
        <v>2134.9699999999998</v>
      </c>
      <c r="I1192" s="11">
        <v>3117543</v>
      </c>
      <c r="J1192" s="10">
        <v>2988958000000</v>
      </c>
      <c r="K1192" s="30">
        <f t="shared" si="108"/>
        <v>0.24321646735123351</v>
      </c>
      <c r="L1192" s="31">
        <f t="shared" si="109"/>
        <v>14.519999999999982</v>
      </c>
      <c r="M1192" s="30">
        <f t="shared" si="110"/>
        <v>6.8175735635907682E-3</v>
      </c>
      <c r="N1192" s="20" t="str">
        <f t="shared" si="113"/>
        <v>High volume</v>
      </c>
      <c r="O1192" s="32">
        <f t="shared" si="111"/>
        <v>2988.9580000000001</v>
      </c>
      <c r="P1192" s="20">
        <f t="shared" si="112"/>
        <v>12</v>
      </c>
      <c r="Q1192" s="20" t="str" cm="1">
        <f t="array" ref="Q1192">_xlfn.IFS(P1192&lt;=3,"Q1",P1192&lt;=6,"Q2",P1192&lt;=9,"Q3",P1192&lt;=12,"Q4")</f>
        <v>Q4</v>
      </c>
    </row>
    <row r="1193" spans="1:17" x14ac:dyDescent="0.25">
      <c r="A1193" s="14">
        <v>45993</v>
      </c>
      <c r="B1193" s="15" t="s">
        <v>65</v>
      </c>
      <c r="C1193" s="15" t="s">
        <v>66</v>
      </c>
      <c r="D1193" s="15" t="s">
        <v>67</v>
      </c>
      <c r="E1193" s="16">
        <v>221.17</v>
      </c>
      <c r="F1193" s="16">
        <v>222.55</v>
      </c>
      <c r="G1193" s="16">
        <v>220.32</v>
      </c>
      <c r="H1193" s="16">
        <v>221.76</v>
      </c>
      <c r="I1193" s="17">
        <v>3037256</v>
      </c>
      <c r="J1193" s="16">
        <v>55440000000</v>
      </c>
      <c r="K1193" s="30">
        <f t="shared" si="108"/>
        <v>0.26676312338924968</v>
      </c>
      <c r="L1193" s="31">
        <f t="shared" si="109"/>
        <v>2.2300000000000182</v>
      </c>
      <c r="M1193" s="30">
        <f t="shared" si="110"/>
        <v>1.008274178233946E-2</v>
      </c>
      <c r="N1193" s="20" t="str">
        <f t="shared" si="113"/>
        <v>High volume</v>
      </c>
      <c r="O1193" s="32">
        <f t="shared" si="111"/>
        <v>55.44</v>
      </c>
      <c r="P1193" s="20">
        <f t="shared" si="112"/>
        <v>12</v>
      </c>
      <c r="Q1193" s="20" t="str" cm="1">
        <f t="array" ref="Q1193">_xlfn.IFS(P1193&lt;=3,"Q1",P1193&lt;=6,"Q2",P1193&lt;=9,"Q3",P1193&lt;=12,"Q4")</f>
        <v>Q4</v>
      </c>
    </row>
    <row r="1194" spans="1:17" x14ac:dyDescent="0.25">
      <c r="A1194" s="8">
        <v>45993</v>
      </c>
      <c r="B1194" s="9" t="s">
        <v>69</v>
      </c>
      <c r="C1194" s="9" t="s">
        <v>70</v>
      </c>
      <c r="D1194" s="9" t="s">
        <v>71</v>
      </c>
      <c r="E1194" s="10">
        <v>584.47</v>
      </c>
      <c r="F1194" s="10">
        <v>585.07000000000005</v>
      </c>
      <c r="G1194" s="10">
        <v>578.67999999999995</v>
      </c>
      <c r="H1194" s="10">
        <v>581.61</v>
      </c>
      <c r="I1194" s="11">
        <v>1406912</v>
      </c>
      <c r="J1194" s="10">
        <v>465288000000</v>
      </c>
      <c r="K1194" s="30">
        <f t="shared" si="108"/>
        <v>-0.48933221551149136</v>
      </c>
      <c r="L1194" s="31">
        <f t="shared" si="109"/>
        <v>6.3900000000001</v>
      </c>
      <c r="M1194" s="30">
        <f t="shared" si="110"/>
        <v>1.0932982017896727E-2</v>
      </c>
      <c r="N1194" s="20" t="str">
        <f t="shared" si="113"/>
        <v>Normal</v>
      </c>
      <c r="O1194" s="32">
        <f t="shared" si="111"/>
        <v>465.28800000000001</v>
      </c>
      <c r="P1194" s="20">
        <f t="shared" si="112"/>
        <v>12</v>
      </c>
      <c r="Q1194" s="20" t="str" cm="1">
        <f t="array" ref="Q1194">_xlfn.IFS(P1194&lt;=3,"Q1",P1194&lt;=6,"Q2",P1194&lt;=9,"Q3",P1194&lt;=12,"Q4")</f>
        <v>Q4</v>
      </c>
    </row>
    <row r="1195" spans="1:17" x14ac:dyDescent="0.25">
      <c r="A1195" s="14">
        <v>45993</v>
      </c>
      <c r="B1195" s="15" t="s">
        <v>73</v>
      </c>
      <c r="C1195" s="15" t="s">
        <v>74</v>
      </c>
      <c r="D1195" s="15" t="s">
        <v>75</v>
      </c>
      <c r="E1195" s="16">
        <v>73.599999999999994</v>
      </c>
      <c r="F1195" s="16">
        <v>74</v>
      </c>
      <c r="G1195" s="16">
        <v>73.3</v>
      </c>
      <c r="H1195" s="16">
        <v>73.849999999999994</v>
      </c>
      <c r="I1195" s="17">
        <v>2202384</v>
      </c>
      <c r="J1195" s="16">
        <v>16247000000</v>
      </c>
      <c r="K1195" s="30">
        <f t="shared" si="108"/>
        <v>0.33967391304347827</v>
      </c>
      <c r="L1195" s="31">
        <f t="shared" si="109"/>
        <v>0.70000000000000284</v>
      </c>
      <c r="M1195" s="30">
        <f t="shared" si="110"/>
        <v>9.5108695652174301E-3</v>
      </c>
      <c r="N1195" s="20" t="str">
        <f t="shared" si="113"/>
        <v>High volume</v>
      </c>
      <c r="O1195" s="32">
        <f t="shared" si="111"/>
        <v>16.247</v>
      </c>
      <c r="P1195" s="20">
        <f t="shared" si="112"/>
        <v>12</v>
      </c>
      <c r="Q1195" s="20" t="str" cm="1">
        <f t="array" ref="Q1195">_xlfn.IFS(P1195&lt;=3,"Q1",P1195&lt;=6,"Q2",P1195&lt;=9,"Q3",P1195&lt;=12,"Q4")</f>
        <v>Q4</v>
      </c>
    </row>
    <row r="1196" spans="1:17" x14ac:dyDescent="0.25">
      <c r="A1196" s="8">
        <v>45993</v>
      </c>
      <c r="B1196" s="9" t="s">
        <v>76</v>
      </c>
      <c r="C1196" s="9" t="s">
        <v>77</v>
      </c>
      <c r="D1196" s="9" t="s">
        <v>75</v>
      </c>
      <c r="E1196" s="10">
        <v>144.28</v>
      </c>
      <c r="F1196" s="10">
        <v>144.58000000000001</v>
      </c>
      <c r="G1196" s="10">
        <v>144.24</v>
      </c>
      <c r="H1196" s="10">
        <v>144.36000000000001</v>
      </c>
      <c r="I1196" s="11">
        <v>4124588</v>
      </c>
      <c r="J1196" s="10">
        <v>28872000000</v>
      </c>
      <c r="K1196" s="30">
        <f t="shared" si="108"/>
        <v>5.54477405045831E-2</v>
      </c>
      <c r="L1196" s="31">
        <f t="shared" si="109"/>
        <v>0.34000000000000341</v>
      </c>
      <c r="M1196" s="30">
        <f t="shared" si="110"/>
        <v>2.3565289714444371E-3</v>
      </c>
      <c r="N1196" s="20" t="str">
        <f t="shared" si="113"/>
        <v>High volume</v>
      </c>
      <c r="O1196" s="32">
        <f t="shared" si="111"/>
        <v>28.872</v>
      </c>
      <c r="P1196" s="20">
        <f t="shared" si="112"/>
        <v>12</v>
      </c>
      <c r="Q1196" s="20" t="str" cm="1">
        <f t="array" ref="Q1196">_xlfn.IFS(P1196&lt;=3,"Q1",P1196&lt;=6,"Q2",P1196&lt;=9,"Q3",P1196&lt;=12,"Q4")</f>
        <v>Q4</v>
      </c>
    </row>
    <row r="1197" spans="1:17" x14ac:dyDescent="0.25">
      <c r="A1197" s="14">
        <v>45994</v>
      </c>
      <c r="B1197" s="15" t="s">
        <v>60</v>
      </c>
      <c r="C1197" s="15" t="s">
        <v>61</v>
      </c>
      <c r="D1197" s="15" t="s">
        <v>62</v>
      </c>
      <c r="E1197" s="16">
        <v>2125.5</v>
      </c>
      <c r="F1197" s="16">
        <v>2148.2199999999998</v>
      </c>
      <c r="G1197" s="16">
        <v>2119.09</v>
      </c>
      <c r="H1197" s="16">
        <v>2123.77</v>
      </c>
      <c r="I1197" s="17">
        <v>4790561</v>
      </c>
      <c r="J1197" s="16">
        <v>2973278000000</v>
      </c>
      <c r="K1197" s="30">
        <f t="shared" si="108"/>
        <v>-8.1392613502706102E-2</v>
      </c>
      <c r="L1197" s="31">
        <f t="shared" si="109"/>
        <v>29.129999999999654</v>
      </c>
      <c r="M1197" s="30">
        <f t="shared" si="110"/>
        <v>1.3705010585744368E-2</v>
      </c>
      <c r="N1197" s="20" t="str">
        <f t="shared" si="113"/>
        <v>High volume</v>
      </c>
      <c r="O1197" s="32">
        <f t="shared" si="111"/>
        <v>2973.2779999999998</v>
      </c>
      <c r="P1197" s="20">
        <f t="shared" si="112"/>
        <v>12</v>
      </c>
      <c r="Q1197" s="20" t="str" cm="1">
        <f t="array" ref="Q1197">_xlfn.IFS(P1197&lt;=3,"Q1",P1197&lt;=6,"Q2",P1197&lt;=9,"Q3",P1197&lt;=12,"Q4")</f>
        <v>Q4</v>
      </c>
    </row>
    <row r="1198" spans="1:17" x14ac:dyDescent="0.25">
      <c r="A1198" s="8">
        <v>45994</v>
      </c>
      <c r="B1198" s="9" t="s">
        <v>65</v>
      </c>
      <c r="C1198" s="9" t="s">
        <v>66</v>
      </c>
      <c r="D1198" s="9" t="s">
        <v>67</v>
      </c>
      <c r="E1198" s="10">
        <v>219.84</v>
      </c>
      <c r="F1198" s="10">
        <v>224.46</v>
      </c>
      <c r="G1198" s="10">
        <v>218.4</v>
      </c>
      <c r="H1198" s="10">
        <v>222.44</v>
      </c>
      <c r="I1198" s="11">
        <v>1587523</v>
      </c>
      <c r="J1198" s="10">
        <v>55610000000</v>
      </c>
      <c r="K1198" s="30">
        <f t="shared" si="108"/>
        <v>1.1826783114992696</v>
      </c>
      <c r="L1198" s="31">
        <f t="shared" si="109"/>
        <v>6.0600000000000023</v>
      </c>
      <c r="M1198" s="30">
        <f t="shared" si="110"/>
        <v>2.7565502183406122E-2</v>
      </c>
      <c r="N1198" s="20" t="str">
        <f t="shared" si="113"/>
        <v>Normal</v>
      </c>
      <c r="O1198" s="32">
        <f t="shared" si="111"/>
        <v>55.61</v>
      </c>
      <c r="P1198" s="20">
        <f t="shared" si="112"/>
        <v>12</v>
      </c>
      <c r="Q1198" s="20" t="str" cm="1">
        <f t="array" ref="Q1198">_xlfn.IFS(P1198&lt;=3,"Q1",P1198&lt;=6,"Q2",P1198&lt;=9,"Q3",P1198&lt;=12,"Q4")</f>
        <v>Q4</v>
      </c>
    </row>
    <row r="1199" spans="1:17" x14ac:dyDescent="0.25">
      <c r="A1199" s="14">
        <v>45994</v>
      </c>
      <c r="B1199" s="15" t="s">
        <v>69</v>
      </c>
      <c r="C1199" s="15" t="s">
        <v>70</v>
      </c>
      <c r="D1199" s="15" t="s">
        <v>71</v>
      </c>
      <c r="E1199" s="16">
        <v>570.38</v>
      </c>
      <c r="F1199" s="16">
        <v>571.58000000000004</v>
      </c>
      <c r="G1199" s="16">
        <v>568.45000000000005</v>
      </c>
      <c r="H1199" s="16">
        <v>571.55999999999995</v>
      </c>
      <c r="I1199" s="17">
        <v>1360936</v>
      </c>
      <c r="J1199" s="16">
        <v>457248000000</v>
      </c>
      <c r="K1199" s="30">
        <f t="shared" si="108"/>
        <v>0.2068796241102335</v>
      </c>
      <c r="L1199" s="31">
        <f t="shared" si="109"/>
        <v>3.1299999999999955</v>
      </c>
      <c r="M1199" s="30">
        <f t="shared" si="110"/>
        <v>5.4875696903818431E-3</v>
      </c>
      <c r="N1199" s="20" t="str">
        <f t="shared" si="113"/>
        <v>Normal</v>
      </c>
      <c r="O1199" s="32">
        <f t="shared" si="111"/>
        <v>457.24799999999999</v>
      </c>
      <c r="P1199" s="20">
        <f t="shared" si="112"/>
        <v>12</v>
      </c>
      <c r="Q1199" s="20" t="str" cm="1">
        <f t="array" ref="Q1199">_xlfn.IFS(P1199&lt;=3,"Q1",P1199&lt;=6,"Q2",P1199&lt;=9,"Q3",P1199&lt;=12,"Q4")</f>
        <v>Q4</v>
      </c>
    </row>
    <row r="1200" spans="1:17" x14ac:dyDescent="0.25">
      <c r="A1200" s="8">
        <v>45994</v>
      </c>
      <c r="B1200" s="9" t="s">
        <v>73</v>
      </c>
      <c r="C1200" s="9" t="s">
        <v>74</v>
      </c>
      <c r="D1200" s="9" t="s">
        <v>75</v>
      </c>
      <c r="E1200" s="10">
        <v>72.87</v>
      </c>
      <c r="F1200" s="10">
        <v>73.069999999999993</v>
      </c>
      <c r="G1200" s="10">
        <v>72.62</v>
      </c>
      <c r="H1200" s="10">
        <v>72.92</v>
      </c>
      <c r="I1200" s="11">
        <v>3184397</v>
      </c>
      <c r="J1200" s="10">
        <v>16042400000</v>
      </c>
      <c r="K1200" s="30">
        <f t="shared" si="108"/>
        <v>6.8615342390554612E-2</v>
      </c>
      <c r="L1200" s="31">
        <f t="shared" si="109"/>
        <v>0.44999999999998863</v>
      </c>
      <c r="M1200" s="30">
        <f t="shared" si="110"/>
        <v>6.1753808151501109E-3</v>
      </c>
      <c r="N1200" s="20" t="str">
        <f t="shared" si="113"/>
        <v>High volume</v>
      </c>
      <c r="O1200" s="32">
        <f t="shared" si="111"/>
        <v>16.042400000000001</v>
      </c>
      <c r="P1200" s="20">
        <f t="shared" si="112"/>
        <v>12</v>
      </c>
      <c r="Q1200" s="20" t="str" cm="1">
        <f t="array" ref="Q1200">_xlfn.IFS(P1200&lt;=3,"Q1",P1200&lt;=6,"Q2",P1200&lt;=9,"Q3",P1200&lt;=12,"Q4")</f>
        <v>Q4</v>
      </c>
    </row>
    <row r="1201" spans="1:17" x14ac:dyDescent="0.25">
      <c r="A1201" s="14">
        <v>45994</v>
      </c>
      <c r="B1201" s="15" t="s">
        <v>76</v>
      </c>
      <c r="C1201" s="15" t="s">
        <v>77</v>
      </c>
      <c r="D1201" s="15" t="s">
        <v>75</v>
      </c>
      <c r="E1201" s="16">
        <v>147.65</v>
      </c>
      <c r="F1201" s="16">
        <v>148.41999999999999</v>
      </c>
      <c r="G1201" s="16">
        <v>146.62</v>
      </c>
      <c r="H1201" s="16">
        <v>148.38</v>
      </c>
      <c r="I1201" s="17">
        <v>4776521</v>
      </c>
      <c r="J1201" s="16">
        <v>29676000000</v>
      </c>
      <c r="K1201" s="30">
        <f t="shared" si="108"/>
        <v>0.49441246190314236</v>
      </c>
      <c r="L1201" s="31">
        <f t="shared" si="109"/>
        <v>1.7999999999999829</v>
      </c>
      <c r="M1201" s="30">
        <f t="shared" si="110"/>
        <v>1.2190992211310417E-2</v>
      </c>
      <c r="N1201" s="20" t="str">
        <f t="shared" si="113"/>
        <v>High volume</v>
      </c>
      <c r="O1201" s="32">
        <f t="shared" si="111"/>
        <v>29.675999999999998</v>
      </c>
      <c r="P1201" s="20">
        <f t="shared" si="112"/>
        <v>12</v>
      </c>
      <c r="Q1201" s="20" t="str" cm="1">
        <f t="array" ref="Q1201">_xlfn.IFS(P1201&lt;=3,"Q1",P1201&lt;=6,"Q2",P1201&lt;=9,"Q3",P1201&lt;=12,"Q4")</f>
        <v>Q4</v>
      </c>
    </row>
    <row r="1202" spans="1:17" x14ac:dyDescent="0.25">
      <c r="A1202" s="8">
        <v>45995</v>
      </c>
      <c r="B1202" s="9" t="s">
        <v>60</v>
      </c>
      <c r="C1202" s="9" t="s">
        <v>61</v>
      </c>
      <c r="D1202" s="9" t="s">
        <v>62</v>
      </c>
      <c r="E1202" s="10">
        <v>2101.38</v>
      </c>
      <c r="F1202" s="10">
        <v>2137.2399999999998</v>
      </c>
      <c r="G1202" s="10">
        <v>2085.0500000000002</v>
      </c>
      <c r="H1202" s="10">
        <v>2092.64</v>
      </c>
      <c r="I1202" s="11">
        <v>4142324</v>
      </c>
      <c r="J1202" s="10">
        <v>2929696000000</v>
      </c>
      <c r="K1202" s="30">
        <f t="shared" si="108"/>
        <v>-0.41591715920015587</v>
      </c>
      <c r="L1202" s="31">
        <f t="shared" si="109"/>
        <v>52.1899999999996</v>
      </c>
      <c r="M1202" s="30">
        <f t="shared" si="110"/>
        <v>2.4836060112878013E-2</v>
      </c>
      <c r="N1202" s="20" t="str">
        <f t="shared" si="113"/>
        <v>High volume</v>
      </c>
      <c r="O1202" s="32">
        <f t="shared" si="111"/>
        <v>2929.6959999999999</v>
      </c>
      <c r="P1202" s="20">
        <f t="shared" si="112"/>
        <v>12</v>
      </c>
      <c r="Q1202" s="20" t="str" cm="1">
        <f t="array" ref="Q1202">_xlfn.IFS(P1202&lt;=3,"Q1",P1202&lt;=6,"Q2",P1202&lt;=9,"Q3",P1202&lt;=12,"Q4")</f>
        <v>Q4</v>
      </c>
    </row>
    <row r="1203" spans="1:17" x14ac:dyDescent="0.25">
      <c r="A1203" s="14">
        <v>45995</v>
      </c>
      <c r="B1203" s="15" t="s">
        <v>65</v>
      </c>
      <c r="C1203" s="15" t="s">
        <v>66</v>
      </c>
      <c r="D1203" s="15" t="s">
        <v>67</v>
      </c>
      <c r="E1203" s="16">
        <v>224.7</v>
      </c>
      <c r="F1203" s="16">
        <v>225.64</v>
      </c>
      <c r="G1203" s="16">
        <v>224.24</v>
      </c>
      <c r="H1203" s="16">
        <v>225.6</v>
      </c>
      <c r="I1203" s="17">
        <v>4881401</v>
      </c>
      <c r="J1203" s="16">
        <v>56400000000</v>
      </c>
      <c r="K1203" s="30">
        <f t="shared" si="108"/>
        <v>0.400534045393861</v>
      </c>
      <c r="L1203" s="31">
        <f t="shared" si="109"/>
        <v>1.3999999999999773</v>
      </c>
      <c r="M1203" s="30">
        <f t="shared" si="110"/>
        <v>6.2305295950154755E-3</v>
      </c>
      <c r="N1203" s="20" t="str">
        <f t="shared" si="113"/>
        <v>High volume</v>
      </c>
      <c r="O1203" s="32">
        <f t="shared" si="111"/>
        <v>56.4</v>
      </c>
      <c r="P1203" s="20">
        <f t="shared" si="112"/>
        <v>12</v>
      </c>
      <c r="Q1203" s="20" t="str" cm="1">
        <f t="array" ref="Q1203">_xlfn.IFS(P1203&lt;=3,"Q1",P1203&lt;=6,"Q2",P1203&lt;=9,"Q3",P1203&lt;=12,"Q4")</f>
        <v>Q4</v>
      </c>
    </row>
    <row r="1204" spans="1:17" x14ac:dyDescent="0.25">
      <c r="A1204" s="8">
        <v>45995</v>
      </c>
      <c r="B1204" s="9" t="s">
        <v>69</v>
      </c>
      <c r="C1204" s="9" t="s">
        <v>70</v>
      </c>
      <c r="D1204" s="9" t="s">
        <v>71</v>
      </c>
      <c r="E1204" s="10">
        <v>579.28</v>
      </c>
      <c r="F1204" s="10">
        <v>579.91</v>
      </c>
      <c r="G1204" s="10">
        <v>577.83000000000004</v>
      </c>
      <c r="H1204" s="10">
        <v>578.42999999999995</v>
      </c>
      <c r="I1204" s="11">
        <v>1533825</v>
      </c>
      <c r="J1204" s="10">
        <v>462744000000</v>
      </c>
      <c r="K1204" s="30">
        <f t="shared" si="108"/>
        <v>-0.14673387653639394</v>
      </c>
      <c r="L1204" s="31">
        <f t="shared" si="109"/>
        <v>2.0799999999999272</v>
      </c>
      <c r="M1204" s="30">
        <f t="shared" si="110"/>
        <v>3.5906642728903591E-3</v>
      </c>
      <c r="N1204" s="20" t="str">
        <f t="shared" si="113"/>
        <v>Normal</v>
      </c>
      <c r="O1204" s="32">
        <f t="shared" si="111"/>
        <v>462.74400000000003</v>
      </c>
      <c r="P1204" s="20">
        <f t="shared" si="112"/>
        <v>12</v>
      </c>
      <c r="Q1204" s="20" t="str" cm="1">
        <f t="array" ref="Q1204">_xlfn.IFS(P1204&lt;=3,"Q1",P1204&lt;=6,"Q2",P1204&lt;=9,"Q3",P1204&lt;=12,"Q4")</f>
        <v>Q4</v>
      </c>
    </row>
    <row r="1205" spans="1:17" x14ac:dyDescent="0.25">
      <c r="A1205" s="14">
        <v>45995</v>
      </c>
      <c r="B1205" s="15" t="s">
        <v>73</v>
      </c>
      <c r="C1205" s="15" t="s">
        <v>74</v>
      </c>
      <c r="D1205" s="15" t="s">
        <v>75</v>
      </c>
      <c r="E1205" s="16">
        <v>71.739999999999995</v>
      </c>
      <c r="F1205" s="16">
        <v>72.02</v>
      </c>
      <c r="G1205" s="16">
        <v>70.86</v>
      </c>
      <c r="H1205" s="16">
        <v>71.930000000000007</v>
      </c>
      <c r="I1205" s="17">
        <v>3141090</v>
      </c>
      <c r="J1205" s="16">
        <v>15824600000</v>
      </c>
      <c r="K1205" s="30">
        <f t="shared" si="108"/>
        <v>0.26484527460274876</v>
      </c>
      <c r="L1205" s="31">
        <f t="shared" si="109"/>
        <v>1.1599999999999966</v>
      </c>
      <c r="M1205" s="30">
        <f t="shared" si="110"/>
        <v>1.6169500975745703E-2</v>
      </c>
      <c r="N1205" s="20" t="str">
        <f t="shared" si="113"/>
        <v>High volume</v>
      </c>
      <c r="O1205" s="32">
        <f t="shared" si="111"/>
        <v>15.8246</v>
      </c>
      <c r="P1205" s="20">
        <f t="shared" si="112"/>
        <v>12</v>
      </c>
      <c r="Q1205" s="20" t="str" cm="1">
        <f t="array" ref="Q1205">_xlfn.IFS(P1205&lt;=3,"Q1",P1205&lt;=6,"Q2",P1205&lt;=9,"Q3",P1205&lt;=12,"Q4")</f>
        <v>Q4</v>
      </c>
    </row>
    <row r="1206" spans="1:17" x14ac:dyDescent="0.25">
      <c r="A1206" s="8">
        <v>45995</v>
      </c>
      <c r="B1206" s="9" t="s">
        <v>76</v>
      </c>
      <c r="C1206" s="9" t="s">
        <v>77</v>
      </c>
      <c r="D1206" s="9" t="s">
        <v>75</v>
      </c>
      <c r="E1206" s="10">
        <v>147.06</v>
      </c>
      <c r="F1206" s="10">
        <v>148.83000000000001</v>
      </c>
      <c r="G1206" s="10">
        <v>146.54</v>
      </c>
      <c r="H1206" s="10">
        <v>147.80000000000001</v>
      </c>
      <c r="I1206" s="11">
        <v>2884380</v>
      </c>
      <c r="J1206" s="10">
        <v>29560000000</v>
      </c>
      <c r="K1206" s="30">
        <f t="shared" si="108"/>
        <v>0.50319597443221076</v>
      </c>
      <c r="L1206" s="31">
        <f t="shared" si="109"/>
        <v>2.2900000000000205</v>
      </c>
      <c r="M1206" s="30">
        <f t="shared" si="110"/>
        <v>1.5571875424996738E-2</v>
      </c>
      <c r="N1206" s="20" t="str">
        <f t="shared" si="113"/>
        <v>High volume</v>
      </c>
      <c r="O1206" s="32">
        <f t="shared" si="111"/>
        <v>29.56</v>
      </c>
      <c r="P1206" s="20">
        <f t="shared" si="112"/>
        <v>12</v>
      </c>
      <c r="Q1206" s="20" t="str" cm="1">
        <f t="array" ref="Q1206">_xlfn.IFS(P1206&lt;=3,"Q1",P1206&lt;=6,"Q2",P1206&lt;=9,"Q3",P1206&lt;=12,"Q4")</f>
        <v>Q4</v>
      </c>
    </row>
    <row r="1207" spans="1:17" x14ac:dyDescent="0.25">
      <c r="A1207" s="14">
        <v>45996</v>
      </c>
      <c r="B1207" s="15" t="s">
        <v>60</v>
      </c>
      <c r="C1207" s="15" t="s">
        <v>61</v>
      </c>
      <c r="D1207" s="15" t="s">
        <v>62</v>
      </c>
      <c r="E1207" s="16">
        <v>2082.96</v>
      </c>
      <c r="F1207" s="16">
        <v>2105.7800000000002</v>
      </c>
      <c r="G1207" s="16">
        <v>2079.38</v>
      </c>
      <c r="H1207" s="16">
        <v>2085.1999999999998</v>
      </c>
      <c r="I1207" s="17">
        <v>3298034</v>
      </c>
      <c r="J1207" s="16">
        <v>2919280000000</v>
      </c>
      <c r="K1207" s="30">
        <f t="shared" si="108"/>
        <v>0.10753927103735943</v>
      </c>
      <c r="L1207" s="31">
        <f t="shared" si="109"/>
        <v>26.400000000000091</v>
      </c>
      <c r="M1207" s="30">
        <f t="shared" si="110"/>
        <v>1.2674271229404352E-2</v>
      </c>
      <c r="N1207" s="20" t="str">
        <f t="shared" si="113"/>
        <v>High volume</v>
      </c>
      <c r="O1207" s="32">
        <f t="shared" si="111"/>
        <v>2919.28</v>
      </c>
      <c r="P1207" s="20">
        <f t="shared" si="112"/>
        <v>12</v>
      </c>
      <c r="Q1207" s="20" t="str" cm="1">
        <f t="array" ref="Q1207">_xlfn.IFS(P1207&lt;=3,"Q1",P1207&lt;=6,"Q2",P1207&lt;=9,"Q3",P1207&lt;=12,"Q4")</f>
        <v>Q4</v>
      </c>
    </row>
    <row r="1208" spans="1:17" x14ac:dyDescent="0.25">
      <c r="A1208" s="8">
        <v>45996</v>
      </c>
      <c r="B1208" s="9" t="s">
        <v>65</v>
      </c>
      <c r="C1208" s="9" t="s">
        <v>66</v>
      </c>
      <c r="D1208" s="9" t="s">
        <v>67</v>
      </c>
      <c r="E1208" s="10">
        <v>226.6</v>
      </c>
      <c r="F1208" s="10">
        <v>226.93</v>
      </c>
      <c r="G1208" s="10">
        <v>225.09</v>
      </c>
      <c r="H1208" s="10">
        <v>225.5</v>
      </c>
      <c r="I1208" s="11">
        <v>2631422</v>
      </c>
      <c r="J1208" s="10">
        <v>56375000000</v>
      </c>
      <c r="K1208" s="30">
        <f t="shared" si="108"/>
        <v>-0.485436893203881</v>
      </c>
      <c r="L1208" s="31">
        <f t="shared" si="109"/>
        <v>1.8400000000000034</v>
      </c>
      <c r="M1208" s="30">
        <f t="shared" si="110"/>
        <v>8.1200353045013385E-3</v>
      </c>
      <c r="N1208" s="20" t="str">
        <f t="shared" si="113"/>
        <v>High volume</v>
      </c>
      <c r="O1208" s="32">
        <f t="shared" si="111"/>
        <v>56.375</v>
      </c>
      <c r="P1208" s="20">
        <f t="shared" si="112"/>
        <v>12</v>
      </c>
      <c r="Q1208" s="20" t="str" cm="1">
        <f t="array" ref="Q1208">_xlfn.IFS(P1208&lt;=3,"Q1",P1208&lt;=6,"Q2",P1208&lt;=9,"Q3",P1208&lt;=12,"Q4")</f>
        <v>Q4</v>
      </c>
    </row>
    <row r="1209" spans="1:17" x14ac:dyDescent="0.25">
      <c r="A1209" s="14">
        <v>45996</v>
      </c>
      <c r="B1209" s="15" t="s">
        <v>69</v>
      </c>
      <c r="C1209" s="15" t="s">
        <v>70</v>
      </c>
      <c r="D1209" s="15" t="s">
        <v>71</v>
      </c>
      <c r="E1209" s="16">
        <v>569.64</v>
      </c>
      <c r="F1209" s="16">
        <v>570.28</v>
      </c>
      <c r="G1209" s="16">
        <v>567.85</v>
      </c>
      <c r="H1209" s="16">
        <v>569.91</v>
      </c>
      <c r="I1209" s="17">
        <v>1032970</v>
      </c>
      <c r="J1209" s="16">
        <v>455928000000</v>
      </c>
      <c r="K1209" s="30">
        <f t="shared" si="108"/>
        <v>4.7398356856959104E-2</v>
      </c>
      <c r="L1209" s="31">
        <f t="shared" si="109"/>
        <v>2.42999999999995</v>
      </c>
      <c r="M1209" s="30">
        <f t="shared" si="110"/>
        <v>4.2658521171265182E-3</v>
      </c>
      <c r="N1209" s="20" t="str">
        <f t="shared" si="113"/>
        <v>Normal</v>
      </c>
      <c r="O1209" s="32">
        <f t="shared" si="111"/>
        <v>455.928</v>
      </c>
      <c r="P1209" s="20">
        <f t="shared" si="112"/>
        <v>12</v>
      </c>
      <c r="Q1209" s="20" t="str" cm="1">
        <f t="array" ref="Q1209">_xlfn.IFS(P1209&lt;=3,"Q1",P1209&lt;=6,"Q2",P1209&lt;=9,"Q3",P1209&lt;=12,"Q4")</f>
        <v>Q4</v>
      </c>
    </row>
    <row r="1210" spans="1:17" x14ac:dyDescent="0.25">
      <c r="A1210" s="8">
        <v>45996</v>
      </c>
      <c r="B1210" s="9" t="s">
        <v>73</v>
      </c>
      <c r="C1210" s="9" t="s">
        <v>74</v>
      </c>
      <c r="D1210" s="9" t="s">
        <v>75</v>
      </c>
      <c r="E1210" s="10">
        <v>73.010000000000005</v>
      </c>
      <c r="F1210" s="10">
        <v>73.099999999999994</v>
      </c>
      <c r="G1210" s="10">
        <v>72.22</v>
      </c>
      <c r="H1210" s="10">
        <v>72.67</v>
      </c>
      <c r="I1210" s="11">
        <v>770161</v>
      </c>
      <c r="J1210" s="10">
        <v>15987400000</v>
      </c>
      <c r="K1210" s="30">
        <f t="shared" si="108"/>
        <v>-0.46568963155732557</v>
      </c>
      <c r="L1210" s="31">
        <f t="shared" si="109"/>
        <v>0.87999999999999545</v>
      </c>
      <c r="M1210" s="30">
        <f t="shared" si="110"/>
        <v>1.2053143405012949E-2</v>
      </c>
      <c r="N1210" s="20" t="str">
        <f t="shared" si="113"/>
        <v>Normal</v>
      </c>
      <c r="O1210" s="32">
        <f t="shared" si="111"/>
        <v>15.987399999999999</v>
      </c>
      <c r="P1210" s="20">
        <f t="shared" si="112"/>
        <v>12</v>
      </c>
      <c r="Q1210" s="20" t="str" cm="1">
        <f t="array" ref="Q1210">_xlfn.IFS(P1210&lt;=3,"Q1",P1210&lt;=6,"Q2",P1210&lt;=9,"Q3",P1210&lt;=12,"Q4")</f>
        <v>Q4</v>
      </c>
    </row>
    <row r="1211" spans="1:17" x14ac:dyDescent="0.25">
      <c r="A1211" s="14">
        <v>45996</v>
      </c>
      <c r="B1211" s="15" t="s">
        <v>76</v>
      </c>
      <c r="C1211" s="15" t="s">
        <v>77</v>
      </c>
      <c r="D1211" s="15" t="s">
        <v>75</v>
      </c>
      <c r="E1211" s="16">
        <v>148.01</v>
      </c>
      <c r="F1211" s="16">
        <v>148.94999999999999</v>
      </c>
      <c r="G1211" s="16">
        <v>147.4</v>
      </c>
      <c r="H1211" s="16">
        <v>147.63</v>
      </c>
      <c r="I1211" s="17">
        <v>3887308</v>
      </c>
      <c r="J1211" s="16">
        <v>29526000000</v>
      </c>
      <c r="K1211" s="30">
        <f t="shared" si="108"/>
        <v>-0.25673940949935509</v>
      </c>
      <c r="L1211" s="31">
        <f t="shared" si="109"/>
        <v>1.5499999999999829</v>
      </c>
      <c r="M1211" s="30">
        <f t="shared" si="110"/>
        <v>1.0472265387473706E-2</v>
      </c>
      <c r="N1211" s="20" t="str">
        <f t="shared" si="113"/>
        <v>High volume</v>
      </c>
      <c r="O1211" s="32">
        <f t="shared" si="111"/>
        <v>29.526</v>
      </c>
      <c r="P1211" s="20">
        <f t="shared" si="112"/>
        <v>12</v>
      </c>
      <c r="Q1211" s="20" t="str" cm="1">
        <f t="array" ref="Q1211">_xlfn.IFS(P1211&lt;=3,"Q1",P1211&lt;=6,"Q2",P1211&lt;=9,"Q3",P1211&lt;=12,"Q4")</f>
        <v>Q4</v>
      </c>
    </row>
    <row r="1212" spans="1:17" x14ac:dyDescent="0.25">
      <c r="A1212" s="8">
        <v>45999</v>
      </c>
      <c r="B1212" s="9" t="s">
        <v>60</v>
      </c>
      <c r="C1212" s="9" t="s">
        <v>61</v>
      </c>
      <c r="D1212" s="9" t="s">
        <v>62</v>
      </c>
      <c r="E1212" s="10">
        <v>2064.9899999999998</v>
      </c>
      <c r="F1212" s="10">
        <v>2076.65</v>
      </c>
      <c r="G1212" s="10">
        <v>2061.67</v>
      </c>
      <c r="H1212" s="10">
        <v>2076.31</v>
      </c>
      <c r="I1212" s="11">
        <v>1034830</v>
      </c>
      <c r="J1212" s="10">
        <v>2906834000000</v>
      </c>
      <c r="K1212" s="30">
        <f t="shared" si="108"/>
        <v>0.54818667402748511</v>
      </c>
      <c r="L1212" s="31">
        <f t="shared" si="109"/>
        <v>14.980000000000018</v>
      </c>
      <c r="M1212" s="30">
        <f t="shared" si="110"/>
        <v>7.2542724177841154E-3</v>
      </c>
      <c r="N1212" s="20" t="str">
        <f t="shared" si="113"/>
        <v>Normal</v>
      </c>
      <c r="O1212" s="32">
        <f t="shared" si="111"/>
        <v>2906.8339999999998</v>
      </c>
      <c r="P1212" s="20">
        <f t="shared" si="112"/>
        <v>12</v>
      </c>
      <c r="Q1212" s="20" t="str" cm="1">
        <f t="array" ref="Q1212">_xlfn.IFS(P1212&lt;=3,"Q1",P1212&lt;=6,"Q2",P1212&lt;=9,"Q3",P1212&lt;=12,"Q4")</f>
        <v>Q4</v>
      </c>
    </row>
    <row r="1213" spans="1:17" x14ac:dyDescent="0.25">
      <c r="A1213" s="14">
        <v>45999</v>
      </c>
      <c r="B1213" s="15" t="s">
        <v>65</v>
      </c>
      <c r="C1213" s="15" t="s">
        <v>66</v>
      </c>
      <c r="D1213" s="15" t="s">
        <v>67</v>
      </c>
      <c r="E1213" s="16">
        <v>228.62</v>
      </c>
      <c r="F1213" s="16">
        <v>229.44</v>
      </c>
      <c r="G1213" s="16">
        <v>224.88</v>
      </c>
      <c r="H1213" s="16">
        <v>228.26</v>
      </c>
      <c r="I1213" s="17">
        <v>3786387</v>
      </c>
      <c r="J1213" s="16">
        <v>57065000000</v>
      </c>
      <c r="K1213" s="30">
        <f t="shared" si="108"/>
        <v>-0.15746653836060434</v>
      </c>
      <c r="L1213" s="31">
        <f t="shared" si="109"/>
        <v>4.5600000000000023</v>
      </c>
      <c r="M1213" s="30">
        <f t="shared" si="110"/>
        <v>1.9945761525675804E-2</v>
      </c>
      <c r="N1213" s="20" t="str">
        <f t="shared" si="113"/>
        <v>High volume</v>
      </c>
      <c r="O1213" s="32">
        <f t="shared" si="111"/>
        <v>57.064999999999998</v>
      </c>
      <c r="P1213" s="20">
        <f t="shared" si="112"/>
        <v>12</v>
      </c>
      <c r="Q1213" s="20" t="str" cm="1">
        <f t="array" ref="Q1213">_xlfn.IFS(P1213&lt;=3,"Q1",P1213&lt;=6,"Q2",P1213&lt;=9,"Q3",P1213&lt;=12,"Q4")</f>
        <v>Q4</v>
      </c>
    </row>
    <row r="1214" spans="1:17" x14ac:dyDescent="0.25">
      <c r="A1214" s="8">
        <v>45999</v>
      </c>
      <c r="B1214" s="9" t="s">
        <v>69</v>
      </c>
      <c r="C1214" s="9" t="s">
        <v>70</v>
      </c>
      <c r="D1214" s="9" t="s">
        <v>71</v>
      </c>
      <c r="E1214" s="10">
        <v>572.36</v>
      </c>
      <c r="F1214" s="10">
        <v>575.92999999999995</v>
      </c>
      <c r="G1214" s="10">
        <v>568.20000000000005</v>
      </c>
      <c r="H1214" s="10">
        <v>571.48</v>
      </c>
      <c r="I1214" s="11">
        <v>3774509</v>
      </c>
      <c r="J1214" s="10">
        <v>457184000000</v>
      </c>
      <c r="K1214" s="30">
        <f t="shared" si="108"/>
        <v>-0.15374938849674949</v>
      </c>
      <c r="L1214" s="31">
        <f t="shared" si="109"/>
        <v>7.7299999999999045</v>
      </c>
      <c r="M1214" s="30">
        <f t="shared" si="110"/>
        <v>1.350548605772574E-2</v>
      </c>
      <c r="N1214" s="20" t="str">
        <f t="shared" si="113"/>
        <v>High volume</v>
      </c>
      <c r="O1214" s="32">
        <f t="shared" si="111"/>
        <v>457.18400000000003</v>
      </c>
      <c r="P1214" s="20">
        <f t="shared" si="112"/>
        <v>12</v>
      </c>
      <c r="Q1214" s="20" t="str" cm="1">
        <f t="array" ref="Q1214">_xlfn.IFS(P1214&lt;=3,"Q1",P1214&lt;=6,"Q2",P1214&lt;=9,"Q3",P1214&lt;=12,"Q4")</f>
        <v>Q4</v>
      </c>
    </row>
    <row r="1215" spans="1:17" x14ac:dyDescent="0.25">
      <c r="A1215" s="14">
        <v>45999</v>
      </c>
      <c r="B1215" s="15" t="s">
        <v>73</v>
      </c>
      <c r="C1215" s="15" t="s">
        <v>74</v>
      </c>
      <c r="D1215" s="15" t="s">
        <v>75</v>
      </c>
      <c r="E1215" s="16">
        <v>69.97</v>
      </c>
      <c r="F1215" s="16">
        <v>70.45</v>
      </c>
      <c r="G1215" s="16">
        <v>69.400000000000006</v>
      </c>
      <c r="H1215" s="16">
        <v>69.489999999999995</v>
      </c>
      <c r="I1215" s="17">
        <v>2043016</v>
      </c>
      <c r="J1215" s="16">
        <v>15287800000</v>
      </c>
      <c r="K1215" s="30">
        <f t="shared" si="108"/>
        <v>-0.68600828926683433</v>
      </c>
      <c r="L1215" s="31">
        <f t="shared" si="109"/>
        <v>1.0499999999999972</v>
      </c>
      <c r="M1215" s="30">
        <f t="shared" si="110"/>
        <v>1.5006431327711836E-2</v>
      </c>
      <c r="N1215" s="20" t="str">
        <f t="shared" si="113"/>
        <v>High volume</v>
      </c>
      <c r="O1215" s="32">
        <f t="shared" si="111"/>
        <v>15.287800000000001</v>
      </c>
      <c r="P1215" s="20">
        <f t="shared" si="112"/>
        <v>12</v>
      </c>
      <c r="Q1215" s="20" t="str" cm="1">
        <f t="array" ref="Q1215">_xlfn.IFS(P1215&lt;=3,"Q1",P1215&lt;=6,"Q2",P1215&lt;=9,"Q3",P1215&lt;=12,"Q4")</f>
        <v>Q4</v>
      </c>
    </row>
    <row r="1216" spans="1:17" x14ac:dyDescent="0.25">
      <c r="A1216" s="8">
        <v>45999</v>
      </c>
      <c r="B1216" s="9" t="s">
        <v>76</v>
      </c>
      <c r="C1216" s="9" t="s">
        <v>77</v>
      </c>
      <c r="D1216" s="9" t="s">
        <v>75</v>
      </c>
      <c r="E1216" s="10">
        <v>145.49</v>
      </c>
      <c r="F1216" s="10">
        <v>148.77000000000001</v>
      </c>
      <c r="G1216" s="10">
        <v>144.44999999999999</v>
      </c>
      <c r="H1216" s="10">
        <v>148.47999999999999</v>
      </c>
      <c r="I1216" s="11">
        <v>3452207</v>
      </c>
      <c r="J1216" s="10">
        <v>29696000000</v>
      </c>
      <c r="K1216" s="30">
        <f t="shared" si="108"/>
        <v>2.0551240635095063</v>
      </c>
      <c r="L1216" s="31">
        <f t="shared" si="109"/>
        <v>4.3200000000000216</v>
      </c>
      <c r="M1216" s="30">
        <f t="shared" si="110"/>
        <v>2.9692762389167786E-2</v>
      </c>
      <c r="N1216" s="20" t="str">
        <f t="shared" si="113"/>
        <v>High volume</v>
      </c>
      <c r="O1216" s="32">
        <f t="shared" si="111"/>
        <v>29.696000000000002</v>
      </c>
      <c r="P1216" s="20">
        <f t="shared" si="112"/>
        <v>12</v>
      </c>
      <c r="Q1216" s="20" t="str" cm="1">
        <f t="array" ref="Q1216">_xlfn.IFS(P1216&lt;=3,"Q1",P1216&lt;=6,"Q2",P1216&lt;=9,"Q3",P1216&lt;=12,"Q4")</f>
        <v>Q4</v>
      </c>
    </row>
    <row r="1217" spans="1:17" x14ac:dyDescent="0.25">
      <c r="A1217" s="14">
        <v>46000</v>
      </c>
      <c r="B1217" s="15" t="s">
        <v>60</v>
      </c>
      <c r="C1217" s="15" t="s">
        <v>61</v>
      </c>
      <c r="D1217" s="15" t="s">
        <v>62</v>
      </c>
      <c r="E1217" s="16">
        <v>2072.27</v>
      </c>
      <c r="F1217" s="16">
        <v>2086.7199999999998</v>
      </c>
      <c r="G1217" s="16">
        <v>2063.29</v>
      </c>
      <c r="H1217" s="16">
        <v>2084.71</v>
      </c>
      <c r="I1217" s="17">
        <v>3777195</v>
      </c>
      <c r="J1217" s="16">
        <v>2918594000000</v>
      </c>
      <c r="K1217" s="30">
        <f t="shared" si="108"/>
        <v>0.60030787493907911</v>
      </c>
      <c r="L1217" s="31">
        <f t="shared" si="109"/>
        <v>23.429999999999836</v>
      </c>
      <c r="M1217" s="30">
        <f t="shared" si="110"/>
        <v>1.1306441728153106E-2</v>
      </c>
      <c r="N1217" s="20" t="str">
        <f t="shared" si="113"/>
        <v>High volume</v>
      </c>
      <c r="O1217" s="32">
        <f t="shared" si="111"/>
        <v>2918.5940000000001</v>
      </c>
      <c r="P1217" s="20">
        <f t="shared" si="112"/>
        <v>12</v>
      </c>
      <c r="Q1217" s="20" t="str" cm="1">
        <f t="array" ref="Q1217">_xlfn.IFS(P1217&lt;=3,"Q1",P1217&lt;=6,"Q2",P1217&lt;=9,"Q3",P1217&lt;=12,"Q4")</f>
        <v>Q4</v>
      </c>
    </row>
    <row r="1218" spans="1:17" x14ac:dyDescent="0.25">
      <c r="A1218" s="8">
        <v>46000</v>
      </c>
      <c r="B1218" s="9" t="s">
        <v>65</v>
      </c>
      <c r="C1218" s="9" t="s">
        <v>66</v>
      </c>
      <c r="D1218" s="9" t="s">
        <v>67</v>
      </c>
      <c r="E1218" s="10">
        <v>230.04</v>
      </c>
      <c r="F1218" s="10">
        <v>231.87</v>
      </c>
      <c r="G1218" s="10">
        <v>226.32</v>
      </c>
      <c r="H1218" s="10">
        <v>227.43</v>
      </c>
      <c r="I1218" s="11">
        <v>3502514</v>
      </c>
      <c r="J1218" s="10">
        <v>56857500000</v>
      </c>
      <c r="K1218" s="30">
        <f t="shared" si="108"/>
        <v>-1.1345852895148607</v>
      </c>
      <c r="L1218" s="31">
        <f t="shared" si="109"/>
        <v>5.5500000000000114</v>
      </c>
      <c r="M1218" s="30">
        <f t="shared" si="110"/>
        <v>2.412623891497136E-2</v>
      </c>
      <c r="N1218" s="20" t="str">
        <f t="shared" si="113"/>
        <v>High volume</v>
      </c>
      <c r="O1218" s="32">
        <f t="shared" si="111"/>
        <v>56.857500000000002</v>
      </c>
      <c r="P1218" s="20">
        <f t="shared" si="112"/>
        <v>12</v>
      </c>
      <c r="Q1218" s="20" t="str" cm="1">
        <f t="array" ref="Q1218">_xlfn.IFS(P1218&lt;=3,"Q1",P1218&lt;=6,"Q2",P1218&lt;=9,"Q3",P1218&lt;=12,"Q4")</f>
        <v>Q4</v>
      </c>
    </row>
    <row r="1219" spans="1:17" x14ac:dyDescent="0.25">
      <c r="A1219" s="14">
        <v>46000</v>
      </c>
      <c r="B1219" s="15" t="s">
        <v>69</v>
      </c>
      <c r="C1219" s="15" t="s">
        <v>70</v>
      </c>
      <c r="D1219" s="15" t="s">
        <v>71</v>
      </c>
      <c r="E1219" s="16">
        <v>563.72</v>
      </c>
      <c r="F1219" s="16">
        <v>565.01</v>
      </c>
      <c r="G1219" s="16">
        <v>558.64</v>
      </c>
      <c r="H1219" s="16">
        <v>563.88</v>
      </c>
      <c r="I1219" s="17">
        <v>2833300</v>
      </c>
      <c r="J1219" s="16">
        <v>451104000000</v>
      </c>
      <c r="K1219" s="30">
        <f t="shared" ref="K1219:K1282" si="114">((H1219-E1219)/E1219)*100</f>
        <v>2.8382885120266828E-2</v>
      </c>
      <c r="L1219" s="31">
        <f t="shared" ref="L1219:L1282" si="115">F1219-G1219</f>
        <v>6.3700000000000045</v>
      </c>
      <c r="M1219" s="30">
        <f t="shared" ref="M1219:M1282" si="116">L1219/E1219</f>
        <v>1.1299936138508488E-2</v>
      </c>
      <c r="N1219" s="20" t="str">
        <f t="shared" si="113"/>
        <v>High volume</v>
      </c>
      <c r="O1219" s="32">
        <f t="shared" ref="O1219:O1282" si="117">J1219/1000000000</f>
        <v>451.10399999999998</v>
      </c>
      <c r="P1219" s="20">
        <f t="shared" ref="P1219:P1282" si="118">MONTH(A1219)</f>
        <v>12</v>
      </c>
      <c r="Q1219" s="20" t="str" cm="1">
        <f t="array" ref="Q1219">_xlfn.IFS(P1219&lt;=3,"Q1",P1219&lt;=6,"Q2",P1219&lt;=9,"Q3",P1219&lt;=12,"Q4")</f>
        <v>Q4</v>
      </c>
    </row>
    <row r="1220" spans="1:17" x14ac:dyDescent="0.25">
      <c r="A1220" s="8">
        <v>46000</v>
      </c>
      <c r="B1220" s="9" t="s">
        <v>73</v>
      </c>
      <c r="C1220" s="9" t="s">
        <v>74</v>
      </c>
      <c r="D1220" s="9" t="s">
        <v>75</v>
      </c>
      <c r="E1220" s="10">
        <v>69.95</v>
      </c>
      <c r="F1220" s="10">
        <v>70.36</v>
      </c>
      <c r="G1220" s="10">
        <v>69.37</v>
      </c>
      <c r="H1220" s="10">
        <v>69.400000000000006</v>
      </c>
      <c r="I1220" s="11">
        <v>320524</v>
      </c>
      <c r="J1220" s="10">
        <v>15268000000</v>
      </c>
      <c r="K1220" s="30">
        <f t="shared" si="114"/>
        <v>-0.78627591136525687</v>
      </c>
      <c r="L1220" s="31">
        <f t="shared" si="115"/>
        <v>0.98999999999999488</v>
      </c>
      <c r="M1220" s="30">
        <f t="shared" si="116"/>
        <v>1.4152966404574623E-2</v>
      </c>
      <c r="N1220" s="20" t="str">
        <f t="shared" ref="N1220:N1283" si="119">IF(I1220&gt;2000000,"High volume","Normal")</f>
        <v>Normal</v>
      </c>
      <c r="O1220" s="32">
        <f t="shared" si="117"/>
        <v>15.268000000000001</v>
      </c>
      <c r="P1220" s="20">
        <f t="shared" si="118"/>
        <v>12</v>
      </c>
      <c r="Q1220" s="20" t="str" cm="1">
        <f t="array" ref="Q1220">_xlfn.IFS(P1220&lt;=3,"Q1",P1220&lt;=6,"Q2",P1220&lt;=9,"Q3",P1220&lt;=12,"Q4")</f>
        <v>Q4</v>
      </c>
    </row>
    <row r="1221" spans="1:17" x14ac:dyDescent="0.25">
      <c r="A1221" s="14">
        <v>46000</v>
      </c>
      <c r="B1221" s="15" t="s">
        <v>76</v>
      </c>
      <c r="C1221" s="15" t="s">
        <v>77</v>
      </c>
      <c r="D1221" s="15" t="s">
        <v>75</v>
      </c>
      <c r="E1221" s="16">
        <v>147.61000000000001</v>
      </c>
      <c r="F1221" s="16">
        <v>148.18</v>
      </c>
      <c r="G1221" s="16">
        <v>146.79</v>
      </c>
      <c r="H1221" s="16">
        <v>147.68</v>
      </c>
      <c r="I1221" s="17">
        <v>4263962</v>
      </c>
      <c r="J1221" s="16">
        <v>29536000000</v>
      </c>
      <c r="K1221" s="30">
        <f t="shared" si="114"/>
        <v>4.7422261364401579E-2</v>
      </c>
      <c r="L1221" s="31">
        <f t="shared" si="115"/>
        <v>1.3900000000000148</v>
      </c>
      <c r="M1221" s="30">
        <f t="shared" si="116"/>
        <v>9.4167061852179022E-3</v>
      </c>
      <c r="N1221" s="20" t="str">
        <f t="shared" si="119"/>
        <v>High volume</v>
      </c>
      <c r="O1221" s="32">
        <f t="shared" si="117"/>
        <v>29.536000000000001</v>
      </c>
      <c r="P1221" s="20">
        <f t="shared" si="118"/>
        <v>12</v>
      </c>
      <c r="Q1221" s="20" t="str" cm="1">
        <f t="array" ref="Q1221">_xlfn.IFS(P1221&lt;=3,"Q1",P1221&lt;=6,"Q2",P1221&lt;=9,"Q3",P1221&lt;=12,"Q4")</f>
        <v>Q4</v>
      </c>
    </row>
    <row r="1222" spans="1:17" x14ac:dyDescent="0.25">
      <c r="A1222" s="8">
        <v>46001</v>
      </c>
      <c r="B1222" s="9" t="s">
        <v>60</v>
      </c>
      <c r="C1222" s="9" t="s">
        <v>61</v>
      </c>
      <c r="D1222" s="9" t="s">
        <v>62</v>
      </c>
      <c r="E1222" s="10">
        <v>2118.04</v>
      </c>
      <c r="F1222" s="10">
        <v>2135.69</v>
      </c>
      <c r="G1222" s="10">
        <v>2115.54</v>
      </c>
      <c r="H1222" s="10">
        <v>2133.81</v>
      </c>
      <c r="I1222" s="11">
        <v>2353114</v>
      </c>
      <c r="J1222" s="10">
        <v>2987334000000</v>
      </c>
      <c r="K1222" s="30">
        <f t="shared" si="114"/>
        <v>0.74455628788880202</v>
      </c>
      <c r="L1222" s="31">
        <f t="shared" si="115"/>
        <v>20.150000000000091</v>
      </c>
      <c r="M1222" s="30">
        <f t="shared" si="116"/>
        <v>9.513512492681956E-3</v>
      </c>
      <c r="N1222" s="20" t="str">
        <f t="shared" si="119"/>
        <v>High volume</v>
      </c>
      <c r="O1222" s="32">
        <f t="shared" si="117"/>
        <v>2987.3339999999998</v>
      </c>
      <c r="P1222" s="20">
        <f t="shared" si="118"/>
        <v>12</v>
      </c>
      <c r="Q1222" s="20" t="str" cm="1">
        <f t="array" ref="Q1222">_xlfn.IFS(P1222&lt;=3,"Q1",P1222&lt;=6,"Q2",P1222&lt;=9,"Q3",P1222&lt;=12,"Q4")</f>
        <v>Q4</v>
      </c>
    </row>
    <row r="1223" spans="1:17" x14ac:dyDescent="0.25">
      <c r="A1223" s="14">
        <v>46001</v>
      </c>
      <c r="B1223" s="15" t="s">
        <v>65</v>
      </c>
      <c r="C1223" s="15" t="s">
        <v>66</v>
      </c>
      <c r="D1223" s="15" t="s">
        <v>67</v>
      </c>
      <c r="E1223" s="16">
        <v>229.56</v>
      </c>
      <c r="F1223" s="16">
        <v>232.63</v>
      </c>
      <c r="G1223" s="16">
        <v>229</v>
      </c>
      <c r="H1223" s="16">
        <v>230.79</v>
      </c>
      <c r="I1223" s="17">
        <v>859728</v>
      </c>
      <c r="J1223" s="16">
        <v>57697500000</v>
      </c>
      <c r="K1223" s="30">
        <f t="shared" si="114"/>
        <v>0.53580763199163173</v>
      </c>
      <c r="L1223" s="31">
        <f t="shared" si="115"/>
        <v>3.6299999999999955</v>
      </c>
      <c r="M1223" s="30">
        <f t="shared" si="116"/>
        <v>1.5812859383167781E-2</v>
      </c>
      <c r="N1223" s="20" t="str">
        <f t="shared" si="119"/>
        <v>Normal</v>
      </c>
      <c r="O1223" s="32">
        <f t="shared" si="117"/>
        <v>57.697499999999998</v>
      </c>
      <c r="P1223" s="20">
        <f t="shared" si="118"/>
        <v>12</v>
      </c>
      <c r="Q1223" s="20" t="str" cm="1">
        <f t="array" ref="Q1223">_xlfn.IFS(P1223&lt;=3,"Q1",P1223&lt;=6,"Q2",P1223&lt;=9,"Q3",P1223&lt;=12,"Q4")</f>
        <v>Q4</v>
      </c>
    </row>
    <row r="1224" spans="1:17" x14ac:dyDescent="0.25">
      <c r="A1224" s="8">
        <v>46001</v>
      </c>
      <c r="B1224" s="9" t="s">
        <v>69</v>
      </c>
      <c r="C1224" s="9" t="s">
        <v>70</v>
      </c>
      <c r="D1224" s="9" t="s">
        <v>71</v>
      </c>
      <c r="E1224" s="10">
        <v>557.48</v>
      </c>
      <c r="F1224" s="10">
        <v>559.94000000000005</v>
      </c>
      <c r="G1224" s="10">
        <v>552.74</v>
      </c>
      <c r="H1224" s="10">
        <v>554.6</v>
      </c>
      <c r="I1224" s="11">
        <v>4293318</v>
      </c>
      <c r="J1224" s="10">
        <v>443680000000</v>
      </c>
      <c r="K1224" s="30">
        <f t="shared" si="114"/>
        <v>-0.51661046136184174</v>
      </c>
      <c r="L1224" s="31">
        <f t="shared" si="115"/>
        <v>7.2000000000000455</v>
      </c>
      <c r="M1224" s="30">
        <f t="shared" si="116"/>
        <v>1.2915261534046145E-2</v>
      </c>
      <c r="N1224" s="20" t="str">
        <f t="shared" si="119"/>
        <v>High volume</v>
      </c>
      <c r="O1224" s="32">
        <f t="shared" si="117"/>
        <v>443.68</v>
      </c>
      <c r="P1224" s="20">
        <f t="shared" si="118"/>
        <v>12</v>
      </c>
      <c r="Q1224" s="20" t="str" cm="1">
        <f t="array" ref="Q1224">_xlfn.IFS(P1224&lt;=3,"Q1",P1224&lt;=6,"Q2",P1224&lt;=9,"Q3",P1224&lt;=12,"Q4")</f>
        <v>Q4</v>
      </c>
    </row>
    <row r="1225" spans="1:17" x14ac:dyDescent="0.25">
      <c r="A1225" s="14">
        <v>46001</v>
      </c>
      <c r="B1225" s="15" t="s">
        <v>73</v>
      </c>
      <c r="C1225" s="15" t="s">
        <v>74</v>
      </c>
      <c r="D1225" s="15" t="s">
        <v>75</v>
      </c>
      <c r="E1225" s="16">
        <v>69.55</v>
      </c>
      <c r="F1225" s="16">
        <v>70.56</v>
      </c>
      <c r="G1225" s="16">
        <v>69.38</v>
      </c>
      <c r="H1225" s="16">
        <v>69.819999999999993</v>
      </c>
      <c r="I1225" s="17">
        <v>447178</v>
      </c>
      <c r="J1225" s="16">
        <v>15360400000</v>
      </c>
      <c r="K1225" s="30">
        <f t="shared" si="114"/>
        <v>0.38820992092019563</v>
      </c>
      <c r="L1225" s="31">
        <f t="shared" si="115"/>
        <v>1.1800000000000068</v>
      </c>
      <c r="M1225" s="30">
        <f t="shared" si="116"/>
        <v>1.6966211358734822E-2</v>
      </c>
      <c r="N1225" s="20" t="str">
        <f t="shared" si="119"/>
        <v>Normal</v>
      </c>
      <c r="O1225" s="32">
        <f t="shared" si="117"/>
        <v>15.3604</v>
      </c>
      <c r="P1225" s="20">
        <f t="shared" si="118"/>
        <v>12</v>
      </c>
      <c r="Q1225" s="20" t="str" cm="1">
        <f t="array" ref="Q1225">_xlfn.IFS(P1225&lt;=3,"Q1",P1225&lt;=6,"Q2",P1225&lt;=9,"Q3",P1225&lt;=12,"Q4")</f>
        <v>Q4</v>
      </c>
    </row>
    <row r="1226" spans="1:17" x14ac:dyDescent="0.25">
      <c r="A1226" s="8">
        <v>46001</v>
      </c>
      <c r="B1226" s="9" t="s">
        <v>76</v>
      </c>
      <c r="C1226" s="9" t="s">
        <v>77</v>
      </c>
      <c r="D1226" s="9" t="s">
        <v>75</v>
      </c>
      <c r="E1226" s="10">
        <v>148.44999999999999</v>
      </c>
      <c r="F1226" s="10">
        <v>149.03</v>
      </c>
      <c r="G1226" s="10">
        <v>147.47999999999999</v>
      </c>
      <c r="H1226" s="10">
        <v>148.84</v>
      </c>
      <c r="I1226" s="11">
        <v>1436634</v>
      </c>
      <c r="J1226" s="10">
        <v>29768000000</v>
      </c>
      <c r="K1226" s="30">
        <f t="shared" si="114"/>
        <v>0.26271471876053543</v>
      </c>
      <c r="L1226" s="31">
        <f t="shared" si="115"/>
        <v>1.5500000000000114</v>
      </c>
      <c r="M1226" s="30">
        <f t="shared" si="116"/>
        <v>1.0441226002020959E-2</v>
      </c>
      <c r="N1226" s="20" t="str">
        <f t="shared" si="119"/>
        <v>Normal</v>
      </c>
      <c r="O1226" s="32">
        <f t="shared" si="117"/>
        <v>29.768000000000001</v>
      </c>
      <c r="P1226" s="20">
        <f t="shared" si="118"/>
        <v>12</v>
      </c>
      <c r="Q1226" s="20" t="str" cm="1">
        <f t="array" ref="Q1226">_xlfn.IFS(P1226&lt;=3,"Q1",P1226&lt;=6,"Q2",P1226&lt;=9,"Q3",P1226&lt;=12,"Q4")</f>
        <v>Q4</v>
      </c>
    </row>
    <row r="1227" spans="1:17" x14ac:dyDescent="0.25">
      <c r="A1227" s="14">
        <v>46002</v>
      </c>
      <c r="B1227" s="15" t="s">
        <v>60</v>
      </c>
      <c r="C1227" s="15" t="s">
        <v>61</v>
      </c>
      <c r="D1227" s="15" t="s">
        <v>62</v>
      </c>
      <c r="E1227" s="16">
        <v>2144.33</v>
      </c>
      <c r="F1227" s="16">
        <v>2147.86</v>
      </c>
      <c r="G1227" s="16">
        <v>2139.91</v>
      </c>
      <c r="H1227" s="16">
        <v>2142.7800000000002</v>
      </c>
      <c r="I1227" s="17">
        <v>3286212</v>
      </c>
      <c r="J1227" s="16">
        <v>2999892000000</v>
      </c>
      <c r="K1227" s="30">
        <f t="shared" si="114"/>
        <v>-7.2283650370965624E-2</v>
      </c>
      <c r="L1227" s="31">
        <f t="shared" si="115"/>
        <v>7.9500000000002728</v>
      </c>
      <c r="M1227" s="30">
        <f t="shared" si="116"/>
        <v>3.7074517448341779E-3</v>
      </c>
      <c r="N1227" s="20" t="str">
        <f t="shared" si="119"/>
        <v>High volume</v>
      </c>
      <c r="O1227" s="32">
        <f t="shared" si="117"/>
        <v>2999.8919999999998</v>
      </c>
      <c r="P1227" s="20">
        <f t="shared" si="118"/>
        <v>12</v>
      </c>
      <c r="Q1227" s="20" t="str" cm="1">
        <f t="array" ref="Q1227">_xlfn.IFS(P1227&lt;=3,"Q1",P1227&lt;=6,"Q2",P1227&lt;=9,"Q3",P1227&lt;=12,"Q4")</f>
        <v>Q4</v>
      </c>
    </row>
    <row r="1228" spans="1:17" x14ac:dyDescent="0.25">
      <c r="A1228" s="8">
        <v>46002</v>
      </c>
      <c r="B1228" s="9" t="s">
        <v>65</v>
      </c>
      <c r="C1228" s="9" t="s">
        <v>66</v>
      </c>
      <c r="D1228" s="9" t="s">
        <v>67</v>
      </c>
      <c r="E1228" s="10">
        <v>233.58</v>
      </c>
      <c r="F1228" s="10">
        <v>234.05</v>
      </c>
      <c r="G1228" s="10">
        <v>233.1</v>
      </c>
      <c r="H1228" s="10">
        <v>233.28</v>
      </c>
      <c r="I1228" s="11">
        <v>1837191</v>
      </c>
      <c r="J1228" s="10">
        <v>58320000000</v>
      </c>
      <c r="K1228" s="30">
        <f t="shared" si="114"/>
        <v>-0.12843565373748239</v>
      </c>
      <c r="L1228" s="31">
        <f t="shared" si="115"/>
        <v>0.95000000000001705</v>
      </c>
      <c r="M1228" s="30">
        <f t="shared" si="116"/>
        <v>4.0671290350201943E-3</v>
      </c>
      <c r="N1228" s="20" t="str">
        <f t="shared" si="119"/>
        <v>Normal</v>
      </c>
      <c r="O1228" s="32">
        <f t="shared" si="117"/>
        <v>58.32</v>
      </c>
      <c r="P1228" s="20">
        <f t="shared" si="118"/>
        <v>12</v>
      </c>
      <c r="Q1228" s="20" t="str" cm="1">
        <f t="array" ref="Q1228">_xlfn.IFS(P1228&lt;=3,"Q1",P1228&lt;=6,"Q2",P1228&lt;=9,"Q3",P1228&lt;=12,"Q4")</f>
        <v>Q4</v>
      </c>
    </row>
    <row r="1229" spans="1:17" x14ac:dyDescent="0.25">
      <c r="A1229" s="14">
        <v>46002</v>
      </c>
      <c r="B1229" s="15" t="s">
        <v>69</v>
      </c>
      <c r="C1229" s="15" t="s">
        <v>70</v>
      </c>
      <c r="D1229" s="15" t="s">
        <v>71</v>
      </c>
      <c r="E1229" s="16">
        <v>552.16</v>
      </c>
      <c r="F1229" s="16">
        <v>552.71</v>
      </c>
      <c r="G1229" s="16">
        <v>546.22</v>
      </c>
      <c r="H1229" s="16">
        <v>547.29999999999995</v>
      </c>
      <c r="I1229" s="17">
        <v>3006222</v>
      </c>
      <c r="J1229" s="16">
        <v>437840000000</v>
      </c>
      <c r="K1229" s="30">
        <f t="shared" si="114"/>
        <v>-0.8801796580701271</v>
      </c>
      <c r="L1229" s="31">
        <f t="shared" si="115"/>
        <v>6.4900000000000091</v>
      </c>
      <c r="M1229" s="30">
        <f t="shared" si="116"/>
        <v>1.1753839466821228E-2</v>
      </c>
      <c r="N1229" s="20" t="str">
        <f t="shared" si="119"/>
        <v>High volume</v>
      </c>
      <c r="O1229" s="32">
        <f t="shared" si="117"/>
        <v>437.84</v>
      </c>
      <c r="P1229" s="20">
        <f t="shared" si="118"/>
        <v>12</v>
      </c>
      <c r="Q1229" s="20" t="str" cm="1">
        <f t="array" ref="Q1229">_xlfn.IFS(P1229&lt;=3,"Q1",P1229&lt;=6,"Q2",P1229&lt;=9,"Q3",P1229&lt;=12,"Q4")</f>
        <v>Q4</v>
      </c>
    </row>
    <row r="1230" spans="1:17" x14ac:dyDescent="0.25">
      <c r="A1230" s="8">
        <v>46002</v>
      </c>
      <c r="B1230" s="9" t="s">
        <v>73</v>
      </c>
      <c r="C1230" s="9" t="s">
        <v>74</v>
      </c>
      <c r="D1230" s="9" t="s">
        <v>75</v>
      </c>
      <c r="E1230" s="10">
        <v>71.2</v>
      </c>
      <c r="F1230" s="10">
        <v>71.97</v>
      </c>
      <c r="G1230" s="10">
        <v>71.010000000000005</v>
      </c>
      <c r="H1230" s="10">
        <v>71.67</v>
      </c>
      <c r="I1230" s="11">
        <v>3341060</v>
      </c>
      <c r="J1230" s="10">
        <v>15767400000</v>
      </c>
      <c r="K1230" s="30">
        <f t="shared" si="114"/>
        <v>0.66011235955056013</v>
      </c>
      <c r="L1230" s="31">
        <f t="shared" si="115"/>
        <v>0.95999999999999375</v>
      </c>
      <c r="M1230" s="30">
        <f t="shared" si="116"/>
        <v>1.3483146067415642E-2</v>
      </c>
      <c r="N1230" s="20" t="str">
        <f t="shared" si="119"/>
        <v>High volume</v>
      </c>
      <c r="O1230" s="32">
        <f t="shared" si="117"/>
        <v>15.7674</v>
      </c>
      <c r="P1230" s="20">
        <f t="shared" si="118"/>
        <v>12</v>
      </c>
      <c r="Q1230" s="20" t="str" cm="1">
        <f t="array" ref="Q1230">_xlfn.IFS(P1230&lt;=3,"Q1",P1230&lt;=6,"Q2",P1230&lt;=9,"Q3",P1230&lt;=12,"Q4")</f>
        <v>Q4</v>
      </c>
    </row>
    <row r="1231" spans="1:17" x14ac:dyDescent="0.25">
      <c r="A1231" s="14">
        <v>46002</v>
      </c>
      <c r="B1231" s="15" t="s">
        <v>76</v>
      </c>
      <c r="C1231" s="15" t="s">
        <v>77</v>
      </c>
      <c r="D1231" s="15" t="s">
        <v>75</v>
      </c>
      <c r="E1231" s="16">
        <v>147.13999999999999</v>
      </c>
      <c r="F1231" s="16">
        <v>148.41999999999999</v>
      </c>
      <c r="G1231" s="16">
        <v>146.26</v>
      </c>
      <c r="H1231" s="16">
        <v>148.04</v>
      </c>
      <c r="I1231" s="17">
        <v>408193</v>
      </c>
      <c r="J1231" s="16">
        <v>29608000000</v>
      </c>
      <c r="K1231" s="30">
        <f t="shared" si="114"/>
        <v>0.61166236237597238</v>
      </c>
      <c r="L1231" s="31">
        <f t="shared" si="115"/>
        <v>2.1599999999999966</v>
      </c>
      <c r="M1231" s="30">
        <f t="shared" si="116"/>
        <v>1.4679896697023222E-2</v>
      </c>
      <c r="N1231" s="20" t="str">
        <f t="shared" si="119"/>
        <v>Normal</v>
      </c>
      <c r="O1231" s="32">
        <f t="shared" si="117"/>
        <v>29.608000000000001</v>
      </c>
      <c r="P1231" s="20">
        <f t="shared" si="118"/>
        <v>12</v>
      </c>
      <c r="Q1231" s="20" t="str" cm="1">
        <f t="array" ref="Q1231">_xlfn.IFS(P1231&lt;=3,"Q1",P1231&lt;=6,"Q2",P1231&lt;=9,"Q3",P1231&lt;=12,"Q4")</f>
        <v>Q4</v>
      </c>
    </row>
    <row r="1232" spans="1:17" x14ac:dyDescent="0.25">
      <c r="A1232" s="8">
        <v>46003</v>
      </c>
      <c r="B1232" s="9" t="s">
        <v>60</v>
      </c>
      <c r="C1232" s="9" t="s">
        <v>61</v>
      </c>
      <c r="D1232" s="9" t="s">
        <v>62</v>
      </c>
      <c r="E1232" s="10">
        <v>2160.25</v>
      </c>
      <c r="F1232" s="10">
        <v>2170.9</v>
      </c>
      <c r="G1232" s="10">
        <v>2157.04</v>
      </c>
      <c r="H1232" s="10">
        <v>2169.8000000000002</v>
      </c>
      <c r="I1232" s="11">
        <v>1667587</v>
      </c>
      <c r="J1232" s="10">
        <v>3037720000000</v>
      </c>
      <c r="K1232" s="30">
        <f t="shared" si="114"/>
        <v>0.44207846314084859</v>
      </c>
      <c r="L1232" s="31">
        <f t="shared" si="115"/>
        <v>13.860000000000127</v>
      </c>
      <c r="M1232" s="30">
        <f t="shared" si="116"/>
        <v>6.4159240828608388E-3</v>
      </c>
      <c r="N1232" s="20" t="str">
        <f t="shared" si="119"/>
        <v>Normal</v>
      </c>
      <c r="O1232" s="32">
        <f t="shared" si="117"/>
        <v>3037.72</v>
      </c>
      <c r="P1232" s="20">
        <f t="shared" si="118"/>
        <v>12</v>
      </c>
      <c r="Q1232" s="20" t="str" cm="1">
        <f t="array" ref="Q1232">_xlfn.IFS(P1232&lt;=3,"Q1",P1232&lt;=6,"Q2",P1232&lt;=9,"Q3",P1232&lt;=12,"Q4")</f>
        <v>Q4</v>
      </c>
    </row>
    <row r="1233" spans="1:17" x14ac:dyDescent="0.25">
      <c r="A1233" s="14">
        <v>46003</v>
      </c>
      <c r="B1233" s="15" t="s">
        <v>65</v>
      </c>
      <c r="C1233" s="15" t="s">
        <v>66</v>
      </c>
      <c r="D1233" s="15" t="s">
        <v>67</v>
      </c>
      <c r="E1233" s="16">
        <v>229.78</v>
      </c>
      <c r="F1233" s="16">
        <v>230.63</v>
      </c>
      <c r="G1233" s="16">
        <v>229.14</v>
      </c>
      <c r="H1233" s="16">
        <v>229.47</v>
      </c>
      <c r="I1233" s="17">
        <v>1880554</v>
      </c>
      <c r="J1233" s="16">
        <v>57367500000</v>
      </c>
      <c r="K1233" s="30">
        <f t="shared" si="114"/>
        <v>-0.13491165462616514</v>
      </c>
      <c r="L1233" s="31">
        <f t="shared" si="115"/>
        <v>1.4900000000000091</v>
      </c>
      <c r="M1233" s="30">
        <f t="shared" si="116"/>
        <v>6.484463399773736E-3</v>
      </c>
      <c r="N1233" s="20" t="str">
        <f t="shared" si="119"/>
        <v>Normal</v>
      </c>
      <c r="O1233" s="32">
        <f t="shared" si="117"/>
        <v>57.3675</v>
      </c>
      <c r="P1233" s="20">
        <f t="shared" si="118"/>
        <v>12</v>
      </c>
      <c r="Q1233" s="20" t="str" cm="1">
        <f t="array" ref="Q1233">_xlfn.IFS(P1233&lt;=3,"Q1",P1233&lt;=6,"Q2",P1233&lt;=9,"Q3",P1233&lt;=12,"Q4")</f>
        <v>Q4</v>
      </c>
    </row>
    <row r="1234" spans="1:17" x14ac:dyDescent="0.25">
      <c r="A1234" s="8">
        <v>46003</v>
      </c>
      <c r="B1234" s="9" t="s">
        <v>69</v>
      </c>
      <c r="C1234" s="9" t="s">
        <v>70</v>
      </c>
      <c r="D1234" s="9" t="s">
        <v>71</v>
      </c>
      <c r="E1234" s="10">
        <v>550.35</v>
      </c>
      <c r="F1234" s="10">
        <v>555.76</v>
      </c>
      <c r="G1234" s="10">
        <v>546.33000000000004</v>
      </c>
      <c r="H1234" s="10">
        <v>554.30999999999995</v>
      </c>
      <c r="I1234" s="11">
        <v>4923069</v>
      </c>
      <c r="J1234" s="10">
        <v>443448000000</v>
      </c>
      <c r="K1234" s="30">
        <f t="shared" si="114"/>
        <v>0.71954210956662534</v>
      </c>
      <c r="L1234" s="31">
        <f t="shared" si="115"/>
        <v>9.42999999999995</v>
      </c>
      <c r="M1234" s="30">
        <f t="shared" si="116"/>
        <v>1.713455074043781E-2</v>
      </c>
      <c r="N1234" s="20" t="str">
        <f t="shared" si="119"/>
        <v>High volume</v>
      </c>
      <c r="O1234" s="32">
        <f t="shared" si="117"/>
        <v>443.44799999999998</v>
      </c>
      <c r="P1234" s="20">
        <f t="shared" si="118"/>
        <v>12</v>
      </c>
      <c r="Q1234" s="20" t="str" cm="1">
        <f t="array" ref="Q1234">_xlfn.IFS(P1234&lt;=3,"Q1",P1234&lt;=6,"Q2",P1234&lt;=9,"Q3",P1234&lt;=12,"Q4")</f>
        <v>Q4</v>
      </c>
    </row>
    <row r="1235" spans="1:17" x14ac:dyDescent="0.25">
      <c r="A1235" s="14">
        <v>46003</v>
      </c>
      <c r="B1235" s="15" t="s">
        <v>73</v>
      </c>
      <c r="C1235" s="15" t="s">
        <v>74</v>
      </c>
      <c r="D1235" s="15" t="s">
        <v>75</v>
      </c>
      <c r="E1235" s="16">
        <v>69.22</v>
      </c>
      <c r="F1235" s="16">
        <v>69.510000000000005</v>
      </c>
      <c r="G1235" s="16">
        <v>68.27</v>
      </c>
      <c r="H1235" s="16">
        <v>68.790000000000006</v>
      </c>
      <c r="I1235" s="17">
        <v>940892</v>
      </c>
      <c r="J1235" s="16">
        <v>15133800000</v>
      </c>
      <c r="K1235" s="30">
        <f t="shared" si="114"/>
        <v>-0.62120774342674456</v>
      </c>
      <c r="L1235" s="31">
        <f t="shared" si="115"/>
        <v>1.2400000000000091</v>
      </c>
      <c r="M1235" s="30">
        <f t="shared" si="116"/>
        <v>1.7913897717422841E-2</v>
      </c>
      <c r="N1235" s="20" t="str">
        <f t="shared" si="119"/>
        <v>Normal</v>
      </c>
      <c r="O1235" s="32">
        <f t="shared" si="117"/>
        <v>15.133800000000001</v>
      </c>
      <c r="P1235" s="20">
        <f t="shared" si="118"/>
        <v>12</v>
      </c>
      <c r="Q1235" s="20" t="str" cm="1">
        <f t="array" ref="Q1235">_xlfn.IFS(P1235&lt;=3,"Q1",P1235&lt;=6,"Q2",P1235&lt;=9,"Q3",P1235&lt;=12,"Q4")</f>
        <v>Q4</v>
      </c>
    </row>
    <row r="1236" spans="1:17" x14ac:dyDescent="0.25">
      <c r="A1236" s="8">
        <v>46003</v>
      </c>
      <c r="B1236" s="9" t="s">
        <v>76</v>
      </c>
      <c r="C1236" s="9" t="s">
        <v>77</v>
      </c>
      <c r="D1236" s="9" t="s">
        <v>75</v>
      </c>
      <c r="E1236" s="10">
        <v>148.94999999999999</v>
      </c>
      <c r="F1236" s="10">
        <v>149.37</v>
      </c>
      <c r="G1236" s="10">
        <v>147.85</v>
      </c>
      <c r="H1236" s="10">
        <v>148.9</v>
      </c>
      <c r="I1236" s="11">
        <v>1466133</v>
      </c>
      <c r="J1236" s="10">
        <v>29780000000</v>
      </c>
      <c r="K1236" s="30">
        <f t="shared" si="114"/>
        <v>-3.3568311513919404E-2</v>
      </c>
      <c r="L1236" s="31">
        <f t="shared" si="115"/>
        <v>1.5200000000000102</v>
      </c>
      <c r="M1236" s="30">
        <f t="shared" si="116"/>
        <v>1.0204766700235048E-2</v>
      </c>
      <c r="N1236" s="20" t="str">
        <f t="shared" si="119"/>
        <v>Normal</v>
      </c>
      <c r="O1236" s="32">
        <f t="shared" si="117"/>
        <v>29.78</v>
      </c>
      <c r="P1236" s="20">
        <f t="shared" si="118"/>
        <v>12</v>
      </c>
      <c r="Q1236" s="20" t="str" cm="1">
        <f t="array" ref="Q1236">_xlfn.IFS(P1236&lt;=3,"Q1",P1236&lt;=6,"Q2",P1236&lt;=9,"Q3",P1236&lt;=12,"Q4")</f>
        <v>Q4</v>
      </c>
    </row>
    <row r="1237" spans="1:17" x14ac:dyDescent="0.25">
      <c r="A1237" s="14">
        <v>46006</v>
      </c>
      <c r="B1237" s="15" t="s">
        <v>60</v>
      </c>
      <c r="C1237" s="15" t="s">
        <v>61</v>
      </c>
      <c r="D1237" s="15" t="s">
        <v>62</v>
      </c>
      <c r="E1237" s="16">
        <v>2173.52</v>
      </c>
      <c r="F1237" s="16">
        <v>2188.4499999999998</v>
      </c>
      <c r="G1237" s="16">
        <v>2140.1999999999998</v>
      </c>
      <c r="H1237" s="16">
        <v>2169.04</v>
      </c>
      <c r="I1237" s="17">
        <v>3169282</v>
      </c>
      <c r="J1237" s="16">
        <v>3036656000000</v>
      </c>
      <c r="K1237" s="30">
        <f t="shared" si="114"/>
        <v>-0.20611726600169394</v>
      </c>
      <c r="L1237" s="31">
        <f t="shared" si="115"/>
        <v>48.25</v>
      </c>
      <c r="M1237" s="30">
        <f t="shared" si="116"/>
        <v>2.2199013581655564E-2</v>
      </c>
      <c r="N1237" s="20" t="str">
        <f t="shared" si="119"/>
        <v>High volume</v>
      </c>
      <c r="O1237" s="32">
        <f t="shared" si="117"/>
        <v>3036.6559999999999</v>
      </c>
      <c r="P1237" s="20">
        <f t="shared" si="118"/>
        <v>12</v>
      </c>
      <c r="Q1237" s="20" t="str" cm="1">
        <f t="array" ref="Q1237">_xlfn.IFS(P1237&lt;=3,"Q1",P1237&lt;=6,"Q2",P1237&lt;=9,"Q3",P1237&lt;=12,"Q4")</f>
        <v>Q4</v>
      </c>
    </row>
    <row r="1238" spans="1:17" x14ac:dyDescent="0.25">
      <c r="A1238" s="8">
        <v>46006</v>
      </c>
      <c r="B1238" s="9" t="s">
        <v>65</v>
      </c>
      <c r="C1238" s="9" t="s">
        <v>66</v>
      </c>
      <c r="D1238" s="9" t="s">
        <v>67</v>
      </c>
      <c r="E1238" s="10">
        <v>230.89</v>
      </c>
      <c r="F1238" s="10">
        <v>232.28</v>
      </c>
      <c r="G1238" s="10">
        <v>230.86</v>
      </c>
      <c r="H1238" s="10">
        <v>231.04</v>
      </c>
      <c r="I1238" s="11">
        <v>1494196</v>
      </c>
      <c r="J1238" s="10">
        <v>57760000000</v>
      </c>
      <c r="K1238" s="30">
        <f t="shared" si="114"/>
        <v>6.4966001126079823E-2</v>
      </c>
      <c r="L1238" s="31">
        <f t="shared" si="115"/>
        <v>1.4199999999999875</v>
      </c>
      <c r="M1238" s="30">
        <f t="shared" si="116"/>
        <v>6.1501147732686019E-3</v>
      </c>
      <c r="N1238" s="20" t="str">
        <f t="shared" si="119"/>
        <v>Normal</v>
      </c>
      <c r="O1238" s="32">
        <f t="shared" si="117"/>
        <v>57.76</v>
      </c>
      <c r="P1238" s="20">
        <f t="shared" si="118"/>
        <v>12</v>
      </c>
      <c r="Q1238" s="20" t="str" cm="1">
        <f t="array" ref="Q1238">_xlfn.IFS(P1238&lt;=3,"Q1",P1238&lt;=6,"Q2",P1238&lt;=9,"Q3",P1238&lt;=12,"Q4")</f>
        <v>Q4</v>
      </c>
    </row>
    <row r="1239" spans="1:17" x14ac:dyDescent="0.25">
      <c r="A1239" s="14">
        <v>46006</v>
      </c>
      <c r="B1239" s="15" t="s">
        <v>69</v>
      </c>
      <c r="C1239" s="15" t="s">
        <v>70</v>
      </c>
      <c r="D1239" s="15" t="s">
        <v>71</v>
      </c>
      <c r="E1239" s="16">
        <v>550.25</v>
      </c>
      <c r="F1239" s="16">
        <v>551.67999999999995</v>
      </c>
      <c r="G1239" s="16">
        <v>546.76</v>
      </c>
      <c r="H1239" s="16">
        <v>547.79</v>
      </c>
      <c r="I1239" s="17">
        <v>959386</v>
      </c>
      <c r="J1239" s="16">
        <v>438232000000</v>
      </c>
      <c r="K1239" s="30">
        <f t="shared" si="114"/>
        <v>-0.44706951385734423</v>
      </c>
      <c r="L1239" s="31">
        <f t="shared" si="115"/>
        <v>4.9199999999999591</v>
      </c>
      <c r="M1239" s="30">
        <f t="shared" si="116"/>
        <v>8.9413902771466776E-3</v>
      </c>
      <c r="N1239" s="20" t="str">
        <f t="shared" si="119"/>
        <v>Normal</v>
      </c>
      <c r="O1239" s="32">
        <f t="shared" si="117"/>
        <v>438.23200000000003</v>
      </c>
      <c r="P1239" s="20">
        <f t="shared" si="118"/>
        <v>12</v>
      </c>
      <c r="Q1239" s="20" t="str" cm="1">
        <f t="array" ref="Q1239">_xlfn.IFS(P1239&lt;=3,"Q1",P1239&lt;=6,"Q2",P1239&lt;=9,"Q3",P1239&lt;=12,"Q4")</f>
        <v>Q4</v>
      </c>
    </row>
    <row r="1240" spans="1:17" x14ac:dyDescent="0.25">
      <c r="A1240" s="8">
        <v>46006</v>
      </c>
      <c r="B1240" s="9" t="s">
        <v>73</v>
      </c>
      <c r="C1240" s="9" t="s">
        <v>74</v>
      </c>
      <c r="D1240" s="9" t="s">
        <v>75</v>
      </c>
      <c r="E1240" s="10">
        <v>67.239999999999995</v>
      </c>
      <c r="F1240" s="10">
        <v>67.66</v>
      </c>
      <c r="G1240" s="10">
        <v>67.16</v>
      </c>
      <c r="H1240" s="10">
        <v>67.400000000000006</v>
      </c>
      <c r="I1240" s="11">
        <v>3917566</v>
      </c>
      <c r="J1240" s="10">
        <v>14828000000</v>
      </c>
      <c r="K1240" s="30">
        <f t="shared" si="114"/>
        <v>0.23795359904820171</v>
      </c>
      <c r="L1240" s="31">
        <f t="shared" si="115"/>
        <v>0.5</v>
      </c>
      <c r="M1240" s="30">
        <f t="shared" si="116"/>
        <v>7.4360499702558003E-3</v>
      </c>
      <c r="N1240" s="20" t="str">
        <f t="shared" si="119"/>
        <v>High volume</v>
      </c>
      <c r="O1240" s="32">
        <f t="shared" si="117"/>
        <v>14.827999999999999</v>
      </c>
      <c r="P1240" s="20">
        <f t="shared" si="118"/>
        <v>12</v>
      </c>
      <c r="Q1240" s="20" t="str" cm="1">
        <f t="array" ref="Q1240">_xlfn.IFS(P1240&lt;=3,"Q1",P1240&lt;=6,"Q2",P1240&lt;=9,"Q3",P1240&lt;=12,"Q4")</f>
        <v>Q4</v>
      </c>
    </row>
    <row r="1241" spans="1:17" x14ac:dyDescent="0.25">
      <c r="A1241" s="14">
        <v>46006</v>
      </c>
      <c r="B1241" s="15" t="s">
        <v>76</v>
      </c>
      <c r="C1241" s="15" t="s">
        <v>77</v>
      </c>
      <c r="D1241" s="15" t="s">
        <v>75</v>
      </c>
      <c r="E1241" s="16">
        <v>149.21</v>
      </c>
      <c r="F1241" s="16">
        <v>149.76</v>
      </c>
      <c r="G1241" s="16">
        <v>149.06</v>
      </c>
      <c r="H1241" s="16">
        <v>149.62</v>
      </c>
      <c r="I1241" s="17">
        <v>4607375</v>
      </c>
      <c r="J1241" s="16">
        <v>29924000000</v>
      </c>
      <c r="K1241" s="30">
        <f t="shared" si="114"/>
        <v>0.27478051068962978</v>
      </c>
      <c r="L1241" s="31">
        <f t="shared" si="115"/>
        <v>0.69999999999998863</v>
      </c>
      <c r="M1241" s="30">
        <f t="shared" si="116"/>
        <v>4.691374572749739E-3</v>
      </c>
      <c r="N1241" s="20" t="str">
        <f t="shared" si="119"/>
        <v>High volume</v>
      </c>
      <c r="O1241" s="32">
        <f t="shared" si="117"/>
        <v>29.923999999999999</v>
      </c>
      <c r="P1241" s="20">
        <f t="shared" si="118"/>
        <v>12</v>
      </c>
      <c r="Q1241" s="20" t="str" cm="1">
        <f t="array" ref="Q1241">_xlfn.IFS(P1241&lt;=3,"Q1",P1241&lt;=6,"Q2",P1241&lt;=9,"Q3",P1241&lt;=12,"Q4")</f>
        <v>Q4</v>
      </c>
    </row>
    <row r="1242" spans="1:17" x14ac:dyDescent="0.25">
      <c r="A1242" s="8">
        <v>46007</v>
      </c>
      <c r="B1242" s="9" t="s">
        <v>60</v>
      </c>
      <c r="C1242" s="9" t="s">
        <v>61</v>
      </c>
      <c r="D1242" s="9" t="s">
        <v>62</v>
      </c>
      <c r="E1242" s="10">
        <v>2138.96</v>
      </c>
      <c r="F1242" s="10">
        <v>2149.6</v>
      </c>
      <c r="G1242" s="10">
        <v>2134.69</v>
      </c>
      <c r="H1242" s="10">
        <v>2139.19</v>
      </c>
      <c r="I1242" s="11">
        <v>386171</v>
      </c>
      <c r="J1242" s="10">
        <v>2994866000000</v>
      </c>
      <c r="K1242" s="30">
        <f t="shared" si="114"/>
        <v>1.0752889254591867E-2</v>
      </c>
      <c r="L1242" s="31">
        <f t="shared" si="115"/>
        <v>14.909999999999854</v>
      </c>
      <c r="M1242" s="30">
        <f t="shared" si="116"/>
        <v>6.9706773385195863E-3</v>
      </c>
      <c r="N1242" s="20" t="str">
        <f t="shared" si="119"/>
        <v>Normal</v>
      </c>
      <c r="O1242" s="32">
        <f t="shared" si="117"/>
        <v>2994.866</v>
      </c>
      <c r="P1242" s="20">
        <f t="shared" si="118"/>
        <v>12</v>
      </c>
      <c r="Q1242" s="20" t="str" cm="1">
        <f t="array" ref="Q1242">_xlfn.IFS(P1242&lt;=3,"Q1",P1242&lt;=6,"Q2",P1242&lt;=9,"Q3",P1242&lt;=12,"Q4")</f>
        <v>Q4</v>
      </c>
    </row>
    <row r="1243" spans="1:17" x14ac:dyDescent="0.25">
      <c r="A1243" s="14">
        <v>46007</v>
      </c>
      <c r="B1243" s="15" t="s">
        <v>65</v>
      </c>
      <c r="C1243" s="15" t="s">
        <v>66</v>
      </c>
      <c r="D1243" s="15" t="s">
        <v>67</v>
      </c>
      <c r="E1243" s="16">
        <v>230.53</v>
      </c>
      <c r="F1243" s="16">
        <v>230.62</v>
      </c>
      <c r="G1243" s="16">
        <v>227.31</v>
      </c>
      <c r="H1243" s="16">
        <v>230.36</v>
      </c>
      <c r="I1243" s="17">
        <v>2023030</v>
      </c>
      <c r="J1243" s="16">
        <v>57590000000</v>
      </c>
      <c r="K1243" s="30">
        <f t="shared" si="114"/>
        <v>-7.3743113694524576E-2</v>
      </c>
      <c r="L1243" s="31">
        <f t="shared" si="115"/>
        <v>3.3100000000000023</v>
      </c>
      <c r="M1243" s="30">
        <f t="shared" si="116"/>
        <v>1.4358218019346733E-2</v>
      </c>
      <c r="N1243" s="20" t="str">
        <f t="shared" si="119"/>
        <v>High volume</v>
      </c>
      <c r="O1243" s="32">
        <f t="shared" si="117"/>
        <v>57.59</v>
      </c>
      <c r="P1243" s="20">
        <f t="shared" si="118"/>
        <v>12</v>
      </c>
      <c r="Q1243" s="20" t="str" cm="1">
        <f t="array" ref="Q1243">_xlfn.IFS(P1243&lt;=3,"Q1",P1243&lt;=6,"Q2",P1243&lt;=9,"Q3",P1243&lt;=12,"Q4")</f>
        <v>Q4</v>
      </c>
    </row>
    <row r="1244" spans="1:17" x14ac:dyDescent="0.25">
      <c r="A1244" s="8">
        <v>46007</v>
      </c>
      <c r="B1244" s="9" t="s">
        <v>69</v>
      </c>
      <c r="C1244" s="9" t="s">
        <v>70</v>
      </c>
      <c r="D1244" s="9" t="s">
        <v>71</v>
      </c>
      <c r="E1244" s="10">
        <v>543.22</v>
      </c>
      <c r="F1244" s="10">
        <v>544.74</v>
      </c>
      <c r="G1244" s="10">
        <v>542.71</v>
      </c>
      <c r="H1244" s="10">
        <v>543.01</v>
      </c>
      <c r="I1244" s="11">
        <v>2626795</v>
      </c>
      <c r="J1244" s="10">
        <v>434408000000</v>
      </c>
      <c r="K1244" s="30">
        <f t="shared" si="114"/>
        <v>-3.8658370457648167E-2</v>
      </c>
      <c r="L1244" s="31">
        <f t="shared" si="115"/>
        <v>2.0299999999999727</v>
      </c>
      <c r="M1244" s="30">
        <f t="shared" si="116"/>
        <v>3.7369758109052917E-3</v>
      </c>
      <c r="N1244" s="20" t="str">
        <f t="shared" si="119"/>
        <v>High volume</v>
      </c>
      <c r="O1244" s="32">
        <f t="shared" si="117"/>
        <v>434.40800000000002</v>
      </c>
      <c r="P1244" s="20">
        <f t="shared" si="118"/>
        <v>12</v>
      </c>
      <c r="Q1244" s="20" t="str" cm="1">
        <f t="array" ref="Q1244">_xlfn.IFS(P1244&lt;=3,"Q1",P1244&lt;=6,"Q2",P1244&lt;=9,"Q3",P1244&lt;=12,"Q4")</f>
        <v>Q4</v>
      </c>
    </row>
    <row r="1245" spans="1:17" x14ac:dyDescent="0.25">
      <c r="A1245" s="14">
        <v>46007</v>
      </c>
      <c r="B1245" s="15" t="s">
        <v>73</v>
      </c>
      <c r="C1245" s="15" t="s">
        <v>74</v>
      </c>
      <c r="D1245" s="15" t="s">
        <v>75</v>
      </c>
      <c r="E1245" s="16">
        <v>67.2</v>
      </c>
      <c r="F1245" s="16">
        <v>67.67</v>
      </c>
      <c r="G1245" s="16">
        <v>67.040000000000006</v>
      </c>
      <c r="H1245" s="16">
        <v>67.14</v>
      </c>
      <c r="I1245" s="17">
        <v>4499625</v>
      </c>
      <c r="J1245" s="16">
        <v>14770800000</v>
      </c>
      <c r="K1245" s="30">
        <f t="shared" si="114"/>
        <v>-8.928571428571766E-2</v>
      </c>
      <c r="L1245" s="31">
        <f t="shared" si="115"/>
        <v>0.62999999999999545</v>
      </c>
      <c r="M1245" s="30">
        <f t="shared" si="116"/>
        <v>9.374999999999932E-3</v>
      </c>
      <c r="N1245" s="20" t="str">
        <f t="shared" si="119"/>
        <v>High volume</v>
      </c>
      <c r="O1245" s="32">
        <f t="shared" si="117"/>
        <v>14.770799999999999</v>
      </c>
      <c r="P1245" s="20">
        <f t="shared" si="118"/>
        <v>12</v>
      </c>
      <c r="Q1245" s="20" t="str" cm="1">
        <f t="array" ref="Q1245">_xlfn.IFS(P1245&lt;=3,"Q1",P1245&lt;=6,"Q2",P1245&lt;=9,"Q3",P1245&lt;=12,"Q4")</f>
        <v>Q4</v>
      </c>
    </row>
    <row r="1246" spans="1:17" x14ac:dyDescent="0.25">
      <c r="A1246" s="8">
        <v>46007</v>
      </c>
      <c r="B1246" s="9" t="s">
        <v>76</v>
      </c>
      <c r="C1246" s="9" t="s">
        <v>77</v>
      </c>
      <c r="D1246" s="9" t="s">
        <v>75</v>
      </c>
      <c r="E1246" s="10">
        <v>150.24</v>
      </c>
      <c r="F1246" s="10">
        <v>151.87</v>
      </c>
      <c r="G1246" s="10">
        <v>149.79</v>
      </c>
      <c r="H1246" s="10">
        <v>151.49</v>
      </c>
      <c r="I1246" s="11">
        <v>417308</v>
      </c>
      <c r="J1246" s="10">
        <v>30298000000</v>
      </c>
      <c r="K1246" s="30">
        <f t="shared" si="114"/>
        <v>0.83200212992545264</v>
      </c>
      <c r="L1246" s="31">
        <f t="shared" si="115"/>
        <v>2.0800000000000125</v>
      </c>
      <c r="M1246" s="30">
        <f t="shared" si="116"/>
        <v>1.3844515441959613E-2</v>
      </c>
      <c r="N1246" s="20" t="str">
        <f t="shared" si="119"/>
        <v>Normal</v>
      </c>
      <c r="O1246" s="32">
        <f t="shared" si="117"/>
        <v>30.297999999999998</v>
      </c>
      <c r="P1246" s="20">
        <f t="shared" si="118"/>
        <v>12</v>
      </c>
      <c r="Q1246" s="20" t="str" cm="1">
        <f t="array" ref="Q1246">_xlfn.IFS(P1246&lt;=3,"Q1",P1246&lt;=6,"Q2",P1246&lt;=9,"Q3",P1246&lt;=12,"Q4")</f>
        <v>Q4</v>
      </c>
    </row>
    <row r="1247" spans="1:17" x14ac:dyDescent="0.25">
      <c r="A1247" s="14">
        <v>46008</v>
      </c>
      <c r="B1247" s="15" t="s">
        <v>60</v>
      </c>
      <c r="C1247" s="15" t="s">
        <v>61</v>
      </c>
      <c r="D1247" s="15" t="s">
        <v>62</v>
      </c>
      <c r="E1247" s="16">
        <v>2139.25</v>
      </c>
      <c r="F1247" s="16">
        <v>2165.9499999999998</v>
      </c>
      <c r="G1247" s="16">
        <v>2134.36</v>
      </c>
      <c r="H1247" s="16">
        <v>2164.8200000000002</v>
      </c>
      <c r="I1247" s="17">
        <v>1740940</v>
      </c>
      <c r="J1247" s="16">
        <v>3030748000000</v>
      </c>
      <c r="K1247" s="30">
        <f t="shared" si="114"/>
        <v>1.1952787191772893</v>
      </c>
      <c r="L1247" s="31">
        <f t="shared" si="115"/>
        <v>31.589999999999691</v>
      </c>
      <c r="M1247" s="30">
        <f t="shared" si="116"/>
        <v>1.4766857543531468E-2</v>
      </c>
      <c r="N1247" s="20" t="str">
        <f t="shared" si="119"/>
        <v>Normal</v>
      </c>
      <c r="O1247" s="32">
        <f t="shared" si="117"/>
        <v>3030.748</v>
      </c>
      <c r="P1247" s="20">
        <f t="shared" si="118"/>
        <v>12</v>
      </c>
      <c r="Q1247" s="20" t="str" cm="1">
        <f t="array" ref="Q1247">_xlfn.IFS(P1247&lt;=3,"Q1",P1247&lt;=6,"Q2",P1247&lt;=9,"Q3",P1247&lt;=12,"Q4")</f>
        <v>Q4</v>
      </c>
    </row>
    <row r="1248" spans="1:17" x14ac:dyDescent="0.25">
      <c r="A1248" s="8">
        <v>46008</v>
      </c>
      <c r="B1248" s="9" t="s">
        <v>65</v>
      </c>
      <c r="C1248" s="9" t="s">
        <v>66</v>
      </c>
      <c r="D1248" s="9" t="s">
        <v>67</v>
      </c>
      <c r="E1248" s="10">
        <v>233.9</v>
      </c>
      <c r="F1248" s="10">
        <v>235.25</v>
      </c>
      <c r="G1248" s="10">
        <v>233.06</v>
      </c>
      <c r="H1248" s="10">
        <v>233.53</v>
      </c>
      <c r="I1248" s="11">
        <v>4529496</v>
      </c>
      <c r="J1248" s="10">
        <v>58382500000</v>
      </c>
      <c r="K1248" s="30">
        <f t="shared" si="114"/>
        <v>-0.15818725951261417</v>
      </c>
      <c r="L1248" s="31">
        <f t="shared" si="115"/>
        <v>2.1899999999999977</v>
      </c>
      <c r="M1248" s="30">
        <f t="shared" si="116"/>
        <v>9.3629756306113626E-3</v>
      </c>
      <c r="N1248" s="20" t="str">
        <f t="shared" si="119"/>
        <v>High volume</v>
      </c>
      <c r="O1248" s="32">
        <f t="shared" si="117"/>
        <v>58.3825</v>
      </c>
      <c r="P1248" s="20">
        <f t="shared" si="118"/>
        <v>12</v>
      </c>
      <c r="Q1248" s="20" t="str" cm="1">
        <f t="array" ref="Q1248">_xlfn.IFS(P1248&lt;=3,"Q1",P1248&lt;=6,"Q2",P1248&lt;=9,"Q3",P1248&lt;=12,"Q4")</f>
        <v>Q4</v>
      </c>
    </row>
    <row r="1249" spans="1:17" x14ac:dyDescent="0.25">
      <c r="A1249" s="14">
        <v>46008</v>
      </c>
      <c r="B1249" s="15" t="s">
        <v>69</v>
      </c>
      <c r="C1249" s="15" t="s">
        <v>70</v>
      </c>
      <c r="D1249" s="15" t="s">
        <v>71</v>
      </c>
      <c r="E1249" s="16">
        <v>542.51</v>
      </c>
      <c r="F1249" s="16">
        <v>545.44000000000005</v>
      </c>
      <c r="G1249" s="16">
        <v>538.54999999999995</v>
      </c>
      <c r="H1249" s="16">
        <v>543.36</v>
      </c>
      <c r="I1249" s="17">
        <v>1852947</v>
      </c>
      <c r="J1249" s="16">
        <v>434688000000</v>
      </c>
      <c r="K1249" s="30">
        <f t="shared" si="114"/>
        <v>0.15667913955503543</v>
      </c>
      <c r="L1249" s="31">
        <f t="shared" si="115"/>
        <v>6.8900000000001</v>
      </c>
      <c r="M1249" s="30">
        <f t="shared" si="116"/>
        <v>1.270022672393154E-2</v>
      </c>
      <c r="N1249" s="20" t="str">
        <f t="shared" si="119"/>
        <v>Normal</v>
      </c>
      <c r="O1249" s="32">
        <f t="shared" si="117"/>
        <v>434.68799999999999</v>
      </c>
      <c r="P1249" s="20">
        <f t="shared" si="118"/>
        <v>12</v>
      </c>
      <c r="Q1249" s="20" t="str" cm="1">
        <f t="array" ref="Q1249">_xlfn.IFS(P1249&lt;=3,"Q1",P1249&lt;=6,"Q2",P1249&lt;=9,"Q3",P1249&lt;=12,"Q4")</f>
        <v>Q4</v>
      </c>
    </row>
    <row r="1250" spans="1:17" x14ac:dyDescent="0.25">
      <c r="A1250" s="8">
        <v>46008</v>
      </c>
      <c r="B1250" s="9" t="s">
        <v>73</v>
      </c>
      <c r="C1250" s="9" t="s">
        <v>74</v>
      </c>
      <c r="D1250" s="9" t="s">
        <v>75</v>
      </c>
      <c r="E1250" s="10">
        <v>64.8</v>
      </c>
      <c r="F1250" s="10">
        <v>65.28</v>
      </c>
      <c r="G1250" s="10">
        <v>64.599999999999994</v>
      </c>
      <c r="H1250" s="10">
        <v>64.86</v>
      </c>
      <c r="I1250" s="11">
        <v>2097460</v>
      </c>
      <c r="J1250" s="10">
        <v>14269200000</v>
      </c>
      <c r="K1250" s="30">
        <f t="shared" si="114"/>
        <v>9.2592592592596112E-2</v>
      </c>
      <c r="L1250" s="31">
        <f t="shared" si="115"/>
        <v>0.68000000000000682</v>
      </c>
      <c r="M1250" s="30">
        <f t="shared" si="116"/>
        <v>1.0493827160493933E-2</v>
      </c>
      <c r="N1250" s="20" t="str">
        <f t="shared" si="119"/>
        <v>High volume</v>
      </c>
      <c r="O1250" s="32">
        <f t="shared" si="117"/>
        <v>14.2692</v>
      </c>
      <c r="P1250" s="20">
        <f t="shared" si="118"/>
        <v>12</v>
      </c>
      <c r="Q1250" s="20" t="str" cm="1">
        <f t="array" ref="Q1250">_xlfn.IFS(P1250&lt;=3,"Q1",P1250&lt;=6,"Q2",P1250&lt;=9,"Q3",P1250&lt;=12,"Q4")</f>
        <v>Q4</v>
      </c>
    </row>
    <row r="1251" spans="1:17" x14ac:dyDescent="0.25">
      <c r="A1251" s="14">
        <v>46008</v>
      </c>
      <c r="B1251" s="15" t="s">
        <v>76</v>
      </c>
      <c r="C1251" s="15" t="s">
        <v>77</v>
      </c>
      <c r="D1251" s="15" t="s">
        <v>75</v>
      </c>
      <c r="E1251" s="16">
        <v>153.44999999999999</v>
      </c>
      <c r="F1251" s="16">
        <v>154.69999999999999</v>
      </c>
      <c r="G1251" s="16">
        <v>153.34</v>
      </c>
      <c r="H1251" s="16">
        <v>154.38</v>
      </c>
      <c r="I1251" s="17">
        <v>2936374</v>
      </c>
      <c r="J1251" s="16">
        <v>30876000000</v>
      </c>
      <c r="K1251" s="30">
        <f t="shared" si="114"/>
        <v>0.60606060606061052</v>
      </c>
      <c r="L1251" s="31">
        <f t="shared" si="115"/>
        <v>1.3599999999999852</v>
      </c>
      <c r="M1251" s="30">
        <f t="shared" si="116"/>
        <v>8.8628217660474771E-3</v>
      </c>
      <c r="N1251" s="20" t="str">
        <f t="shared" si="119"/>
        <v>High volume</v>
      </c>
      <c r="O1251" s="32">
        <f t="shared" si="117"/>
        <v>30.876000000000001</v>
      </c>
      <c r="P1251" s="20">
        <f t="shared" si="118"/>
        <v>12</v>
      </c>
      <c r="Q1251" s="20" t="str" cm="1">
        <f t="array" ref="Q1251">_xlfn.IFS(P1251&lt;=3,"Q1",P1251&lt;=6,"Q2",P1251&lt;=9,"Q3",P1251&lt;=12,"Q4")</f>
        <v>Q4</v>
      </c>
    </row>
    <row r="1252" spans="1:17" x14ac:dyDescent="0.25">
      <c r="A1252" s="8">
        <v>46009</v>
      </c>
      <c r="B1252" s="9" t="s">
        <v>60</v>
      </c>
      <c r="C1252" s="9" t="s">
        <v>61</v>
      </c>
      <c r="D1252" s="9" t="s">
        <v>62</v>
      </c>
      <c r="E1252" s="10">
        <v>2176.4499999999998</v>
      </c>
      <c r="F1252" s="10">
        <v>2182.35</v>
      </c>
      <c r="G1252" s="10">
        <v>2157.06</v>
      </c>
      <c r="H1252" s="10">
        <v>2174.88</v>
      </c>
      <c r="I1252" s="11">
        <v>4973562</v>
      </c>
      <c r="J1252" s="10">
        <v>3044832000000</v>
      </c>
      <c r="K1252" s="30">
        <f t="shared" si="114"/>
        <v>-7.2135817500962984E-2</v>
      </c>
      <c r="L1252" s="31">
        <f t="shared" si="115"/>
        <v>25.289999999999964</v>
      </c>
      <c r="M1252" s="30">
        <f t="shared" si="116"/>
        <v>1.1619839647131782E-2</v>
      </c>
      <c r="N1252" s="20" t="str">
        <f t="shared" si="119"/>
        <v>High volume</v>
      </c>
      <c r="O1252" s="32">
        <f t="shared" si="117"/>
        <v>3044.8319999999999</v>
      </c>
      <c r="P1252" s="20">
        <f t="shared" si="118"/>
        <v>12</v>
      </c>
      <c r="Q1252" s="20" t="str" cm="1">
        <f t="array" ref="Q1252">_xlfn.IFS(P1252&lt;=3,"Q1",P1252&lt;=6,"Q2",P1252&lt;=9,"Q3",P1252&lt;=12,"Q4")</f>
        <v>Q4</v>
      </c>
    </row>
    <row r="1253" spans="1:17" x14ac:dyDescent="0.25">
      <c r="A1253" s="14">
        <v>46009</v>
      </c>
      <c r="B1253" s="15" t="s">
        <v>65</v>
      </c>
      <c r="C1253" s="15" t="s">
        <v>66</v>
      </c>
      <c r="D1253" s="15" t="s">
        <v>67</v>
      </c>
      <c r="E1253" s="16">
        <v>238.05</v>
      </c>
      <c r="F1253" s="16">
        <v>238.19</v>
      </c>
      <c r="G1253" s="16">
        <v>237.27</v>
      </c>
      <c r="H1253" s="16">
        <v>237.72</v>
      </c>
      <c r="I1253" s="17">
        <v>3527777</v>
      </c>
      <c r="J1253" s="16">
        <v>59430000000</v>
      </c>
      <c r="K1253" s="30">
        <f t="shared" si="114"/>
        <v>-0.13862633900441609</v>
      </c>
      <c r="L1253" s="31">
        <f t="shared" si="115"/>
        <v>0.91999999999998749</v>
      </c>
      <c r="M1253" s="30">
        <f t="shared" si="116"/>
        <v>3.8647342995168556E-3</v>
      </c>
      <c r="N1253" s="20" t="str">
        <f t="shared" si="119"/>
        <v>High volume</v>
      </c>
      <c r="O1253" s="32">
        <f t="shared" si="117"/>
        <v>59.43</v>
      </c>
      <c r="P1253" s="20">
        <f t="shared" si="118"/>
        <v>12</v>
      </c>
      <c r="Q1253" s="20" t="str" cm="1">
        <f t="array" ref="Q1253">_xlfn.IFS(P1253&lt;=3,"Q1",P1253&lt;=6,"Q2",P1253&lt;=9,"Q3",P1253&lt;=12,"Q4")</f>
        <v>Q4</v>
      </c>
    </row>
    <row r="1254" spans="1:17" x14ac:dyDescent="0.25">
      <c r="A1254" s="8">
        <v>46009</v>
      </c>
      <c r="B1254" s="9" t="s">
        <v>69</v>
      </c>
      <c r="C1254" s="9" t="s">
        <v>70</v>
      </c>
      <c r="D1254" s="9" t="s">
        <v>71</v>
      </c>
      <c r="E1254" s="10">
        <v>541.15</v>
      </c>
      <c r="F1254" s="10">
        <v>546.88</v>
      </c>
      <c r="G1254" s="10">
        <v>536.65</v>
      </c>
      <c r="H1254" s="10">
        <v>541.19000000000005</v>
      </c>
      <c r="I1254" s="11">
        <v>4946583</v>
      </c>
      <c r="J1254" s="10">
        <v>432952000000</v>
      </c>
      <c r="K1254" s="30">
        <f t="shared" si="114"/>
        <v>7.391665896715755E-3</v>
      </c>
      <c r="L1254" s="31">
        <f t="shared" si="115"/>
        <v>10.230000000000018</v>
      </c>
      <c r="M1254" s="30">
        <f t="shared" si="116"/>
        <v>1.8904185530814042E-2</v>
      </c>
      <c r="N1254" s="20" t="str">
        <f t="shared" si="119"/>
        <v>High volume</v>
      </c>
      <c r="O1254" s="32">
        <f t="shared" si="117"/>
        <v>432.952</v>
      </c>
      <c r="P1254" s="20">
        <f t="shared" si="118"/>
        <v>12</v>
      </c>
      <c r="Q1254" s="20" t="str" cm="1">
        <f t="array" ref="Q1254">_xlfn.IFS(P1254&lt;=3,"Q1",P1254&lt;=6,"Q2",P1254&lt;=9,"Q3",P1254&lt;=12,"Q4")</f>
        <v>Q4</v>
      </c>
    </row>
    <row r="1255" spans="1:17" x14ac:dyDescent="0.25">
      <c r="A1255" s="14">
        <v>46009</v>
      </c>
      <c r="B1255" s="15" t="s">
        <v>73</v>
      </c>
      <c r="C1255" s="15" t="s">
        <v>74</v>
      </c>
      <c r="D1255" s="15" t="s">
        <v>75</v>
      </c>
      <c r="E1255" s="16">
        <v>67.33</v>
      </c>
      <c r="F1255" s="16">
        <v>68.63</v>
      </c>
      <c r="G1255" s="16">
        <v>66.47</v>
      </c>
      <c r="H1255" s="16">
        <v>67.39</v>
      </c>
      <c r="I1255" s="17">
        <v>883923</v>
      </c>
      <c r="J1255" s="16">
        <v>14825800000</v>
      </c>
      <c r="K1255" s="30">
        <f t="shared" si="114"/>
        <v>8.9113322441708415E-2</v>
      </c>
      <c r="L1255" s="31">
        <f t="shared" si="115"/>
        <v>2.1599999999999966</v>
      </c>
      <c r="M1255" s="30">
        <f t="shared" si="116"/>
        <v>3.2080796079013763E-2</v>
      </c>
      <c r="N1255" s="20" t="str">
        <f t="shared" si="119"/>
        <v>Normal</v>
      </c>
      <c r="O1255" s="32">
        <f t="shared" si="117"/>
        <v>14.825799999999999</v>
      </c>
      <c r="P1255" s="20">
        <f t="shared" si="118"/>
        <v>12</v>
      </c>
      <c r="Q1255" s="20" t="str" cm="1">
        <f t="array" ref="Q1255">_xlfn.IFS(P1255&lt;=3,"Q1",P1255&lt;=6,"Q2",P1255&lt;=9,"Q3",P1255&lt;=12,"Q4")</f>
        <v>Q4</v>
      </c>
    </row>
    <row r="1256" spans="1:17" x14ac:dyDescent="0.25">
      <c r="A1256" s="8">
        <v>46009</v>
      </c>
      <c r="B1256" s="9" t="s">
        <v>76</v>
      </c>
      <c r="C1256" s="9" t="s">
        <v>77</v>
      </c>
      <c r="D1256" s="9" t="s">
        <v>75</v>
      </c>
      <c r="E1256" s="10">
        <v>157.69999999999999</v>
      </c>
      <c r="F1256" s="10">
        <v>159.1</v>
      </c>
      <c r="G1256" s="10">
        <v>156.58000000000001</v>
      </c>
      <c r="H1256" s="10">
        <v>156.61000000000001</v>
      </c>
      <c r="I1256" s="11">
        <v>4424245</v>
      </c>
      <c r="J1256" s="10">
        <v>31322000000</v>
      </c>
      <c r="K1256" s="30">
        <f t="shared" si="114"/>
        <v>-0.69118579581482253</v>
      </c>
      <c r="L1256" s="31">
        <f t="shared" si="115"/>
        <v>2.5199999999999818</v>
      </c>
      <c r="M1256" s="30">
        <f t="shared" si="116"/>
        <v>1.5979708306911745E-2</v>
      </c>
      <c r="N1256" s="20" t="str">
        <f t="shared" si="119"/>
        <v>High volume</v>
      </c>
      <c r="O1256" s="32">
        <f t="shared" si="117"/>
        <v>31.321999999999999</v>
      </c>
      <c r="P1256" s="20">
        <f t="shared" si="118"/>
        <v>12</v>
      </c>
      <c r="Q1256" s="20" t="str" cm="1">
        <f t="array" ref="Q1256">_xlfn.IFS(P1256&lt;=3,"Q1",P1256&lt;=6,"Q2",P1256&lt;=9,"Q3",P1256&lt;=12,"Q4")</f>
        <v>Q4</v>
      </c>
    </row>
    <row r="1257" spans="1:17" x14ac:dyDescent="0.25">
      <c r="A1257" s="14">
        <v>46010</v>
      </c>
      <c r="B1257" s="15" t="s">
        <v>60</v>
      </c>
      <c r="C1257" s="15" t="s">
        <v>61</v>
      </c>
      <c r="D1257" s="15" t="s">
        <v>62</v>
      </c>
      <c r="E1257" s="16">
        <v>2163.65</v>
      </c>
      <c r="F1257" s="16">
        <v>2171.83</v>
      </c>
      <c r="G1257" s="16">
        <v>2148.3000000000002</v>
      </c>
      <c r="H1257" s="16">
        <v>2160.6</v>
      </c>
      <c r="I1257" s="17">
        <v>1013081</v>
      </c>
      <c r="J1257" s="16">
        <v>3024840000000</v>
      </c>
      <c r="K1257" s="30">
        <f t="shared" si="114"/>
        <v>-0.14096549811661691</v>
      </c>
      <c r="L1257" s="31">
        <f t="shared" si="115"/>
        <v>23.529999999999745</v>
      </c>
      <c r="M1257" s="30">
        <f t="shared" si="116"/>
        <v>1.087514154322545E-2</v>
      </c>
      <c r="N1257" s="20" t="str">
        <f t="shared" si="119"/>
        <v>Normal</v>
      </c>
      <c r="O1257" s="32">
        <f t="shared" si="117"/>
        <v>3024.84</v>
      </c>
      <c r="P1257" s="20">
        <f t="shared" si="118"/>
        <v>12</v>
      </c>
      <c r="Q1257" s="20" t="str" cm="1">
        <f t="array" ref="Q1257">_xlfn.IFS(P1257&lt;=3,"Q1",P1257&lt;=6,"Q2",P1257&lt;=9,"Q3",P1257&lt;=12,"Q4")</f>
        <v>Q4</v>
      </c>
    </row>
    <row r="1258" spans="1:17" x14ac:dyDescent="0.25">
      <c r="A1258" s="8">
        <v>46010</v>
      </c>
      <c r="B1258" s="9" t="s">
        <v>65</v>
      </c>
      <c r="C1258" s="9" t="s">
        <v>66</v>
      </c>
      <c r="D1258" s="9" t="s">
        <v>67</v>
      </c>
      <c r="E1258" s="10">
        <v>240.38</v>
      </c>
      <c r="F1258" s="10">
        <v>241.69</v>
      </c>
      <c r="G1258" s="10">
        <v>238.59</v>
      </c>
      <c r="H1258" s="10">
        <v>240.89</v>
      </c>
      <c r="I1258" s="11">
        <v>1715352</v>
      </c>
      <c r="J1258" s="10">
        <v>60222500000</v>
      </c>
      <c r="K1258" s="30">
        <f t="shared" si="114"/>
        <v>0.21216407355020839</v>
      </c>
      <c r="L1258" s="31">
        <f t="shared" si="115"/>
        <v>3.0999999999999943</v>
      </c>
      <c r="M1258" s="30">
        <f t="shared" si="116"/>
        <v>1.289624760795405E-2</v>
      </c>
      <c r="N1258" s="20" t="str">
        <f t="shared" si="119"/>
        <v>Normal</v>
      </c>
      <c r="O1258" s="32">
        <f t="shared" si="117"/>
        <v>60.222499999999997</v>
      </c>
      <c r="P1258" s="20">
        <f t="shared" si="118"/>
        <v>12</v>
      </c>
      <c r="Q1258" s="20" t="str" cm="1">
        <f t="array" ref="Q1258">_xlfn.IFS(P1258&lt;=3,"Q1",P1258&lt;=6,"Q2",P1258&lt;=9,"Q3",P1258&lt;=12,"Q4")</f>
        <v>Q4</v>
      </c>
    </row>
    <row r="1259" spans="1:17" x14ac:dyDescent="0.25">
      <c r="A1259" s="14">
        <v>46010</v>
      </c>
      <c r="B1259" s="15" t="s">
        <v>69</v>
      </c>
      <c r="C1259" s="15" t="s">
        <v>70</v>
      </c>
      <c r="D1259" s="15" t="s">
        <v>71</v>
      </c>
      <c r="E1259" s="16">
        <v>520.25</v>
      </c>
      <c r="F1259" s="16">
        <v>530.64</v>
      </c>
      <c r="G1259" s="16">
        <v>515.77</v>
      </c>
      <c r="H1259" s="16">
        <v>520.80999999999995</v>
      </c>
      <c r="I1259" s="17">
        <v>3691422</v>
      </c>
      <c r="J1259" s="16">
        <v>416648000000</v>
      </c>
      <c r="K1259" s="30">
        <f t="shared" si="114"/>
        <v>0.10764055742430476</v>
      </c>
      <c r="L1259" s="31">
        <f t="shared" si="115"/>
        <v>14.870000000000005</v>
      </c>
      <c r="M1259" s="30">
        <f t="shared" si="116"/>
        <v>2.8582412301778E-2</v>
      </c>
      <c r="N1259" s="20" t="str">
        <f t="shared" si="119"/>
        <v>High volume</v>
      </c>
      <c r="O1259" s="32">
        <f t="shared" si="117"/>
        <v>416.64800000000002</v>
      </c>
      <c r="P1259" s="20">
        <f t="shared" si="118"/>
        <v>12</v>
      </c>
      <c r="Q1259" s="20" t="str" cm="1">
        <f t="array" ref="Q1259">_xlfn.IFS(P1259&lt;=3,"Q1",P1259&lt;=6,"Q2",P1259&lt;=9,"Q3",P1259&lt;=12,"Q4")</f>
        <v>Q4</v>
      </c>
    </row>
    <row r="1260" spans="1:17" x14ac:dyDescent="0.25">
      <c r="A1260" s="8">
        <v>46010</v>
      </c>
      <c r="B1260" s="9" t="s">
        <v>73</v>
      </c>
      <c r="C1260" s="9" t="s">
        <v>74</v>
      </c>
      <c r="D1260" s="9" t="s">
        <v>75</v>
      </c>
      <c r="E1260" s="10">
        <v>68.790000000000006</v>
      </c>
      <c r="F1260" s="10">
        <v>69.52</v>
      </c>
      <c r="G1260" s="10">
        <v>68.72</v>
      </c>
      <c r="H1260" s="10">
        <v>69.290000000000006</v>
      </c>
      <c r="I1260" s="11">
        <v>2589861</v>
      </c>
      <c r="J1260" s="10">
        <v>15243800000</v>
      </c>
      <c r="K1260" s="30">
        <f t="shared" si="114"/>
        <v>0.72684983282453841</v>
      </c>
      <c r="L1260" s="31">
        <f t="shared" si="115"/>
        <v>0.79999999999999716</v>
      </c>
      <c r="M1260" s="30">
        <f t="shared" si="116"/>
        <v>1.1629597325192573E-2</v>
      </c>
      <c r="N1260" s="20" t="str">
        <f t="shared" si="119"/>
        <v>High volume</v>
      </c>
      <c r="O1260" s="32">
        <f t="shared" si="117"/>
        <v>15.2438</v>
      </c>
      <c r="P1260" s="20">
        <f t="shared" si="118"/>
        <v>12</v>
      </c>
      <c r="Q1260" s="20" t="str" cm="1">
        <f t="array" ref="Q1260">_xlfn.IFS(P1260&lt;=3,"Q1",P1260&lt;=6,"Q2",P1260&lt;=9,"Q3",P1260&lt;=12,"Q4")</f>
        <v>Q4</v>
      </c>
    </row>
    <row r="1261" spans="1:17" x14ac:dyDescent="0.25">
      <c r="A1261" s="14">
        <v>46010</v>
      </c>
      <c r="B1261" s="15" t="s">
        <v>76</v>
      </c>
      <c r="C1261" s="15" t="s">
        <v>77</v>
      </c>
      <c r="D1261" s="15" t="s">
        <v>75</v>
      </c>
      <c r="E1261" s="16">
        <v>154.77000000000001</v>
      </c>
      <c r="F1261" s="16">
        <v>154.86000000000001</v>
      </c>
      <c r="G1261" s="16">
        <v>152.55000000000001</v>
      </c>
      <c r="H1261" s="16">
        <v>154.72999999999999</v>
      </c>
      <c r="I1261" s="17">
        <v>3287160</v>
      </c>
      <c r="J1261" s="16">
        <v>30946000000</v>
      </c>
      <c r="K1261" s="30">
        <f t="shared" si="114"/>
        <v>-2.5844801964218171E-2</v>
      </c>
      <c r="L1261" s="31">
        <f t="shared" si="115"/>
        <v>2.3100000000000023</v>
      </c>
      <c r="M1261" s="30">
        <f t="shared" si="116"/>
        <v>1.4925373134328372E-2</v>
      </c>
      <c r="N1261" s="20" t="str">
        <f t="shared" si="119"/>
        <v>High volume</v>
      </c>
      <c r="O1261" s="32">
        <f t="shared" si="117"/>
        <v>30.946000000000002</v>
      </c>
      <c r="P1261" s="20">
        <f t="shared" si="118"/>
        <v>12</v>
      </c>
      <c r="Q1261" s="20" t="str" cm="1">
        <f t="array" ref="Q1261">_xlfn.IFS(P1261&lt;=3,"Q1",P1261&lt;=6,"Q2",P1261&lt;=9,"Q3",P1261&lt;=12,"Q4")</f>
        <v>Q4</v>
      </c>
    </row>
    <row r="1262" spans="1:17" x14ac:dyDescent="0.25">
      <c r="A1262" s="8">
        <v>46013</v>
      </c>
      <c r="B1262" s="9" t="s">
        <v>60</v>
      </c>
      <c r="C1262" s="9" t="s">
        <v>61</v>
      </c>
      <c r="D1262" s="9" t="s">
        <v>62</v>
      </c>
      <c r="E1262" s="10">
        <v>2117.48</v>
      </c>
      <c r="F1262" s="10">
        <v>2120.96</v>
      </c>
      <c r="G1262" s="10">
        <v>2101.39</v>
      </c>
      <c r="H1262" s="10">
        <v>2106.85</v>
      </c>
      <c r="I1262" s="11">
        <v>4113752</v>
      </c>
      <c r="J1262" s="10">
        <v>2949590000000</v>
      </c>
      <c r="K1262" s="30">
        <f t="shared" si="114"/>
        <v>-0.50201182537734046</v>
      </c>
      <c r="L1262" s="31">
        <f t="shared" si="115"/>
        <v>19.570000000000164</v>
      </c>
      <c r="M1262" s="30">
        <f t="shared" si="116"/>
        <v>9.2421179893081226E-3</v>
      </c>
      <c r="N1262" s="20" t="str">
        <f t="shared" si="119"/>
        <v>High volume</v>
      </c>
      <c r="O1262" s="32">
        <f t="shared" si="117"/>
        <v>2949.59</v>
      </c>
      <c r="P1262" s="20">
        <f t="shared" si="118"/>
        <v>12</v>
      </c>
      <c r="Q1262" s="20" t="str" cm="1">
        <f t="array" ref="Q1262">_xlfn.IFS(P1262&lt;=3,"Q1",P1262&lt;=6,"Q2",P1262&lt;=9,"Q3",P1262&lt;=12,"Q4")</f>
        <v>Q4</v>
      </c>
    </row>
    <row r="1263" spans="1:17" x14ac:dyDescent="0.25">
      <c r="A1263" s="14">
        <v>46013</v>
      </c>
      <c r="B1263" s="15" t="s">
        <v>65</v>
      </c>
      <c r="C1263" s="15" t="s">
        <v>66</v>
      </c>
      <c r="D1263" s="15" t="s">
        <v>67</v>
      </c>
      <c r="E1263" s="16">
        <v>243.29</v>
      </c>
      <c r="F1263" s="16">
        <v>244.44</v>
      </c>
      <c r="G1263" s="16">
        <v>242.36</v>
      </c>
      <c r="H1263" s="16">
        <v>243.39</v>
      </c>
      <c r="I1263" s="17">
        <v>1429176</v>
      </c>
      <c r="J1263" s="16">
        <v>60847500000</v>
      </c>
      <c r="K1263" s="30">
        <f t="shared" si="114"/>
        <v>4.1103210160711216E-2</v>
      </c>
      <c r="L1263" s="31">
        <f t="shared" si="115"/>
        <v>2.0799999999999841</v>
      </c>
      <c r="M1263" s="30">
        <f t="shared" si="116"/>
        <v>8.5494677134283544E-3</v>
      </c>
      <c r="N1263" s="20" t="str">
        <f t="shared" si="119"/>
        <v>Normal</v>
      </c>
      <c r="O1263" s="32">
        <f t="shared" si="117"/>
        <v>60.847499999999997</v>
      </c>
      <c r="P1263" s="20">
        <f t="shared" si="118"/>
        <v>12</v>
      </c>
      <c r="Q1263" s="20" t="str" cm="1">
        <f t="array" ref="Q1263">_xlfn.IFS(P1263&lt;=3,"Q1",P1263&lt;=6,"Q2",P1263&lt;=9,"Q3",P1263&lt;=12,"Q4")</f>
        <v>Q4</v>
      </c>
    </row>
    <row r="1264" spans="1:17" x14ac:dyDescent="0.25">
      <c r="A1264" s="8">
        <v>46013</v>
      </c>
      <c r="B1264" s="9" t="s">
        <v>69</v>
      </c>
      <c r="C1264" s="9" t="s">
        <v>70</v>
      </c>
      <c r="D1264" s="9" t="s">
        <v>71</v>
      </c>
      <c r="E1264" s="10">
        <v>533.47</v>
      </c>
      <c r="F1264" s="10">
        <v>534.77</v>
      </c>
      <c r="G1264" s="10">
        <v>531.04999999999995</v>
      </c>
      <c r="H1264" s="10">
        <v>531.15</v>
      </c>
      <c r="I1264" s="11">
        <v>1802363</v>
      </c>
      <c r="J1264" s="10">
        <v>424920000000</v>
      </c>
      <c r="K1264" s="30">
        <f t="shared" si="114"/>
        <v>-0.43488855980655894</v>
      </c>
      <c r="L1264" s="31">
        <f t="shared" si="115"/>
        <v>3.7200000000000273</v>
      </c>
      <c r="M1264" s="30">
        <f t="shared" si="116"/>
        <v>6.9732131141395527E-3</v>
      </c>
      <c r="N1264" s="20" t="str">
        <f t="shared" si="119"/>
        <v>Normal</v>
      </c>
      <c r="O1264" s="32">
        <f t="shared" si="117"/>
        <v>424.92</v>
      </c>
      <c r="P1264" s="20">
        <f t="shared" si="118"/>
        <v>12</v>
      </c>
      <c r="Q1264" s="20" t="str" cm="1">
        <f t="array" ref="Q1264">_xlfn.IFS(P1264&lt;=3,"Q1",P1264&lt;=6,"Q2",P1264&lt;=9,"Q3",P1264&lt;=12,"Q4")</f>
        <v>Q4</v>
      </c>
    </row>
    <row r="1265" spans="1:17" x14ac:dyDescent="0.25">
      <c r="A1265" s="14">
        <v>46013</v>
      </c>
      <c r="B1265" s="15" t="s">
        <v>73</v>
      </c>
      <c r="C1265" s="15" t="s">
        <v>74</v>
      </c>
      <c r="D1265" s="15" t="s">
        <v>75</v>
      </c>
      <c r="E1265" s="16">
        <v>68.239999999999995</v>
      </c>
      <c r="F1265" s="16">
        <v>68.849999999999994</v>
      </c>
      <c r="G1265" s="16">
        <v>67.69</v>
      </c>
      <c r="H1265" s="16">
        <v>67.87</v>
      </c>
      <c r="I1265" s="17">
        <v>1108105</v>
      </c>
      <c r="J1265" s="16">
        <v>14931400000</v>
      </c>
      <c r="K1265" s="30">
        <f t="shared" si="114"/>
        <v>-0.5422039859319906</v>
      </c>
      <c r="L1265" s="31">
        <f t="shared" si="115"/>
        <v>1.1599999999999966</v>
      </c>
      <c r="M1265" s="30">
        <f t="shared" si="116"/>
        <v>1.6998827667057397E-2</v>
      </c>
      <c r="N1265" s="20" t="str">
        <f t="shared" si="119"/>
        <v>Normal</v>
      </c>
      <c r="O1265" s="32">
        <f t="shared" si="117"/>
        <v>14.9314</v>
      </c>
      <c r="P1265" s="20">
        <f t="shared" si="118"/>
        <v>12</v>
      </c>
      <c r="Q1265" s="20" t="str" cm="1">
        <f t="array" ref="Q1265">_xlfn.IFS(P1265&lt;=3,"Q1",P1265&lt;=6,"Q2",P1265&lt;=9,"Q3",P1265&lt;=12,"Q4")</f>
        <v>Q4</v>
      </c>
    </row>
    <row r="1266" spans="1:17" x14ac:dyDescent="0.25">
      <c r="A1266" s="8">
        <v>46013</v>
      </c>
      <c r="B1266" s="9" t="s">
        <v>76</v>
      </c>
      <c r="C1266" s="9" t="s">
        <v>77</v>
      </c>
      <c r="D1266" s="9" t="s">
        <v>75</v>
      </c>
      <c r="E1266" s="10">
        <v>154.97999999999999</v>
      </c>
      <c r="F1266" s="10">
        <v>156.80000000000001</v>
      </c>
      <c r="G1266" s="10">
        <v>153.55000000000001</v>
      </c>
      <c r="H1266" s="10">
        <v>155.06</v>
      </c>
      <c r="I1266" s="11">
        <v>2762584</v>
      </c>
      <c r="J1266" s="10">
        <v>31012000000</v>
      </c>
      <c r="K1266" s="30">
        <f t="shared" si="114"/>
        <v>5.161956381469384E-2</v>
      </c>
      <c r="L1266" s="31">
        <f t="shared" si="115"/>
        <v>3.25</v>
      </c>
      <c r="M1266" s="30">
        <f t="shared" si="116"/>
        <v>2.0970447799716095E-2</v>
      </c>
      <c r="N1266" s="20" t="str">
        <f t="shared" si="119"/>
        <v>High volume</v>
      </c>
      <c r="O1266" s="32">
        <f t="shared" si="117"/>
        <v>31.012</v>
      </c>
      <c r="P1266" s="20">
        <f t="shared" si="118"/>
        <v>12</v>
      </c>
      <c r="Q1266" s="20" t="str" cm="1">
        <f t="array" ref="Q1266">_xlfn.IFS(P1266&lt;=3,"Q1",P1266&lt;=6,"Q2",P1266&lt;=9,"Q3",P1266&lt;=12,"Q4")</f>
        <v>Q4</v>
      </c>
    </row>
    <row r="1267" spans="1:17" x14ac:dyDescent="0.25">
      <c r="A1267" s="14">
        <v>46014</v>
      </c>
      <c r="B1267" s="15" t="s">
        <v>60</v>
      </c>
      <c r="C1267" s="15" t="s">
        <v>61</v>
      </c>
      <c r="D1267" s="15" t="s">
        <v>62</v>
      </c>
      <c r="E1267" s="16">
        <v>2102.67</v>
      </c>
      <c r="F1267" s="16">
        <v>2112.92</v>
      </c>
      <c r="G1267" s="16">
        <v>2086.0500000000002</v>
      </c>
      <c r="H1267" s="16">
        <v>2093.08</v>
      </c>
      <c r="I1267" s="17">
        <v>3182456</v>
      </c>
      <c r="J1267" s="16">
        <v>2930312000000</v>
      </c>
      <c r="K1267" s="30">
        <f t="shared" si="114"/>
        <v>-0.4560867848973042</v>
      </c>
      <c r="L1267" s="31">
        <f t="shared" si="115"/>
        <v>26.869999999999891</v>
      </c>
      <c r="M1267" s="30">
        <f t="shared" si="116"/>
        <v>1.2778990521574898E-2</v>
      </c>
      <c r="N1267" s="20" t="str">
        <f t="shared" si="119"/>
        <v>High volume</v>
      </c>
      <c r="O1267" s="32">
        <f t="shared" si="117"/>
        <v>2930.3119999999999</v>
      </c>
      <c r="P1267" s="20">
        <f t="shared" si="118"/>
        <v>12</v>
      </c>
      <c r="Q1267" s="20" t="str" cm="1">
        <f t="array" ref="Q1267">_xlfn.IFS(P1267&lt;=3,"Q1",P1267&lt;=6,"Q2",P1267&lt;=9,"Q3",P1267&lt;=12,"Q4")</f>
        <v>Q4</v>
      </c>
    </row>
    <row r="1268" spans="1:17" x14ac:dyDescent="0.25">
      <c r="A1268" s="8">
        <v>46014</v>
      </c>
      <c r="B1268" s="9" t="s">
        <v>65</v>
      </c>
      <c r="C1268" s="9" t="s">
        <v>66</v>
      </c>
      <c r="D1268" s="9" t="s">
        <v>67</v>
      </c>
      <c r="E1268" s="10">
        <v>245.1</v>
      </c>
      <c r="F1268" s="10">
        <v>247.38</v>
      </c>
      <c r="G1268" s="10">
        <v>241.79</v>
      </c>
      <c r="H1268" s="10">
        <v>247.33</v>
      </c>
      <c r="I1268" s="11">
        <v>1299369</v>
      </c>
      <c r="J1268" s="10">
        <v>61832500000</v>
      </c>
      <c r="K1268" s="30">
        <f t="shared" si="114"/>
        <v>0.90983272133823667</v>
      </c>
      <c r="L1268" s="31">
        <f t="shared" si="115"/>
        <v>5.5900000000000034</v>
      </c>
      <c r="M1268" s="30">
        <f t="shared" si="116"/>
        <v>2.2807017543859665E-2</v>
      </c>
      <c r="N1268" s="20" t="str">
        <f t="shared" si="119"/>
        <v>Normal</v>
      </c>
      <c r="O1268" s="32">
        <f t="shared" si="117"/>
        <v>61.832500000000003</v>
      </c>
      <c r="P1268" s="20">
        <f t="shared" si="118"/>
        <v>12</v>
      </c>
      <c r="Q1268" s="20" t="str" cm="1">
        <f t="array" ref="Q1268">_xlfn.IFS(P1268&lt;=3,"Q1",P1268&lt;=6,"Q2",P1268&lt;=9,"Q3",P1268&lt;=12,"Q4")</f>
        <v>Q4</v>
      </c>
    </row>
    <row r="1269" spans="1:17" x14ac:dyDescent="0.25">
      <c r="A1269" s="14">
        <v>46014</v>
      </c>
      <c r="B1269" s="15" t="s">
        <v>69</v>
      </c>
      <c r="C1269" s="15" t="s">
        <v>70</v>
      </c>
      <c r="D1269" s="15" t="s">
        <v>71</v>
      </c>
      <c r="E1269" s="16">
        <v>532.76</v>
      </c>
      <c r="F1269" s="16">
        <v>535.52</v>
      </c>
      <c r="G1269" s="16">
        <v>530.29</v>
      </c>
      <c r="H1269" s="16">
        <v>532.26</v>
      </c>
      <c r="I1269" s="17">
        <v>4155876</v>
      </c>
      <c r="J1269" s="16">
        <v>425808000000</v>
      </c>
      <c r="K1269" s="30">
        <f t="shared" si="114"/>
        <v>-9.3850889706434418E-2</v>
      </c>
      <c r="L1269" s="31">
        <f t="shared" si="115"/>
        <v>5.2300000000000182</v>
      </c>
      <c r="M1269" s="30">
        <f t="shared" si="116"/>
        <v>9.8168030632930746E-3</v>
      </c>
      <c r="N1269" s="20" t="str">
        <f t="shared" si="119"/>
        <v>High volume</v>
      </c>
      <c r="O1269" s="32">
        <f t="shared" si="117"/>
        <v>425.80799999999999</v>
      </c>
      <c r="P1269" s="20">
        <f t="shared" si="118"/>
        <v>12</v>
      </c>
      <c r="Q1269" s="20" t="str" cm="1">
        <f t="array" ref="Q1269">_xlfn.IFS(P1269&lt;=3,"Q1",P1269&lt;=6,"Q2",P1269&lt;=9,"Q3",P1269&lt;=12,"Q4")</f>
        <v>Q4</v>
      </c>
    </row>
    <row r="1270" spans="1:17" x14ac:dyDescent="0.25">
      <c r="A1270" s="8">
        <v>46014</v>
      </c>
      <c r="B1270" s="9" t="s">
        <v>73</v>
      </c>
      <c r="C1270" s="9" t="s">
        <v>74</v>
      </c>
      <c r="D1270" s="9" t="s">
        <v>75</v>
      </c>
      <c r="E1270" s="10">
        <v>68.5</v>
      </c>
      <c r="F1270" s="10">
        <v>68.58</v>
      </c>
      <c r="G1270" s="10">
        <v>67.989999999999995</v>
      </c>
      <c r="H1270" s="10">
        <v>68.510000000000005</v>
      </c>
      <c r="I1270" s="11">
        <v>1676941</v>
      </c>
      <c r="J1270" s="10">
        <v>15072200000</v>
      </c>
      <c r="K1270" s="30">
        <f t="shared" si="114"/>
        <v>1.4598540145992871E-2</v>
      </c>
      <c r="L1270" s="31">
        <f t="shared" si="115"/>
        <v>0.59000000000000341</v>
      </c>
      <c r="M1270" s="30">
        <f t="shared" si="116"/>
        <v>8.6131386861314375E-3</v>
      </c>
      <c r="N1270" s="20" t="str">
        <f t="shared" si="119"/>
        <v>Normal</v>
      </c>
      <c r="O1270" s="32">
        <f t="shared" si="117"/>
        <v>15.0722</v>
      </c>
      <c r="P1270" s="20">
        <f t="shared" si="118"/>
        <v>12</v>
      </c>
      <c r="Q1270" s="20" t="str" cm="1">
        <f t="array" ref="Q1270">_xlfn.IFS(P1270&lt;=3,"Q1",P1270&lt;=6,"Q2",P1270&lt;=9,"Q3",P1270&lt;=12,"Q4")</f>
        <v>Q4</v>
      </c>
    </row>
    <row r="1271" spans="1:17" x14ac:dyDescent="0.25">
      <c r="A1271" s="14">
        <v>46014</v>
      </c>
      <c r="B1271" s="15" t="s">
        <v>76</v>
      </c>
      <c r="C1271" s="15" t="s">
        <v>77</v>
      </c>
      <c r="D1271" s="15" t="s">
        <v>75</v>
      </c>
      <c r="E1271" s="16">
        <v>151.68</v>
      </c>
      <c r="F1271" s="16">
        <v>152.33000000000001</v>
      </c>
      <c r="G1271" s="16">
        <v>151.65</v>
      </c>
      <c r="H1271" s="16">
        <v>152.13999999999999</v>
      </c>
      <c r="I1271" s="17">
        <v>4389068</v>
      </c>
      <c r="J1271" s="16">
        <v>30428000000</v>
      </c>
      <c r="K1271" s="30">
        <f t="shared" si="114"/>
        <v>0.30327004219407933</v>
      </c>
      <c r="L1271" s="31">
        <f t="shared" si="115"/>
        <v>0.68000000000000682</v>
      </c>
      <c r="M1271" s="30">
        <f t="shared" si="116"/>
        <v>4.4831223628692433E-3</v>
      </c>
      <c r="N1271" s="20" t="str">
        <f t="shared" si="119"/>
        <v>High volume</v>
      </c>
      <c r="O1271" s="32">
        <f t="shared" si="117"/>
        <v>30.428000000000001</v>
      </c>
      <c r="P1271" s="20">
        <f t="shared" si="118"/>
        <v>12</v>
      </c>
      <c r="Q1271" s="20" t="str" cm="1">
        <f t="array" ref="Q1271">_xlfn.IFS(P1271&lt;=3,"Q1",P1271&lt;=6,"Q2",P1271&lt;=9,"Q3",P1271&lt;=12,"Q4")</f>
        <v>Q4</v>
      </c>
    </row>
    <row r="1272" spans="1:17" x14ac:dyDescent="0.25">
      <c r="A1272" s="8">
        <v>46015</v>
      </c>
      <c r="B1272" s="9" t="s">
        <v>60</v>
      </c>
      <c r="C1272" s="9" t="s">
        <v>61</v>
      </c>
      <c r="D1272" s="9" t="s">
        <v>62</v>
      </c>
      <c r="E1272" s="10">
        <v>2097.08</v>
      </c>
      <c r="F1272" s="10">
        <v>2118.7600000000002</v>
      </c>
      <c r="G1272" s="10">
        <v>2075.8000000000002</v>
      </c>
      <c r="H1272" s="10">
        <v>2098.9699999999998</v>
      </c>
      <c r="I1272" s="11">
        <v>4241122</v>
      </c>
      <c r="J1272" s="10">
        <v>2938558000000</v>
      </c>
      <c r="K1272" s="30">
        <f t="shared" si="114"/>
        <v>9.0125317107591169E-2</v>
      </c>
      <c r="L1272" s="31">
        <f t="shared" si="115"/>
        <v>42.960000000000036</v>
      </c>
      <c r="M1272" s="30">
        <f t="shared" si="116"/>
        <v>2.0485627634615769E-2</v>
      </c>
      <c r="N1272" s="20" t="str">
        <f t="shared" si="119"/>
        <v>High volume</v>
      </c>
      <c r="O1272" s="32">
        <f t="shared" si="117"/>
        <v>2938.558</v>
      </c>
      <c r="P1272" s="20">
        <f t="shared" si="118"/>
        <v>12</v>
      </c>
      <c r="Q1272" s="20" t="str" cm="1">
        <f t="array" ref="Q1272">_xlfn.IFS(P1272&lt;=3,"Q1",P1272&lt;=6,"Q2",P1272&lt;=9,"Q3",P1272&lt;=12,"Q4")</f>
        <v>Q4</v>
      </c>
    </row>
    <row r="1273" spans="1:17" x14ac:dyDescent="0.25">
      <c r="A1273" s="14">
        <v>46015</v>
      </c>
      <c r="B1273" s="15" t="s">
        <v>65</v>
      </c>
      <c r="C1273" s="15" t="s">
        <v>66</v>
      </c>
      <c r="D1273" s="15" t="s">
        <v>67</v>
      </c>
      <c r="E1273" s="16">
        <v>247.66</v>
      </c>
      <c r="F1273" s="16">
        <v>251.5</v>
      </c>
      <c r="G1273" s="16">
        <v>247.07</v>
      </c>
      <c r="H1273" s="16">
        <v>249.31</v>
      </c>
      <c r="I1273" s="17">
        <v>3583173</v>
      </c>
      <c r="J1273" s="16">
        <v>62327500000</v>
      </c>
      <c r="K1273" s="30">
        <f t="shared" si="114"/>
        <v>0.66623596866672274</v>
      </c>
      <c r="L1273" s="31">
        <f t="shared" si="115"/>
        <v>4.4300000000000068</v>
      </c>
      <c r="M1273" s="30">
        <f t="shared" si="116"/>
        <v>1.7887426310264101E-2</v>
      </c>
      <c r="N1273" s="20" t="str">
        <f t="shared" si="119"/>
        <v>High volume</v>
      </c>
      <c r="O1273" s="32">
        <f t="shared" si="117"/>
        <v>62.327500000000001</v>
      </c>
      <c r="P1273" s="20">
        <f t="shared" si="118"/>
        <v>12</v>
      </c>
      <c r="Q1273" s="20" t="str" cm="1">
        <f t="array" ref="Q1273">_xlfn.IFS(P1273&lt;=3,"Q1",P1273&lt;=6,"Q2",P1273&lt;=9,"Q3",P1273&lt;=12,"Q4")</f>
        <v>Q4</v>
      </c>
    </row>
    <row r="1274" spans="1:17" x14ac:dyDescent="0.25">
      <c r="A1274" s="8">
        <v>46015</v>
      </c>
      <c r="B1274" s="9" t="s">
        <v>69</v>
      </c>
      <c r="C1274" s="9" t="s">
        <v>70</v>
      </c>
      <c r="D1274" s="9" t="s">
        <v>71</v>
      </c>
      <c r="E1274" s="10">
        <v>531.47</v>
      </c>
      <c r="F1274" s="10">
        <v>537.14</v>
      </c>
      <c r="G1274" s="10">
        <v>526.87</v>
      </c>
      <c r="H1274" s="10">
        <v>534.74</v>
      </c>
      <c r="I1274" s="11">
        <v>2686035</v>
      </c>
      <c r="J1274" s="10">
        <v>427792000000</v>
      </c>
      <c r="K1274" s="30">
        <f t="shared" si="114"/>
        <v>0.61527461568855846</v>
      </c>
      <c r="L1274" s="31">
        <f t="shared" si="115"/>
        <v>10.269999999999982</v>
      </c>
      <c r="M1274" s="30">
        <f t="shared" si="116"/>
        <v>1.9323762394867033E-2</v>
      </c>
      <c r="N1274" s="20" t="str">
        <f t="shared" si="119"/>
        <v>High volume</v>
      </c>
      <c r="O1274" s="32">
        <f t="shared" si="117"/>
        <v>427.79199999999997</v>
      </c>
      <c r="P1274" s="20">
        <f t="shared" si="118"/>
        <v>12</v>
      </c>
      <c r="Q1274" s="20" t="str" cm="1">
        <f t="array" ref="Q1274">_xlfn.IFS(P1274&lt;=3,"Q1",P1274&lt;=6,"Q2",P1274&lt;=9,"Q3",P1274&lt;=12,"Q4")</f>
        <v>Q4</v>
      </c>
    </row>
    <row r="1275" spans="1:17" x14ac:dyDescent="0.25">
      <c r="A1275" s="14">
        <v>46015</v>
      </c>
      <c r="B1275" s="15" t="s">
        <v>73</v>
      </c>
      <c r="C1275" s="15" t="s">
        <v>74</v>
      </c>
      <c r="D1275" s="15" t="s">
        <v>75</v>
      </c>
      <c r="E1275" s="16">
        <v>69.599999999999994</v>
      </c>
      <c r="F1275" s="16">
        <v>69.66</v>
      </c>
      <c r="G1275" s="16">
        <v>69.48</v>
      </c>
      <c r="H1275" s="16">
        <v>69.489999999999995</v>
      </c>
      <c r="I1275" s="17">
        <v>3373670</v>
      </c>
      <c r="J1275" s="16">
        <v>15287800000</v>
      </c>
      <c r="K1275" s="30">
        <f t="shared" si="114"/>
        <v>-0.15804597701149345</v>
      </c>
      <c r="L1275" s="31">
        <f t="shared" si="115"/>
        <v>0.17999999999999261</v>
      </c>
      <c r="M1275" s="30">
        <f t="shared" si="116"/>
        <v>2.5862068965516183E-3</v>
      </c>
      <c r="N1275" s="20" t="str">
        <f t="shared" si="119"/>
        <v>High volume</v>
      </c>
      <c r="O1275" s="32">
        <f t="shared" si="117"/>
        <v>15.287800000000001</v>
      </c>
      <c r="P1275" s="20">
        <f t="shared" si="118"/>
        <v>12</v>
      </c>
      <c r="Q1275" s="20" t="str" cm="1">
        <f t="array" ref="Q1275">_xlfn.IFS(P1275&lt;=3,"Q1",P1275&lt;=6,"Q2",P1275&lt;=9,"Q3",P1275&lt;=12,"Q4")</f>
        <v>Q4</v>
      </c>
    </row>
    <row r="1276" spans="1:17" x14ac:dyDescent="0.25">
      <c r="A1276" s="8">
        <v>46015</v>
      </c>
      <c r="B1276" s="9" t="s">
        <v>76</v>
      </c>
      <c r="C1276" s="9" t="s">
        <v>77</v>
      </c>
      <c r="D1276" s="9" t="s">
        <v>75</v>
      </c>
      <c r="E1276" s="10">
        <v>149.97999999999999</v>
      </c>
      <c r="F1276" s="10">
        <v>151.59</v>
      </c>
      <c r="G1276" s="10">
        <v>147.49</v>
      </c>
      <c r="H1276" s="10">
        <v>148.88999999999999</v>
      </c>
      <c r="I1276" s="11">
        <v>1116631</v>
      </c>
      <c r="J1276" s="10">
        <v>29778000000</v>
      </c>
      <c r="K1276" s="30">
        <f t="shared" si="114"/>
        <v>-0.72676356847579915</v>
      </c>
      <c r="L1276" s="31">
        <f t="shared" si="115"/>
        <v>4.0999999999999943</v>
      </c>
      <c r="M1276" s="30">
        <f t="shared" si="116"/>
        <v>2.7336978263768467E-2</v>
      </c>
      <c r="N1276" s="20" t="str">
        <f t="shared" si="119"/>
        <v>Normal</v>
      </c>
      <c r="O1276" s="32">
        <f t="shared" si="117"/>
        <v>29.777999999999999</v>
      </c>
      <c r="P1276" s="20">
        <f t="shared" si="118"/>
        <v>12</v>
      </c>
      <c r="Q1276" s="20" t="str" cm="1">
        <f t="array" ref="Q1276">_xlfn.IFS(P1276&lt;=3,"Q1",P1276&lt;=6,"Q2",P1276&lt;=9,"Q3",P1276&lt;=12,"Q4")</f>
        <v>Q4</v>
      </c>
    </row>
    <row r="1277" spans="1:17" x14ac:dyDescent="0.25">
      <c r="A1277" s="14">
        <v>46016</v>
      </c>
      <c r="B1277" s="15" t="s">
        <v>60</v>
      </c>
      <c r="C1277" s="15" t="s">
        <v>61</v>
      </c>
      <c r="D1277" s="15" t="s">
        <v>62</v>
      </c>
      <c r="E1277" s="16">
        <v>2110.5500000000002</v>
      </c>
      <c r="F1277" s="16">
        <v>2157.73</v>
      </c>
      <c r="G1277" s="16">
        <v>2087.6799999999998</v>
      </c>
      <c r="H1277" s="16">
        <v>2116.54</v>
      </c>
      <c r="I1277" s="17">
        <v>773530</v>
      </c>
      <c r="J1277" s="16">
        <v>2963156000000</v>
      </c>
      <c r="K1277" s="30">
        <f t="shared" si="114"/>
        <v>0.28381227642082779</v>
      </c>
      <c r="L1277" s="31">
        <f t="shared" si="115"/>
        <v>70.050000000000182</v>
      </c>
      <c r="M1277" s="30">
        <f t="shared" si="116"/>
        <v>3.3190400606477065E-2</v>
      </c>
      <c r="N1277" s="20" t="str">
        <f t="shared" si="119"/>
        <v>Normal</v>
      </c>
      <c r="O1277" s="32">
        <f t="shared" si="117"/>
        <v>2963.1559999999999</v>
      </c>
      <c r="P1277" s="20">
        <f t="shared" si="118"/>
        <v>12</v>
      </c>
      <c r="Q1277" s="20" t="str" cm="1">
        <f t="array" ref="Q1277">_xlfn.IFS(P1277&lt;=3,"Q1",P1277&lt;=6,"Q2",P1277&lt;=9,"Q3",P1277&lt;=12,"Q4")</f>
        <v>Q4</v>
      </c>
    </row>
    <row r="1278" spans="1:17" x14ac:dyDescent="0.25">
      <c r="A1278" s="8">
        <v>46016</v>
      </c>
      <c r="B1278" s="9" t="s">
        <v>65</v>
      </c>
      <c r="C1278" s="9" t="s">
        <v>66</v>
      </c>
      <c r="D1278" s="9" t="s">
        <v>67</v>
      </c>
      <c r="E1278" s="10">
        <v>247.87</v>
      </c>
      <c r="F1278" s="10">
        <v>249.14</v>
      </c>
      <c r="G1278" s="10">
        <v>246.28</v>
      </c>
      <c r="H1278" s="10">
        <v>248.88</v>
      </c>
      <c r="I1278" s="11">
        <v>849455</v>
      </c>
      <c r="J1278" s="10">
        <v>62220000000</v>
      </c>
      <c r="K1278" s="30">
        <f t="shared" si="114"/>
        <v>0.40747165853067768</v>
      </c>
      <c r="L1278" s="31">
        <f t="shared" si="115"/>
        <v>2.8599999999999852</v>
      </c>
      <c r="M1278" s="30">
        <f t="shared" si="116"/>
        <v>1.1538306370274681E-2</v>
      </c>
      <c r="N1278" s="20" t="str">
        <f t="shared" si="119"/>
        <v>Normal</v>
      </c>
      <c r="O1278" s="32">
        <f t="shared" si="117"/>
        <v>62.22</v>
      </c>
      <c r="P1278" s="20">
        <f t="shared" si="118"/>
        <v>12</v>
      </c>
      <c r="Q1278" s="20" t="str" cm="1">
        <f t="array" ref="Q1278">_xlfn.IFS(P1278&lt;=3,"Q1",P1278&lt;=6,"Q2",P1278&lt;=9,"Q3",P1278&lt;=12,"Q4")</f>
        <v>Q4</v>
      </c>
    </row>
    <row r="1279" spans="1:17" x14ac:dyDescent="0.25">
      <c r="A1279" s="14">
        <v>46016</v>
      </c>
      <c r="B1279" s="15" t="s">
        <v>69</v>
      </c>
      <c r="C1279" s="15" t="s">
        <v>70</v>
      </c>
      <c r="D1279" s="15" t="s">
        <v>71</v>
      </c>
      <c r="E1279" s="16">
        <v>526.23</v>
      </c>
      <c r="F1279" s="16">
        <v>527.64</v>
      </c>
      <c r="G1279" s="16">
        <v>524.71</v>
      </c>
      <c r="H1279" s="16">
        <v>525.21</v>
      </c>
      <c r="I1279" s="17">
        <v>4816567</v>
      </c>
      <c r="J1279" s="16">
        <v>420168000000</v>
      </c>
      <c r="K1279" s="30">
        <f t="shared" si="114"/>
        <v>-0.19383159454990817</v>
      </c>
      <c r="L1279" s="31">
        <f t="shared" si="115"/>
        <v>2.92999999999995</v>
      </c>
      <c r="M1279" s="30">
        <f t="shared" si="116"/>
        <v>5.5679075689336411E-3</v>
      </c>
      <c r="N1279" s="20" t="str">
        <f t="shared" si="119"/>
        <v>High volume</v>
      </c>
      <c r="O1279" s="32">
        <f t="shared" si="117"/>
        <v>420.16800000000001</v>
      </c>
      <c r="P1279" s="20">
        <f t="shared" si="118"/>
        <v>12</v>
      </c>
      <c r="Q1279" s="20" t="str" cm="1">
        <f t="array" ref="Q1279">_xlfn.IFS(P1279&lt;=3,"Q1",P1279&lt;=6,"Q2",P1279&lt;=9,"Q3",P1279&lt;=12,"Q4")</f>
        <v>Q4</v>
      </c>
    </row>
    <row r="1280" spans="1:17" x14ac:dyDescent="0.25">
      <c r="A1280" s="8">
        <v>46016</v>
      </c>
      <c r="B1280" s="9" t="s">
        <v>73</v>
      </c>
      <c r="C1280" s="9" t="s">
        <v>74</v>
      </c>
      <c r="D1280" s="9" t="s">
        <v>75</v>
      </c>
      <c r="E1280" s="10">
        <v>68.97</v>
      </c>
      <c r="F1280" s="10">
        <v>69.510000000000005</v>
      </c>
      <c r="G1280" s="10">
        <v>68.5</v>
      </c>
      <c r="H1280" s="10">
        <v>69.41</v>
      </c>
      <c r="I1280" s="11">
        <v>2536561</v>
      </c>
      <c r="J1280" s="10">
        <v>15270200000</v>
      </c>
      <c r="K1280" s="30">
        <f t="shared" si="114"/>
        <v>0.63795853269537151</v>
      </c>
      <c r="L1280" s="31">
        <f t="shared" si="115"/>
        <v>1.0100000000000051</v>
      </c>
      <c r="M1280" s="30">
        <f t="shared" si="116"/>
        <v>1.4644048136871177E-2</v>
      </c>
      <c r="N1280" s="20" t="str">
        <f t="shared" si="119"/>
        <v>High volume</v>
      </c>
      <c r="O1280" s="32">
        <f t="shared" si="117"/>
        <v>15.270200000000001</v>
      </c>
      <c r="P1280" s="20">
        <f t="shared" si="118"/>
        <v>12</v>
      </c>
      <c r="Q1280" s="20" t="str" cm="1">
        <f t="array" ref="Q1280">_xlfn.IFS(P1280&lt;=3,"Q1",P1280&lt;=6,"Q2",P1280&lt;=9,"Q3",P1280&lt;=12,"Q4")</f>
        <v>Q4</v>
      </c>
    </row>
    <row r="1281" spans="1:17" x14ac:dyDescent="0.25">
      <c r="A1281" s="14">
        <v>46016</v>
      </c>
      <c r="B1281" s="15" t="s">
        <v>76</v>
      </c>
      <c r="C1281" s="15" t="s">
        <v>77</v>
      </c>
      <c r="D1281" s="15" t="s">
        <v>75</v>
      </c>
      <c r="E1281" s="16">
        <v>146.72999999999999</v>
      </c>
      <c r="F1281" s="16">
        <v>148.04</v>
      </c>
      <c r="G1281" s="16">
        <v>146.56</v>
      </c>
      <c r="H1281" s="16">
        <v>146.59</v>
      </c>
      <c r="I1281" s="17">
        <v>2955114</v>
      </c>
      <c r="J1281" s="16">
        <v>29318000000</v>
      </c>
      <c r="K1281" s="30">
        <f t="shared" si="114"/>
        <v>-9.5413344237706241E-2</v>
      </c>
      <c r="L1281" s="31">
        <f t="shared" si="115"/>
        <v>1.4799999999999898</v>
      </c>
      <c r="M1281" s="30">
        <f t="shared" si="116"/>
        <v>1.0086553533701288E-2</v>
      </c>
      <c r="N1281" s="20" t="str">
        <f t="shared" si="119"/>
        <v>High volume</v>
      </c>
      <c r="O1281" s="32">
        <f t="shared" si="117"/>
        <v>29.318000000000001</v>
      </c>
      <c r="P1281" s="20">
        <f t="shared" si="118"/>
        <v>12</v>
      </c>
      <c r="Q1281" s="20" t="str" cm="1">
        <f t="array" ref="Q1281">_xlfn.IFS(P1281&lt;=3,"Q1",P1281&lt;=6,"Q2",P1281&lt;=9,"Q3",P1281&lt;=12,"Q4")</f>
        <v>Q4</v>
      </c>
    </row>
    <row r="1282" spans="1:17" x14ac:dyDescent="0.25">
      <c r="A1282" s="8">
        <v>46017</v>
      </c>
      <c r="B1282" s="9" t="s">
        <v>60</v>
      </c>
      <c r="C1282" s="9" t="s">
        <v>61</v>
      </c>
      <c r="D1282" s="9" t="s">
        <v>62</v>
      </c>
      <c r="E1282" s="10">
        <v>2094.25</v>
      </c>
      <c r="F1282" s="10">
        <v>2105.83</v>
      </c>
      <c r="G1282" s="10">
        <v>2066.91</v>
      </c>
      <c r="H1282" s="10">
        <v>2070.8000000000002</v>
      </c>
      <c r="I1282" s="11">
        <v>2027284</v>
      </c>
      <c r="J1282" s="10">
        <v>2899120000000</v>
      </c>
      <c r="K1282" s="30">
        <f t="shared" si="114"/>
        <v>-1.1197326011698612</v>
      </c>
      <c r="L1282" s="31">
        <f t="shared" si="115"/>
        <v>38.920000000000073</v>
      </c>
      <c r="M1282" s="30">
        <f t="shared" si="116"/>
        <v>1.858421869404325E-2</v>
      </c>
      <c r="N1282" s="20" t="str">
        <f t="shared" si="119"/>
        <v>High volume</v>
      </c>
      <c r="O1282" s="32">
        <f t="shared" si="117"/>
        <v>2899.12</v>
      </c>
      <c r="P1282" s="20">
        <f t="shared" si="118"/>
        <v>12</v>
      </c>
      <c r="Q1282" s="20" t="str" cm="1">
        <f t="array" ref="Q1282">_xlfn.IFS(P1282&lt;=3,"Q1",P1282&lt;=6,"Q2",P1282&lt;=9,"Q3",P1282&lt;=12,"Q4")</f>
        <v>Q4</v>
      </c>
    </row>
    <row r="1283" spans="1:17" x14ac:dyDescent="0.25">
      <c r="A1283" s="14">
        <v>46017</v>
      </c>
      <c r="B1283" s="15" t="s">
        <v>65</v>
      </c>
      <c r="C1283" s="15" t="s">
        <v>66</v>
      </c>
      <c r="D1283" s="15" t="s">
        <v>67</v>
      </c>
      <c r="E1283" s="16">
        <v>245.94</v>
      </c>
      <c r="F1283" s="16">
        <v>247.14</v>
      </c>
      <c r="G1283" s="16">
        <v>243.95</v>
      </c>
      <c r="H1283" s="16">
        <v>246.39</v>
      </c>
      <c r="I1283" s="17">
        <v>3148263</v>
      </c>
      <c r="J1283" s="16">
        <v>61597500000</v>
      </c>
      <c r="K1283" s="30">
        <f t="shared" ref="K1283:K1304" si="120">((H1283-E1283)/E1283)*100</f>
        <v>0.18297145645278873</v>
      </c>
      <c r="L1283" s="31">
        <f t="shared" ref="L1283:L1301" si="121">F1283-G1283</f>
        <v>3.1899999999999977</v>
      </c>
      <c r="M1283" s="30">
        <f t="shared" ref="M1283:M1303" si="122">L1283/E1283</f>
        <v>1.2970643246320232E-2</v>
      </c>
      <c r="N1283" s="20" t="str">
        <f t="shared" si="119"/>
        <v>High volume</v>
      </c>
      <c r="O1283" s="32">
        <f t="shared" ref="O1283:O1301" si="123">J1283/1000000000</f>
        <v>61.597499999999997</v>
      </c>
      <c r="P1283" s="20">
        <f t="shared" ref="P1283:P1301" si="124">MONTH(A1283)</f>
        <v>12</v>
      </c>
      <c r="Q1283" s="20" t="str" cm="1">
        <f t="array" ref="Q1283">_xlfn.IFS(P1283&lt;=3,"Q1",P1283&lt;=6,"Q2",P1283&lt;=9,"Q3",P1283&lt;=12,"Q4")</f>
        <v>Q4</v>
      </c>
    </row>
    <row r="1284" spans="1:17" x14ac:dyDescent="0.25">
      <c r="A1284" s="8">
        <v>46017</v>
      </c>
      <c r="B1284" s="9" t="s">
        <v>69</v>
      </c>
      <c r="C1284" s="9" t="s">
        <v>70</v>
      </c>
      <c r="D1284" s="9" t="s">
        <v>71</v>
      </c>
      <c r="E1284" s="10">
        <v>528.64</v>
      </c>
      <c r="F1284" s="10">
        <v>531.73</v>
      </c>
      <c r="G1284" s="10">
        <v>525.85</v>
      </c>
      <c r="H1284" s="10">
        <v>529.59</v>
      </c>
      <c r="I1284" s="11">
        <v>931839</v>
      </c>
      <c r="J1284" s="10">
        <v>423672000000</v>
      </c>
      <c r="K1284" s="30">
        <f t="shared" si="120"/>
        <v>0.17970641646489963</v>
      </c>
      <c r="L1284" s="31">
        <f t="shared" si="121"/>
        <v>5.8799999999999955</v>
      </c>
      <c r="M1284" s="30">
        <f t="shared" si="122"/>
        <v>1.1122881355932195E-2</v>
      </c>
      <c r="N1284" s="20" t="str">
        <f t="shared" ref="N1284:N1301" si="125">IF(I1284&gt;2000000,"High volume","Normal")</f>
        <v>Normal</v>
      </c>
      <c r="O1284" s="32">
        <f t="shared" si="123"/>
        <v>423.67200000000003</v>
      </c>
      <c r="P1284" s="20">
        <f t="shared" si="124"/>
        <v>12</v>
      </c>
      <c r="Q1284" s="20" t="str" cm="1">
        <f t="array" ref="Q1284">_xlfn.IFS(P1284&lt;=3,"Q1",P1284&lt;=6,"Q2",P1284&lt;=9,"Q3",P1284&lt;=12,"Q4")</f>
        <v>Q4</v>
      </c>
    </row>
    <row r="1285" spans="1:17" x14ac:dyDescent="0.25">
      <c r="A1285" s="14">
        <v>46017</v>
      </c>
      <c r="B1285" s="15" t="s">
        <v>73</v>
      </c>
      <c r="C1285" s="15" t="s">
        <v>74</v>
      </c>
      <c r="D1285" s="15" t="s">
        <v>75</v>
      </c>
      <c r="E1285" s="16">
        <v>69.290000000000006</v>
      </c>
      <c r="F1285" s="16">
        <v>69.66</v>
      </c>
      <c r="G1285" s="16">
        <v>68.709999999999994</v>
      </c>
      <c r="H1285" s="16">
        <v>68.98</v>
      </c>
      <c r="I1285" s="17">
        <v>698721</v>
      </c>
      <c r="J1285" s="16">
        <v>15175600000</v>
      </c>
      <c r="K1285" s="30">
        <f t="shared" si="120"/>
        <v>-0.44739500649444691</v>
      </c>
      <c r="L1285" s="31">
        <f t="shared" si="121"/>
        <v>0.95000000000000284</v>
      </c>
      <c r="M1285" s="30">
        <f t="shared" si="122"/>
        <v>1.3710492134507184E-2</v>
      </c>
      <c r="N1285" s="20" t="str">
        <f t="shared" si="125"/>
        <v>Normal</v>
      </c>
      <c r="O1285" s="32">
        <f t="shared" si="123"/>
        <v>15.175599999999999</v>
      </c>
      <c r="P1285" s="20">
        <f t="shared" si="124"/>
        <v>12</v>
      </c>
      <c r="Q1285" s="20" t="str" cm="1">
        <f t="array" ref="Q1285">_xlfn.IFS(P1285&lt;=3,"Q1",P1285&lt;=6,"Q2",P1285&lt;=9,"Q3",P1285&lt;=12,"Q4")</f>
        <v>Q4</v>
      </c>
    </row>
    <row r="1286" spans="1:17" x14ac:dyDescent="0.25">
      <c r="A1286" s="8">
        <v>46017</v>
      </c>
      <c r="B1286" s="9" t="s">
        <v>76</v>
      </c>
      <c r="C1286" s="9" t="s">
        <v>77</v>
      </c>
      <c r="D1286" s="9" t="s">
        <v>75</v>
      </c>
      <c r="E1286" s="10">
        <v>145.78</v>
      </c>
      <c r="F1286" s="10">
        <v>147.24</v>
      </c>
      <c r="G1286" s="10">
        <v>145.22999999999999</v>
      </c>
      <c r="H1286" s="10">
        <v>147.16</v>
      </c>
      <c r="I1286" s="11">
        <v>1094683</v>
      </c>
      <c r="J1286" s="10">
        <v>29432000000</v>
      </c>
      <c r="K1286" s="30">
        <f t="shared" si="120"/>
        <v>0.94663191109891298</v>
      </c>
      <c r="L1286" s="31">
        <f t="shared" si="121"/>
        <v>2.0100000000000193</v>
      </c>
      <c r="M1286" s="30">
        <f t="shared" si="122"/>
        <v>1.3787899574701737E-2</v>
      </c>
      <c r="N1286" s="20" t="str">
        <f t="shared" si="125"/>
        <v>Normal</v>
      </c>
      <c r="O1286" s="32">
        <f t="shared" si="123"/>
        <v>29.431999999999999</v>
      </c>
      <c r="P1286" s="20">
        <f t="shared" si="124"/>
        <v>12</v>
      </c>
      <c r="Q1286" s="20" t="str" cm="1">
        <f t="array" ref="Q1286">_xlfn.IFS(P1286&lt;=3,"Q1",P1286&lt;=6,"Q2",P1286&lt;=9,"Q3",P1286&lt;=12,"Q4")</f>
        <v>Q4</v>
      </c>
    </row>
    <row r="1287" spans="1:17" x14ac:dyDescent="0.25">
      <c r="A1287" s="14">
        <v>46020</v>
      </c>
      <c r="B1287" s="15" t="s">
        <v>60</v>
      </c>
      <c r="C1287" s="15" t="s">
        <v>61</v>
      </c>
      <c r="D1287" s="15" t="s">
        <v>62</v>
      </c>
      <c r="E1287" s="16">
        <v>2030.27</v>
      </c>
      <c r="F1287" s="16">
        <v>2041.15</v>
      </c>
      <c r="G1287" s="16">
        <v>2023.19</v>
      </c>
      <c r="H1287" s="16">
        <v>2033.36</v>
      </c>
      <c r="I1287" s="17">
        <v>4754884</v>
      </c>
      <c r="J1287" s="16">
        <v>2846704000000</v>
      </c>
      <c r="K1287" s="30">
        <f t="shared" si="120"/>
        <v>0.15219650588344991</v>
      </c>
      <c r="L1287" s="31">
        <f t="shared" si="121"/>
        <v>17.960000000000036</v>
      </c>
      <c r="M1287" s="30">
        <f t="shared" si="122"/>
        <v>8.8461140636467255E-3</v>
      </c>
      <c r="N1287" s="20" t="str">
        <f t="shared" si="125"/>
        <v>High volume</v>
      </c>
      <c r="O1287" s="32">
        <f t="shared" si="123"/>
        <v>2846.7040000000002</v>
      </c>
      <c r="P1287" s="20">
        <f t="shared" si="124"/>
        <v>12</v>
      </c>
      <c r="Q1287" s="20" t="str" cm="1">
        <f t="array" ref="Q1287">_xlfn.IFS(P1287&lt;=3,"Q1",P1287&lt;=6,"Q2",P1287&lt;=9,"Q3",P1287&lt;=12,"Q4")</f>
        <v>Q4</v>
      </c>
    </row>
    <row r="1288" spans="1:17" x14ac:dyDescent="0.25">
      <c r="A1288" s="8">
        <v>46020</v>
      </c>
      <c r="B1288" s="9" t="s">
        <v>65</v>
      </c>
      <c r="C1288" s="9" t="s">
        <v>66</v>
      </c>
      <c r="D1288" s="9" t="s">
        <v>67</v>
      </c>
      <c r="E1288" s="10">
        <v>243.93</v>
      </c>
      <c r="F1288" s="10">
        <v>244.14</v>
      </c>
      <c r="G1288" s="10">
        <v>243.13</v>
      </c>
      <c r="H1288" s="10">
        <v>243.43</v>
      </c>
      <c r="I1288" s="11">
        <v>2815819</v>
      </c>
      <c r="J1288" s="10">
        <v>60857500000</v>
      </c>
      <c r="K1288" s="30">
        <f t="shared" si="120"/>
        <v>-0.20497683761734925</v>
      </c>
      <c r="L1288" s="31">
        <f t="shared" si="121"/>
        <v>1.0099999999999909</v>
      </c>
      <c r="M1288" s="30">
        <f t="shared" si="122"/>
        <v>4.1405321198704171E-3</v>
      </c>
      <c r="N1288" s="20" t="str">
        <f t="shared" si="125"/>
        <v>High volume</v>
      </c>
      <c r="O1288" s="32">
        <f t="shared" si="123"/>
        <v>60.857500000000002</v>
      </c>
      <c r="P1288" s="20">
        <f t="shared" si="124"/>
        <v>12</v>
      </c>
      <c r="Q1288" s="20" t="str" cm="1">
        <f t="array" ref="Q1288">_xlfn.IFS(P1288&lt;=3,"Q1",P1288&lt;=6,"Q2",P1288&lt;=9,"Q3",P1288&lt;=12,"Q4")</f>
        <v>Q4</v>
      </c>
    </row>
    <row r="1289" spans="1:17" x14ac:dyDescent="0.25">
      <c r="A1289" s="14">
        <v>46020</v>
      </c>
      <c r="B1289" s="15" t="s">
        <v>69</v>
      </c>
      <c r="C1289" s="15" t="s">
        <v>70</v>
      </c>
      <c r="D1289" s="15" t="s">
        <v>71</v>
      </c>
      <c r="E1289" s="16">
        <v>518.63</v>
      </c>
      <c r="F1289" s="16">
        <v>523.35</v>
      </c>
      <c r="G1289" s="16">
        <v>516.51</v>
      </c>
      <c r="H1289" s="16">
        <v>517.88</v>
      </c>
      <c r="I1289" s="17">
        <v>3674745</v>
      </c>
      <c r="J1289" s="16">
        <v>414304000000</v>
      </c>
      <c r="K1289" s="30">
        <f t="shared" si="120"/>
        <v>-0.14461176561325029</v>
      </c>
      <c r="L1289" s="31">
        <f t="shared" si="121"/>
        <v>6.8400000000000318</v>
      </c>
      <c r="M1289" s="30">
        <f t="shared" si="122"/>
        <v>1.3188593023928488E-2</v>
      </c>
      <c r="N1289" s="20" t="str">
        <f t="shared" si="125"/>
        <v>High volume</v>
      </c>
      <c r="O1289" s="32">
        <f t="shared" si="123"/>
        <v>414.30399999999997</v>
      </c>
      <c r="P1289" s="20">
        <f t="shared" si="124"/>
        <v>12</v>
      </c>
      <c r="Q1289" s="20" t="str" cm="1">
        <f t="array" ref="Q1289">_xlfn.IFS(P1289&lt;=3,"Q1",P1289&lt;=6,"Q2",P1289&lt;=9,"Q3",P1289&lt;=12,"Q4")</f>
        <v>Q4</v>
      </c>
    </row>
    <row r="1290" spans="1:17" x14ac:dyDescent="0.25">
      <c r="A1290" s="8">
        <v>46020</v>
      </c>
      <c r="B1290" s="9" t="s">
        <v>73</v>
      </c>
      <c r="C1290" s="9" t="s">
        <v>74</v>
      </c>
      <c r="D1290" s="9" t="s">
        <v>75</v>
      </c>
      <c r="E1290" s="10">
        <v>68.98</v>
      </c>
      <c r="F1290" s="10">
        <v>69.64</v>
      </c>
      <c r="G1290" s="10">
        <v>68.650000000000006</v>
      </c>
      <c r="H1290" s="10">
        <v>69.52</v>
      </c>
      <c r="I1290" s="11">
        <v>4630401</v>
      </c>
      <c r="J1290" s="10">
        <v>15294400000</v>
      </c>
      <c r="K1290" s="30">
        <f t="shared" si="120"/>
        <v>0.78283560452303858</v>
      </c>
      <c r="L1290" s="31">
        <f t="shared" si="121"/>
        <v>0.98999999999999488</v>
      </c>
      <c r="M1290" s="30">
        <f t="shared" si="122"/>
        <v>1.4351986082922511E-2</v>
      </c>
      <c r="N1290" s="20" t="str">
        <f t="shared" si="125"/>
        <v>High volume</v>
      </c>
      <c r="O1290" s="32">
        <f t="shared" si="123"/>
        <v>15.2944</v>
      </c>
      <c r="P1290" s="20">
        <f t="shared" si="124"/>
        <v>12</v>
      </c>
      <c r="Q1290" s="20" t="str" cm="1">
        <f t="array" ref="Q1290">_xlfn.IFS(P1290&lt;=3,"Q1",P1290&lt;=6,"Q2",P1290&lt;=9,"Q3",P1290&lt;=12,"Q4")</f>
        <v>Q4</v>
      </c>
    </row>
    <row r="1291" spans="1:17" x14ac:dyDescent="0.25">
      <c r="A1291" s="14">
        <v>46020</v>
      </c>
      <c r="B1291" s="15" t="s">
        <v>76</v>
      </c>
      <c r="C1291" s="15" t="s">
        <v>77</v>
      </c>
      <c r="D1291" s="15" t="s">
        <v>75</v>
      </c>
      <c r="E1291" s="16">
        <v>144.74</v>
      </c>
      <c r="F1291" s="16">
        <v>145.72999999999999</v>
      </c>
      <c r="G1291" s="16">
        <v>143.59</v>
      </c>
      <c r="H1291" s="16">
        <v>144.05000000000001</v>
      </c>
      <c r="I1291" s="17">
        <v>4219957</v>
      </c>
      <c r="J1291" s="16">
        <v>28810000000</v>
      </c>
      <c r="K1291" s="30">
        <f t="shared" si="120"/>
        <v>-0.47671687163189003</v>
      </c>
      <c r="L1291" s="31">
        <f t="shared" si="121"/>
        <v>2.1399999999999864</v>
      </c>
      <c r="M1291" s="30">
        <f t="shared" si="122"/>
        <v>1.4785131960757125E-2</v>
      </c>
      <c r="N1291" s="20" t="str">
        <f t="shared" si="125"/>
        <v>High volume</v>
      </c>
      <c r="O1291" s="32">
        <f t="shared" si="123"/>
        <v>28.81</v>
      </c>
      <c r="P1291" s="20">
        <f t="shared" si="124"/>
        <v>12</v>
      </c>
      <c r="Q1291" s="20" t="str" cm="1">
        <f t="array" ref="Q1291">_xlfn.IFS(P1291&lt;=3,"Q1",P1291&lt;=6,"Q2",P1291&lt;=9,"Q3",P1291&lt;=12,"Q4")</f>
        <v>Q4</v>
      </c>
    </row>
    <row r="1292" spans="1:17" x14ac:dyDescent="0.25">
      <c r="A1292" s="8">
        <v>46021</v>
      </c>
      <c r="B1292" s="9" t="s">
        <v>60</v>
      </c>
      <c r="C1292" s="9" t="s">
        <v>61</v>
      </c>
      <c r="D1292" s="9" t="s">
        <v>62</v>
      </c>
      <c r="E1292" s="10">
        <v>2028.88</v>
      </c>
      <c r="F1292" s="10">
        <v>2051.87</v>
      </c>
      <c r="G1292" s="10">
        <v>2017.38</v>
      </c>
      <c r="H1292" s="10">
        <v>2048.66</v>
      </c>
      <c r="I1292" s="11">
        <v>802323</v>
      </c>
      <c r="J1292" s="10">
        <v>2868124000000</v>
      </c>
      <c r="K1292" s="30">
        <f t="shared" si="120"/>
        <v>0.9749221245218912</v>
      </c>
      <c r="L1292" s="31">
        <f t="shared" si="121"/>
        <v>34.489999999999782</v>
      </c>
      <c r="M1292" s="30">
        <f t="shared" si="122"/>
        <v>1.6999526832538039E-2</v>
      </c>
      <c r="N1292" s="20" t="str">
        <f t="shared" si="125"/>
        <v>Normal</v>
      </c>
      <c r="O1292" s="32">
        <f t="shared" si="123"/>
        <v>2868.1239999999998</v>
      </c>
      <c r="P1292" s="20">
        <f t="shared" si="124"/>
        <v>12</v>
      </c>
      <c r="Q1292" s="20" t="str" cm="1">
        <f t="array" ref="Q1292">_xlfn.IFS(P1292&lt;=3,"Q1",P1292&lt;=6,"Q2",P1292&lt;=9,"Q3",P1292&lt;=12,"Q4")</f>
        <v>Q4</v>
      </c>
    </row>
    <row r="1293" spans="1:17" x14ac:dyDescent="0.25">
      <c r="A1293" s="14">
        <v>46021</v>
      </c>
      <c r="B1293" s="15" t="s">
        <v>65</v>
      </c>
      <c r="C1293" s="15" t="s">
        <v>66</v>
      </c>
      <c r="D1293" s="15" t="s">
        <v>67</v>
      </c>
      <c r="E1293" s="16">
        <v>236.82</v>
      </c>
      <c r="F1293" s="16">
        <v>238.61</v>
      </c>
      <c r="G1293" s="16">
        <v>236.57</v>
      </c>
      <c r="H1293" s="16">
        <v>236.87</v>
      </c>
      <c r="I1293" s="17">
        <v>1562256</v>
      </c>
      <c r="J1293" s="16">
        <v>59217500000</v>
      </c>
      <c r="K1293" s="30">
        <f t="shared" si="120"/>
        <v>2.1113081665404685E-2</v>
      </c>
      <c r="L1293" s="31">
        <f t="shared" si="121"/>
        <v>2.0400000000000205</v>
      </c>
      <c r="M1293" s="30">
        <f t="shared" si="122"/>
        <v>8.6141373194832376E-3</v>
      </c>
      <c r="N1293" s="20" t="str">
        <f t="shared" si="125"/>
        <v>Normal</v>
      </c>
      <c r="O1293" s="32">
        <f t="shared" si="123"/>
        <v>59.217500000000001</v>
      </c>
      <c r="P1293" s="20">
        <f t="shared" si="124"/>
        <v>12</v>
      </c>
      <c r="Q1293" s="20" t="str" cm="1">
        <f t="array" ref="Q1293">_xlfn.IFS(P1293&lt;=3,"Q1",P1293&lt;=6,"Q2",P1293&lt;=9,"Q3",P1293&lt;=12,"Q4")</f>
        <v>Q4</v>
      </c>
    </row>
    <row r="1294" spans="1:17" x14ac:dyDescent="0.25">
      <c r="A1294" s="8">
        <v>46021</v>
      </c>
      <c r="B1294" s="9" t="s">
        <v>69</v>
      </c>
      <c r="C1294" s="9" t="s">
        <v>70</v>
      </c>
      <c r="D1294" s="9" t="s">
        <v>71</v>
      </c>
      <c r="E1294" s="10">
        <v>517.69000000000005</v>
      </c>
      <c r="F1294" s="10">
        <v>524.74</v>
      </c>
      <c r="G1294" s="10">
        <v>515.32000000000005</v>
      </c>
      <c r="H1294" s="10">
        <v>523.41999999999996</v>
      </c>
      <c r="I1294" s="11">
        <v>840457</v>
      </c>
      <c r="J1294" s="10">
        <v>418736000000</v>
      </c>
      <c r="K1294" s="30">
        <f t="shared" si="120"/>
        <v>1.1068400007726444</v>
      </c>
      <c r="L1294" s="31">
        <f t="shared" si="121"/>
        <v>9.4199999999999591</v>
      </c>
      <c r="M1294" s="30">
        <f t="shared" si="122"/>
        <v>1.8196217813749461E-2</v>
      </c>
      <c r="N1294" s="20" t="str">
        <f t="shared" si="125"/>
        <v>Normal</v>
      </c>
      <c r="O1294" s="32">
        <f t="shared" si="123"/>
        <v>418.73599999999999</v>
      </c>
      <c r="P1294" s="20">
        <f t="shared" si="124"/>
        <v>12</v>
      </c>
      <c r="Q1294" s="20" t="str" cm="1">
        <f t="array" ref="Q1294">_xlfn.IFS(P1294&lt;=3,"Q1",P1294&lt;=6,"Q2",P1294&lt;=9,"Q3",P1294&lt;=12,"Q4")</f>
        <v>Q4</v>
      </c>
    </row>
    <row r="1295" spans="1:17" x14ac:dyDescent="0.25">
      <c r="A1295" s="14">
        <v>46021</v>
      </c>
      <c r="B1295" s="15" t="s">
        <v>73</v>
      </c>
      <c r="C1295" s="15" t="s">
        <v>74</v>
      </c>
      <c r="D1295" s="15" t="s">
        <v>75</v>
      </c>
      <c r="E1295" s="16">
        <v>68.64</v>
      </c>
      <c r="F1295" s="16">
        <v>69.349999999999994</v>
      </c>
      <c r="G1295" s="16">
        <v>67.849999999999994</v>
      </c>
      <c r="H1295" s="16">
        <v>68.25</v>
      </c>
      <c r="I1295" s="17">
        <v>2707904</v>
      </c>
      <c r="J1295" s="16">
        <v>15015000000</v>
      </c>
      <c r="K1295" s="30">
        <f t="shared" si="120"/>
        <v>-0.56818181818181901</v>
      </c>
      <c r="L1295" s="31">
        <f t="shared" si="121"/>
        <v>1.5</v>
      </c>
      <c r="M1295" s="30">
        <f t="shared" si="122"/>
        <v>2.1853146853146852E-2</v>
      </c>
      <c r="N1295" s="20" t="str">
        <f t="shared" si="125"/>
        <v>High volume</v>
      </c>
      <c r="O1295" s="32">
        <f t="shared" si="123"/>
        <v>15.015000000000001</v>
      </c>
      <c r="P1295" s="20">
        <f t="shared" si="124"/>
        <v>12</v>
      </c>
      <c r="Q1295" s="20" t="str" cm="1">
        <f t="array" ref="Q1295">_xlfn.IFS(P1295&lt;=3,"Q1",P1295&lt;=6,"Q2",P1295&lt;=9,"Q3",P1295&lt;=12,"Q4")</f>
        <v>Q4</v>
      </c>
    </row>
    <row r="1296" spans="1:17" x14ac:dyDescent="0.25">
      <c r="A1296" s="8">
        <v>46021</v>
      </c>
      <c r="B1296" s="9" t="s">
        <v>76</v>
      </c>
      <c r="C1296" s="9" t="s">
        <v>77</v>
      </c>
      <c r="D1296" s="9" t="s">
        <v>75</v>
      </c>
      <c r="E1296" s="10">
        <v>143.07</v>
      </c>
      <c r="F1296" s="10">
        <v>143.77000000000001</v>
      </c>
      <c r="G1296" s="10">
        <v>142.13</v>
      </c>
      <c r="H1296" s="10">
        <v>142.32</v>
      </c>
      <c r="I1296" s="11">
        <v>1909908</v>
      </c>
      <c r="J1296" s="10">
        <v>28464000000</v>
      </c>
      <c r="K1296" s="30">
        <f t="shared" si="120"/>
        <v>-0.52421891381841057</v>
      </c>
      <c r="L1296" s="31">
        <f t="shared" si="121"/>
        <v>1.6400000000000148</v>
      </c>
      <c r="M1296" s="30">
        <f t="shared" si="122"/>
        <v>1.1462920248829347E-2</v>
      </c>
      <c r="N1296" s="20" t="str">
        <f t="shared" si="125"/>
        <v>Normal</v>
      </c>
      <c r="O1296" s="32">
        <f t="shared" si="123"/>
        <v>28.463999999999999</v>
      </c>
      <c r="P1296" s="20">
        <f t="shared" si="124"/>
        <v>12</v>
      </c>
      <c r="Q1296" s="20" t="str" cm="1">
        <f t="array" ref="Q1296">_xlfn.IFS(P1296&lt;=3,"Q1",P1296&lt;=6,"Q2",P1296&lt;=9,"Q3",P1296&lt;=12,"Q4")</f>
        <v>Q4</v>
      </c>
    </row>
    <row r="1297" spans="1:17" x14ac:dyDescent="0.25">
      <c r="A1297" s="14">
        <v>46022</v>
      </c>
      <c r="B1297" s="15" t="s">
        <v>60</v>
      </c>
      <c r="C1297" s="15" t="s">
        <v>61</v>
      </c>
      <c r="D1297" s="15" t="s">
        <v>62</v>
      </c>
      <c r="E1297" s="16">
        <v>2030.44</v>
      </c>
      <c r="F1297" s="16">
        <v>2059.0100000000002</v>
      </c>
      <c r="G1297" s="16">
        <v>2025.42</v>
      </c>
      <c r="H1297" s="16">
        <v>2035.85</v>
      </c>
      <c r="I1297" s="17">
        <v>4371682</v>
      </c>
      <c r="J1297" s="16">
        <v>2850190000000</v>
      </c>
      <c r="K1297" s="30">
        <f t="shared" si="120"/>
        <v>0.26644471149109822</v>
      </c>
      <c r="L1297" s="31">
        <f t="shared" si="121"/>
        <v>33.590000000000146</v>
      </c>
      <c r="M1297" s="30">
        <f t="shared" si="122"/>
        <v>1.6543212308662233E-2</v>
      </c>
      <c r="N1297" s="20" t="str">
        <f t="shared" si="125"/>
        <v>High volume</v>
      </c>
      <c r="O1297" s="32">
        <f t="shared" si="123"/>
        <v>2850.19</v>
      </c>
      <c r="P1297" s="20">
        <f t="shared" si="124"/>
        <v>12</v>
      </c>
      <c r="Q1297" s="20" t="str" cm="1">
        <f t="array" ref="Q1297">_xlfn.IFS(P1297&lt;=3,"Q1",P1297&lt;=6,"Q2",P1297&lt;=9,"Q3",P1297&lt;=12,"Q4")</f>
        <v>Q4</v>
      </c>
    </row>
    <row r="1298" spans="1:17" x14ac:dyDescent="0.25">
      <c r="A1298" s="8">
        <v>46022</v>
      </c>
      <c r="B1298" s="9" t="s">
        <v>65</v>
      </c>
      <c r="C1298" s="9" t="s">
        <v>66</v>
      </c>
      <c r="D1298" s="9" t="s">
        <v>67</v>
      </c>
      <c r="E1298" s="10">
        <v>233.38</v>
      </c>
      <c r="F1298" s="10">
        <v>234.11</v>
      </c>
      <c r="G1298" s="10">
        <v>233.07</v>
      </c>
      <c r="H1298" s="10">
        <v>233.24</v>
      </c>
      <c r="I1298" s="11">
        <v>1444463</v>
      </c>
      <c r="J1298" s="10">
        <v>58310000000</v>
      </c>
      <c r="K1298" s="30">
        <f t="shared" si="120"/>
        <v>-5.9988002399514247E-2</v>
      </c>
      <c r="L1298" s="31">
        <f t="shared" si="121"/>
        <v>1.0400000000000205</v>
      </c>
      <c r="M1298" s="30">
        <f t="shared" si="122"/>
        <v>4.4562516068215804E-3</v>
      </c>
      <c r="N1298" s="20" t="str">
        <f t="shared" si="125"/>
        <v>Normal</v>
      </c>
      <c r="O1298" s="32">
        <f t="shared" si="123"/>
        <v>58.31</v>
      </c>
      <c r="P1298" s="20">
        <f t="shared" si="124"/>
        <v>12</v>
      </c>
      <c r="Q1298" s="20" t="str" cm="1">
        <f t="array" ref="Q1298">_xlfn.IFS(P1298&lt;=3,"Q1",P1298&lt;=6,"Q2",P1298&lt;=9,"Q3",P1298&lt;=12,"Q4")</f>
        <v>Q4</v>
      </c>
    </row>
    <row r="1299" spans="1:17" x14ac:dyDescent="0.25">
      <c r="A1299" s="14">
        <v>46022</v>
      </c>
      <c r="B1299" s="15" t="s">
        <v>69</v>
      </c>
      <c r="C1299" s="15" t="s">
        <v>70</v>
      </c>
      <c r="D1299" s="15" t="s">
        <v>71</v>
      </c>
      <c r="E1299" s="16">
        <v>521.80999999999995</v>
      </c>
      <c r="F1299" s="16">
        <v>529.05999999999995</v>
      </c>
      <c r="G1299" s="16">
        <v>520.47</v>
      </c>
      <c r="H1299" s="16">
        <v>522.86</v>
      </c>
      <c r="I1299" s="17">
        <v>4919657</v>
      </c>
      <c r="J1299" s="16">
        <v>418288000000</v>
      </c>
      <c r="K1299" s="30">
        <f t="shared" si="120"/>
        <v>0.20122266725437771</v>
      </c>
      <c r="L1299" s="31">
        <f t="shared" si="121"/>
        <v>8.5899999999999181</v>
      </c>
      <c r="M1299" s="30">
        <f t="shared" si="122"/>
        <v>1.6461930587761672E-2</v>
      </c>
      <c r="N1299" s="20" t="str">
        <f t="shared" si="125"/>
        <v>High volume</v>
      </c>
      <c r="O1299" s="32">
        <f t="shared" si="123"/>
        <v>418.28800000000001</v>
      </c>
      <c r="P1299" s="20">
        <f t="shared" si="124"/>
        <v>12</v>
      </c>
      <c r="Q1299" s="20" t="str" cm="1">
        <f t="array" ref="Q1299">_xlfn.IFS(P1299&lt;=3,"Q1",P1299&lt;=6,"Q2",P1299&lt;=9,"Q3",P1299&lt;=12,"Q4")</f>
        <v>Q4</v>
      </c>
    </row>
    <row r="1300" spans="1:17" x14ac:dyDescent="0.25">
      <c r="A1300" s="8">
        <v>46022</v>
      </c>
      <c r="B1300" s="9" t="s">
        <v>73</v>
      </c>
      <c r="C1300" s="9" t="s">
        <v>74</v>
      </c>
      <c r="D1300" s="9" t="s">
        <v>75</v>
      </c>
      <c r="E1300" s="10">
        <v>69.16</v>
      </c>
      <c r="F1300" s="10">
        <v>70.13</v>
      </c>
      <c r="G1300" s="10">
        <v>68.540000000000006</v>
      </c>
      <c r="H1300" s="10">
        <v>68.569999999999993</v>
      </c>
      <c r="I1300" s="11">
        <v>1004052</v>
      </c>
      <c r="J1300" s="10">
        <v>15085400000</v>
      </c>
      <c r="K1300" s="30">
        <f t="shared" si="120"/>
        <v>-0.85309427414691064</v>
      </c>
      <c r="L1300" s="31">
        <f t="shared" si="121"/>
        <v>1.5899999999999892</v>
      </c>
      <c r="M1300" s="30">
        <f t="shared" si="122"/>
        <v>2.2990167727009677E-2</v>
      </c>
      <c r="N1300" s="20" t="str">
        <f t="shared" si="125"/>
        <v>Normal</v>
      </c>
      <c r="O1300" s="32">
        <f t="shared" si="123"/>
        <v>15.0854</v>
      </c>
      <c r="P1300" s="20">
        <f t="shared" si="124"/>
        <v>12</v>
      </c>
      <c r="Q1300" s="20" t="str" cm="1">
        <f t="array" ref="Q1300">_xlfn.IFS(P1300&lt;=3,"Q1",P1300&lt;=6,"Q2",P1300&lt;=9,"Q3",P1300&lt;=12,"Q4")</f>
        <v>Q4</v>
      </c>
    </row>
    <row r="1301" spans="1:17" x14ac:dyDescent="0.25">
      <c r="A1301" s="14">
        <v>46022</v>
      </c>
      <c r="B1301" s="15" t="s">
        <v>76</v>
      </c>
      <c r="C1301" s="15" t="s">
        <v>77</v>
      </c>
      <c r="D1301" s="15" t="s">
        <v>75</v>
      </c>
      <c r="E1301" s="16">
        <v>141.79</v>
      </c>
      <c r="F1301" s="16">
        <v>142.16</v>
      </c>
      <c r="G1301" s="16">
        <v>140.91</v>
      </c>
      <c r="H1301" s="16">
        <v>140.99</v>
      </c>
      <c r="I1301" s="17">
        <v>3714220</v>
      </c>
      <c r="J1301" s="16">
        <v>28198000000</v>
      </c>
      <c r="K1301" s="30">
        <f t="shared" si="120"/>
        <v>-0.56421468368713101</v>
      </c>
      <c r="L1301" s="31">
        <f t="shared" si="121"/>
        <v>1.25</v>
      </c>
      <c r="M1301" s="30">
        <f t="shared" si="122"/>
        <v>8.8158544326116094E-3</v>
      </c>
      <c r="N1301" s="20" t="str">
        <f t="shared" si="125"/>
        <v>High volume</v>
      </c>
      <c r="O1301" s="32">
        <f t="shared" si="123"/>
        <v>28.198</v>
      </c>
      <c r="P1301" s="20">
        <f t="shared" si="124"/>
        <v>12</v>
      </c>
      <c r="Q1301" s="20" t="str" cm="1">
        <f t="array" ref="Q1301">_xlfn.IFS(P1301&lt;=3,"Q1",P1301&lt;=6,"Q2",P1301&lt;=9,"Q3",P1301&lt;=12,"Q4")</f>
        <v>Q4</v>
      </c>
    </row>
    <row r="1302" spans="1:17" x14ac:dyDescent="0.25">
      <c r="K1302" s="30"/>
      <c r="M1302" s="30"/>
    </row>
    <row r="1303" spans="1:17" x14ac:dyDescent="0.25">
      <c r="K1303" s="30"/>
      <c r="M1303" s="30"/>
    </row>
    <row r="1304" spans="1:17" x14ac:dyDescent="0.25">
      <c r="K1304" s="3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5929-48BF-46C7-AAEA-8EF20A911EB9}">
  <dimension ref="A1:B6"/>
  <sheetViews>
    <sheetView workbookViewId="0">
      <selection activeCell="B4" sqref="B4"/>
    </sheetView>
  </sheetViews>
  <sheetFormatPr defaultRowHeight="15" x14ac:dyDescent="0.25"/>
  <cols>
    <col min="2" max="2" width="28" customWidth="1"/>
  </cols>
  <sheetData>
    <row r="1" spans="1:2" x14ac:dyDescent="0.25">
      <c r="A1" t="s">
        <v>130</v>
      </c>
      <c r="B1" t="s">
        <v>131</v>
      </c>
    </row>
    <row r="2" spans="1:2" x14ac:dyDescent="0.25">
      <c r="A2" t="s">
        <v>60</v>
      </c>
      <c r="B2">
        <f>AVERAGEIFS('2_Enriched'!H2:H1301,'2_Enriched'!B2:B1301,"NPN")</f>
        <v>2515.1033461538441</v>
      </c>
    </row>
    <row r="3" spans="1:2" x14ac:dyDescent="0.25">
      <c r="A3" t="s">
        <v>76</v>
      </c>
      <c r="B3">
        <f>AVERAGEIFS('2_Enriched'!H3:H1302,'2_Enriched'!B3:B1302,"VOD")</f>
        <v>141.13561538461528</v>
      </c>
    </row>
    <row r="4" spans="1:2" x14ac:dyDescent="0.25">
      <c r="A4" t="s">
        <v>73</v>
      </c>
      <c r="B4">
        <f>AVERAGEIFS('2_Enriched'!H4:H1303,'2_Enriched'!B4:B1303,"MTN")</f>
        <v>93.369653846153824</v>
      </c>
    </row>
    <row r="5" spans="1:2" x14ac:dyDescent="0.25">
      <c r="A5" t="s">
        <v>69</v>
      </c>
      <c r="B5">
        <f>AVERAGEIFS('2_Enriched'!H5:H1304,'2_Enriched'!B5:B1304,"AGL")</f>
        <v>610.48749034749017</v>
      </c>
    </row>
    <row r="6" spans="1:2" x14ac:dyDescent="0.25">
      <c r="A6" t="s">
        <v>65</v>
      </c>
      <c r="B6">
        <f>AVERAGEIFS('2_Enriched'!H6:H1305,'2_Enriched'!B6:B1305,"SBK")</f>
        <v>214.65374517374525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10"/>
  <sheetViews>
    <sheetView showGridLines="0" workbookViewId="0">
      <selection activeCell="C5" sqref="C5"/>
    </sheetView>
  </sheetViews>
  <sheetFormatPr defaultRowHeight="15" x14ac:dyDescent="0.25"/>
  <cols>
    <col min="1" max="1" width="3" customWidth="1"/>
    <col min="2" max="2" width="55" customWidth="1"/>
    <col min="3" max="3" width="35" customWidth="1"/>
  </cols>
  <sheetData>
    <row r="1" spans="2:3" ht="21.95" customHeight="1" x14ac:dyDescent="0.3">
      <c r="B1" s="21" t="s">
        <v>97</v>
      </c>
    </row>
    <row r="2" spans="2:3" ht="15.95" customHeight="1" x14ac:dyDescent="0.25">
      <c r="B2" s="22" t="s">
        <v>98</v>
      </c>
    </row>
    <row r="4" spans="2:3" x14ac:dyDescent="0.25">
      <c r="B4" s="23" t="s">
        <v>99</v>
      </c>
      <c r="C4" s="24" t="s">
        <v>100</v>
      </c>
    </row>
    <row r="5" spans="2:3" x14ac:dyDescent="0.25">
      <c r="B5" s="25" t="s">
        <v>101</v>
      </c>
      <c r="C5" s="20"/>
    </row>
    <row r="6" spans="2:3" x14ac:dyDescent="0.25">
      <c r="B6" s="25" t="s">
        <v>102</v>
      </c>
      <c r="C6" s="20"/>
    </row>
    <row r="7" spans="2:3" x14ac:dyDescent="0.25">
      <c r="B7" s="25" t="s">
        <v>103</v>
      </c>
      <c r="C7" s="20"/>
    </row>
    <row r="8" spans="2:3" x14ac:dyDescent="0.25">
      <c r="B8" s="25" t="s">
        <v>104</v>
      </c>
      <c r="C8" s="20"/>
    </row>
    <row r="9" spans="2:3" x14ac:dyDescent="0.25">
      <c r="B9" s="25" t="s">
        <v>105</v>
      </c>
      <c r="C9" s="20"/>
    </row>
    <row r="10" spans="2:3" x14ac:dyDescent="0.25">
      <c r="B10" s="25" t="s">
        <v>106</v>
      </c>
      <c r="C10" s="20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8"/>
  <sheetViews>
    <sheetView showGridLines="0" workbookViewId="0"/>
  </sheetViews>
  <sheetFormatPr defaultRowHeight="15" x14ac:dyDescent="0.25"/>
  <cols>
    <col min="1" max="1" width="90" customWidth="1"/>
  </cols>
  <sheetData>
    <row r="1" spans="1:1" ht="18.75" x14ac:dyDescent="0.3">
      <c r="A1" s="21" t="s">
        <v>107</v>
      </c>
    </row>
    <row r="2" spans="1:1" x14ac:dyDescent="0.25">
      <c r="A2" s="26" t="s">
        <v>108</v>
      </c>
    </row>
    <row r="3" spans="1:1" x14ac:dyDescent="0.25">
      <c r="A3" s="26" t="s">
        <v>109</v>
      </c>
    </row>
    <row r="4" spans="1:1" x14ac:dyDescent="0.25">
      <c r="A4" s="26" t="s">
        <v>110</v>
      </c>
    </row>
    <row r="5" spans="1:1" x14ac:dyDescent="0.25">
      <c r="A5" s="26" t="s">
        <v>111</v>
      </c>
    </row>
    <row r="6" spans="1:1" x14ac:dyDescent="0.25">
      <c r="A6" s="26" t="s">
        <v>112</v>
      </c>
    </row>
    <row r="7" spans="1:1" x14ac:dyDescent="0.25">
      <c r="A7" s="26" t="s">
        <v>113</v>
      </c>
    </row>
    <row r="8" spans="1:1" x14ac:dyDescent="0.25">
      <c r="A8" s="26" t="s">
        <v>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"/>
  <sheetViews>
    <sheetView showGridLines="0" topLeftCell="A9" workbookViewId="0">
      <selection activeCell="C15" sqref="C15"/>
    </sheetView>
  </sheetViews>
  <sheetFormatPr defaultRowHeight="15" x14ac:dyDescent="0.25"/>
  <cols>
    <col min="1" max="1" width="5" customWidth="1"/>
    <col min="2" max="2" width="10" customWidth="1"/>
    <col min="3" max="3" width="12" customWidth="1"/>
    <col min="4" max="6" width="14" customWidth="1"/>
    <col min="7" max="7" width="30" customWidth="1"/>
  </cols>
  <sheetData>
    <row r="1" spans="1:7" ht="18.75" x14ac:dyDescent="0.3">
      <c r="A1" s="21" t="s">
        <v>115</v>
      </c>
    </row>
    <row r="2" spans="1:7" x14ac:dyDescent="0.25">
      <c r="A2" s="22" t="s">
        <v>116</v>
      </c>
    </row>
    <row r="3" spans="1:7" x14ac:dyDescent="0.25">
      <c r="A3" s="6" t="s">
        <v>117</v>
      </c>
      <c r="B3" s="6" t="s">
        <v>50</v>
      </c>
      <c r="C3" s="6" t="s">
        <v>118</v>
      </c>
      <c r="D3" s="6" t="s">
        <v>119</v>
      </c>
      <c r="E3" s="6" t="s">
        <v>120</v>
      </c>
      <c r="F3" s="6" t="s">
        <v>121</v>
      </c>
      <c r="G3" s="6" t="s">
        <v>122</v>
      </c>
    </row>
    <row r="4" spans="1:7" x14ac:dyDescent="0.25">
      <c r="A4" s="26">
        <v>1</v>
      </c>
      <c r="B4" s="28"/>
      <c r="C4" s="28"/>
      <c r="D4" s="28"/>
      <c r="E4" s="27"/>
      <c r="F4" s="27"/>
      <c r="G4" s="27"/>
    </row>
    <row r="5" spans="1:7" x14ac:dyDescent="0.25">
      <c r="A5" s="26">
        <v>2</v>
      </c>
      <c r="E5" s="28"/>
      <c r="F5" s="28"/>
      <c r="G5" s="28"/>
    </row>
    <row r="6" spans="1:7" x14ac:dyDescent="0.25">
      <c r="A6" s="26">
        <v>3</v>
      </c>
      <c r="C6" s="27"/>
      <c r="D6" s="27"/>
      <c r="E6" s="27"/>
      <c r="F6" s="27"/>
      <c r="G6" s="27"/>
    </row>
    <row r="7" spans="1:7" x14ac:dyDescent="0.25">
      <c r="A7" s="26">
        <v>4</v>
      </c>
      <c r="B7" s="28"/>
      <c r="C7" s="28"/>
      <c r="D7" s="28"/>
      <c r="E7" s="28"/>
      <c r="F7" s="28"/>
      <c r="G7" s="28"/>
    </row>
    <row r="8" spans="1:7" x14ac:dyDescent="0.25">
      <c r="A8" s="26">
        <v>5</v>
      </c>
      <c r="B8" s="27"/>
      <c r="C8" s="27"/>
      <c r="D8" s="27"/>
      <c r="E8" s="27"/>
      <c r="F8" s="27"/>
      <c r="G8" s="27"/>
    </row>
    <row r="9" spans="1:7" x14ac:dyDescent="0.25">
      <c r="A9" s="26">
        <v>6</v>
      </c>
      <c r="B9" s="28"/>
      <c r="C9" s="28"/>
      <c r="D9" s="28"/>
      <c r="E9" s="28"/>
      <c r="F9" s="28"/>
      <c r="G9" s="28"/>
    </row>
    <row r="10" spans="1:7" x14ac:dyDescent="0.25">
      <c r="A10" s="26">
        <v>7</v>
      </c>
      <c r="B10" s="27"/>
      <c r="C10" s="27"/>
      <c r="E10" s="27"/>
      <c r="F10" s="27"/>
      <c r="G10" s="27"/>
    </row>
    <row r="11" spans="1:7" x14ac:dyDescent="0.25">
      <c r="A11" s="26">
        <v>8</v>
      </c>
      <c r="B11" s="28"/>
      <c r="C11" s="28"/>
      <c r="D11" s="27"/>
      <c r="E11" s="28"/>
      <c r="F11" s="28"/>
      <c r="G11" s="28"/>
    </row>
    <row r="12" spans="1:7" x14ac:dyDescent="0.25">
      <c r="A12" s="26">
        <v>9</v>
      </c>
      <c r="B12" s="27"/>
      <c r="C12" s="27"/>
      <c r="D12" s="27"/>
      <c r="E12" s="27"/>
      <c r="F12" s="27"/>
      <c r="G12" s="27"/>
    </row>
    <row r="13" spans="1:7" x14ac:dyDescent="0.25">
      <c r="A13" s="26">
        <v>10</v>
      </c>
      <c r="B13" s="28"/>
      <c r="C13" s="28"/>
      <c r="D13" s="28"/>
      <c r="E13" s="28"/>
      <c r="F13" s="28"/>
      <c r="G13" s="28"/>
    </row>
    <row r="14" spans="1:7" x14ac:dyDescent="0.25">
      <c r="A14" s="26">
        <v>11</v>
      </c>
      <c r="B14" s="27"/>
      <c r="C14" s="27"/>
      <c r="D14" s="27"/>
      <c r="E14" s="27"/>
      <c r="F14" s="27"/>
      <c r="G14" s="27"/>
    </row>
    <row r="15" spans="1:7" x14ac:dyDescent="0.25">
      <c r="A15" s="26">
        <v>12</v>
      </c>
      <c r="B15" s="28"/>
      <c r="C15" s="28"/>
      <c r="D15" s="28"/>
      <c r="E15" s="28"/>
      <c r="F15" s="28"/>
      <c r="G15" s="28"/>
    </row>
    <row r="16" spans="1:7" x14ac:dyDescent="0.25">
      <c r="A16" s="26">
        <v>13</v>
      </c>
      <c r="B16" s="27"/>
      <c r="C16" s="27"/>
      <c r="D16" s="27"/>
      <c r="E16" s="27"/>
      <c r="F16" s="27"/>
      <c r="G16" s="27"/>
    </row>
    <row r="17" spans="1:7" x14ac:dyDescent="0.25">
      <c r="A17" s="26">
        <v>14</v>
      </c>
      <c r="B17" s="28"/>
      <c r="C17" s="28"/>
      <c r="D17" s="28"/>
      <c r="E17" s="28"/>
      <c r="F17" s="28"/>
      <c r="G17" s="28"/>
    </row>
    <row r="18" spans="1:7" x14ac:dyDescent="0.25">
      <c r="A18" s="26">
        <v>15</v>
      </c>
      <c r="B18" s="27"/>
      <c r="C18" s="27"/>
      <c r="D18" s="27"/>
      <c r="E18" s="27"/>
      <c r="F18" s="27"/>
      <c r="G18" s="27"/>
    </row>
    <row r="19" spans="1:7" x14ac:dyDescent="0.25">
      <c r="A19" s="26">
        <v>16</v>
      </c>
      <c r="B19" s="28"/>
      <c r="C19" s="28"/>
      <c r="D19" s="28"/>
      <c r="E19" s="28"/>
      <c r="F19" s="28"/>
      <c r="G19" s="28"/>
    </row>
    <row r="20" spans="1:7" x14ac:dyDescent="0.25">
      <c r="A20" s="26">
        <v>17</v>
      </c>
      <c r="B20" s="27"/>
      <c r="C20" s="27"/>
      <c r="D20" s="27"/>
      <c r="E20" s="27"/>
      <c r="F20" s="27"/>
      <c r="G20" s="27"/>
    </row>
    <row r="21" spans="1:7" x14ac:dyDescent="0.25">
      <c r="A21" s="26">
        <v>18</v>
      </c>
      <c r="B21" s="28"/>
      <c r="C21" s="28"/>
      <c r="D21" s="28"/>
      <c r="E21" s="28"/>
      <c r="F21" s="28"/>
      <c r="G21" s="28"/>
    </row>
    <row r="22" spans="1:7" x14ac:dyDescent="0.25">
      <c r="A22" s="26">
        <v>19</v>
      </c>
      <c r="B22" s="27"/>
      <c r="C22" s="27"/>
      <c r="D22" s="27"/>
      <c r="E22" s="27"/>
      <c r="F22" s="27"/>
      <c r="G22" s="27"/>
    </row>
    <row r="23" spans="1:7" x14ac:dyDescent="0.25">
      <c r="A23" s="26">
        <v>20</v>
      </c>
      <c r="B23" s="28"/>
      <c r="C23" s="28"/>
      <c r="D23" s="28"/>
      <c r="E23" s="28"/>
      <c r="F23" s="28"/>
      <c r="G23" s="28"/>
    </row>
  </sheetData>
  <dataValidations count="5">
    <dataValidation type="custom" allowBlank="1" showInputMessage="1" showErrorMessage="1" sqref="B3" xr:uid="{11B291AC-3D2A-4058-BF4A-B71E7776790B}">
      <formula1>"NPN;VOD"</formula1>
    </dataValidation>
    <dataValidation type="whole" allowBlank="1" showInputMessage="1" showErrorMessage="1" sqref="D1:D3" xr:uid="{F26ED15F-EB96-4AE6-A1CE-CCD5FA13E1D5}">
      <formula1>1</formula1>
      <formula2>1000000</formula2>
    </dataValidation>
    <dataValidation type="list" allowBlank="1" showInputMessage="1" showErrorMessage="1" sqref="C1:C3 C4:C1048576" xr:uid="{4F3E1D07-CEB8-4CBA-93C9-323D8698CA68}">
      <formula1>"BUY,SELL"</formula1>
    </dataValidation>
    <dataValidation type="list" allowBlank="1" showInputMessage="1" showErrorMessage="1" promptTitle=" " prompt="SELECT A VALID JSE STICKER" sqref="B4:B1048576" xr:uid="{E34EA48E-6A09-4B54-AFE1-C35EA8F15EC1}">
      <formula1>"NPN,SBK,AGL,MTN,VOD"</formula1>
    </dataValidation>
    <dataValidation type="whole" errorStyle="information" allowBlank="1" showInputMessage="1" showErrorMessage="1" errorTitle="QUANTITY" error="QUANTITY MUST BE BETWEEN 1 AND 1000000" sqref="D4:D1048576" xr:uid="{05A0FA79-2CA5-43C1-95DB-E96C2301808A}">
      <formula1>1</formula1>
      <formula2>1000000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showGridLines="0" tabSelected="1" workbookViewId="0">
      <selection activeCell="B6" sqref="B6"/>
    </sheetView>
  </sheetViews>
  <sheetFormatPr defaultRowHeight="15" x14ac:dyDescent="0.25"/>
  <cols>
    <col min="1" max="1" width="65" customWidth="1"/>
    <col min="2" max="2" width="40" customWidth="1"/>
  </cols>
  <sheetData>
    <row r="1" spans="1:2" ht="18.75" x14ac:dyDescent="0.3">
      <c r="A1" s="21" t="s">
        <v>123</v>
      </c>
    </row>
    <row r="2" spans="1:2" x14ac:dyDescent="0.25">
      <c r="A2" s="22" t="s">
        <v>124</v>
      </c>
    </row>
    <row r="4" spans="1:2" x14ac:dyDescent="0.25">
      <c r="A4" s="12" t="s">
        <v>125</v>
      </c>
      <c r="B4" s="31">
        <f>MAX(Sheet1!B2,Sheet1!B3,Table1[[#This Row],[AVERAGES FOR EACH TICKER]],Sheet1!B5,Sheet1!B6)</f>
        <v>2515.1033461538441</v>
      </c>
    </row>
    <row r="5" spans="1:2" x14ac:dyDescent="0.25">
      <c r="A5" s="12" t="s">
        <v>126</v>
      </c>
      <c r="B5" s="20" t="str" cm="1">
        <f t="array" ref="B5">_xlfn.IFS('6_Capstone'!B4 = Sheet1!B2,"NPN",'6_Capstone'!B4 = Sheet1!B3,"VOD",'6_Capstone'!B4 = Sheet1!B4,"MTN",'6_Capstone'!B4 = Sheet1!B5,"AGL")</f>
        <v>NPN</v>
      </c>
    </row>
    <row r="6" spans="1:2" x14ac:dyDescent="0.25">
      <c r="A6" s="12" t="s">
        <v>127</v>
      </c>
      <c r="B6" s="20">
        <f>AVERAGEIF('2_Enriched'!B2:B1301,"NPN",'2_Enriched'!K2:K1301)/STDEV('2_Enriched'!K2:K1301)</f>
        <v>-1.223115628485397E-2</v>
      </c>
    </row>
    <row r="7" spans="1:2" x14ac:dyDescent="0.25">
      <c r="A7" s="12" t="s">
        <v>128</v>
      </c>
      <c r="B7" s="20">
        <f>LARGE('2_Enriched'!H2:H1305,3)</f>
        <v>3260.95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0_Instructions</vt:lpstr>
      <vt:lpstr>1_RawData</vt:lpstr>
      <vt:lpstr>2_Enriched</vt:lpstr>
      <vt:lpstr>Sheet1</vt:lpstr>
      <vt:lpstr>3_Summary</vt:lpstr>
      <vt:lpstr>4_Analysis</vt:lpstr>
      <vt:lpstr>5_TradeEntry</vt:lpstr>
      <vt:lpstr>6_Capstone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divhiblessed@gmail.com</cp:lastModifiedBy>
  <dcterms:created xsi:type="dcterms:W3CDTF">2026-05-01T20:30:38Z</dcterms:created>
  <dcterms:modified xsi:type="dcterms:W3CDTF">2026-05-02T13:23:37Z</dcterms:modified>
</cp:coreProperties>
</file>